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WU Wien\BA\"/>
    </mc:Choice>
  </mc:AlternateContent>
  <xr:revisionPtr revIDLastSave="0" documentId="13_ncr:1_{23B29AC8-D94B-40EB-8E20-03D38163655F}" xr6:coauthVersionLast="47" xr6:coauthVersionMax="47" xr10:uidLastSave="{00000000-0000-0000-0000-000000000000}"/>
  <bookViews>
    <workbookView xWindow="28680" yWindow="0" windowWidth="29040" windowHeight="15720" xr2:uid="{00000000-000D-0000-FFFF-FFFF00000000}"/>
  </bookViews>
  <sheets>
    <sheet name="Key facts" sheetId="6" r:id="rId1"/>
    <sheet name="Key facts_CHARTS" sheetId="26" r:id="rId2"/>
    <sheet name="Automated Search AIS eLibrary" sheetId="11" r:id="rId3"/>
    <sheet name="Automated Search DBLP" sheetId="17" r:id="rId4"/>
    <sheet name="Automated Search GI DL" sheetId="19" r:id="rId5"/>
    <sheet name="Automated Seach ACM DL" sheetId="20" r:id="rId6"/>
    <sheet name="Automated Search IEEEXplore" sheetId="1" r:id="rId7"/>
    <sheet name="Dropdown Lists" sheetId="2" state="hidden" r:id="rId8"/>
  </sheets>
  <definedNames>
    <definedName name="_xlnm._FilterDatabase" localSheetId="5" hidden="1">'Automated Seach ACM DL'!$A$1:$O$550</definedName>
    <definedName name="_xlnm._FilterDatabase" localSheetId="2" hidden="1">'Automated Search AIS eLibrary'!$A$1:$O$168</definedName>
    <definedName name="_xlnm._FilterDatabase" localSheetId="3" hidden="1">'Automated Search DBLP'!$A$1:$P$29</definedName>
    <definedName name="_xlnm._FilterDatabase" localSheetId="4" hidden="1">'Automated Search GI DL'!$A$1:$O$52</definedName>
    <definedName name="_xlnm._FilterDatabase" localSheetId="6" hidden="1">'Automated Search IEEEXplore'!$A$1:$P$283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6" l="1"/>
  <c r="E10" i="6"/>
  <c r="D10" i="6"/>
  <c r="H5" i="6"/>
  <c r="M5" i="6" s="1"/>
  <c r="I12" i="6"/>
  <c r="B12" i="6"/>
  <c r="B10" i="6"/>
  <c r="G9" i="6"/>
  <c r="M9" i="6" s="1"/>
  <c r="F9" i="6"/>
  <c r="F5" i="6"/>
  <c r="F6" i="6"/>
  <c r="G6" i="6"/>
  <c r="M6" i="6" s="1"/>
  <c r="F7" i="6"/>
  <c r="G7" i="6"/>
  <c r="M7" i="6" s="1"/>
  <c r="F8" i="6"/>
  <c r="G8" i="6"/>
  <c r="M8" i="6" s="1"/>
  <c r="I11" i="6" l="1"/>
  <c r="I13" i="6" s="1"/>
  <c r="I15" i="6" s="1"/>
  <c r="M10"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2C1009D-4F80-4658-AF1B-467BB55C3994}" keepAlive="1" name="Abfrage - acm_raw" description="Verbindung mit der Abfrage 'acm_raw' in der Arbeitsmappe." type="5" refreshedVersion="8" background="1" saveData="1">
    <dbPr connection="Provider=Microsoft.Mashup.OleDb.1;Data Source=$Workbook$;Location=acm_raw;Extended Properties=&quot;&quot;" command="SELECT * FROM [acm_raw]"/>
  </connection>
  <connection id="2" xr16:uid="{8251FCA5-7DB4-4E1C-91D0-DE438AEDA3A6}" keepAlive="1" name="Abfrage - ais_results_236_next_click" description="Verbindung mit der Abfrage 'ais_results_236_next_click' in der Arbeitsmappe." type="5" refreshedVersion="8" background="1" saveData="1">
    <dbPr connection="Provider=Microsoft.Mashup.OleDb.1;Data Source=$Workbook$;Location=ais_results_236_next_click;Extended Properties=&quot;&quot;" command="SELECT * FROM [ais_results_236_next_click]"/>
  </connection>
  <connection id="3" xr16:uid="{D1E360F8-336E-4289-A625-435DF298053A}" keepAlive="1" name="Abfrage - ais_results_236_playwright" description="Verbindung mit der Abfrage 'ais_results_236_playwright' in der Arbeitsmappe." type="5" refreshedVersion="0" background="1">
    <dbPr connection="Provider=Microsoft.Mashup.OleDb.1;Data Source=$Workbook$;Location=ais_results_236_playwright;Extended Properties=&quot;&quot;" command="SELECT * FROM [ais_results_236_playwright]"/>
  </connection>
  <connection id="4" xr16:uid="{64ABFD7D-DF53-4D6E-B71C-5DA54B410A4E}" keepAlive="1" name="Abfrage - ais_results_236_playwright_fixed" description="Verbindung mit der Abfrage 'ais_results_236_playwright_fixed' in der Arbeitsmappe." type="5" refreshedVersion="0" background="1">
    <dbPr connection="Provider=Microsoft.Mashup.OleDb.1;Data Source=$Workbook$;Location=ais_results_236_playwright_fixed;Extended Properties=&quot;&quot;" command="SELECT * FROM [ais_results_236_playwright_fixed]"/>
  </connection>
  <connection id="5" xr16:uid="{531F3CE5-D62C-44B0-8BB5-8CE6EEA57F2C}" keepAlive="1" name="Abfrage - as_IEEEXplore" description="Verbindung mit der Abfrage 'as_IEEEXplore' in der Arbeitsmappe." type="5" refreshedVersion="8" background="1" saveData="1">
    <dbPr connection="Provider=Microsoft.Mashup.OleDb.1;Data Source=$Workbook$;Location=as_IEEEXplore;Extended Properties=&quot;&quot;" command="SELECT * FROM [as_IEEEXplore]"/>
  </connection>
  <connection id="6" xr16:uid="{5B0C5CAA-393E-49DC-A6F9-120331EEFEA7}" keepAlive="1" name="Abfrage - dblp_total_publications_autofix" description="Verbindung mit der Abfrage 'dblp_total_publications_autofix' in der Arbeitsmappe." type="5" refreshedVersion="8" background="1" saveData="1">
    <dbPr connection="Provider=Microsoft.Mashup.OleDb.1;Data Source=$Workbook$;Location=dblp_total_publications_autofix;Extended Properties=&quot;&quot;" command="SELECT * FROM [dblp_total_publications_autofix]"/>
  </connection>
  <connection id="7" xr16:uid="{F082517A-F87A-4CF3-8B45-32FFD401E4AE}" keepAlive="1" name="Abfrage - gidl_raw" description="Verbindung mit der Abfrage 'gidl_raw' in der Arbeitsmappe." type="5" refreshedVersion="8" background="1" saveData="1">
    <dbPr connection="Provider=Microsoft.Mashup.OleDb.1;Data Source=$Workbook$;Location=gidl_raw;Extended Properties=&quot;&quot;" command="SELECT * FROM [gidl_raw]"/>
  </connection>
  <connection id="8" xr16:uid="{11607629-FE74-4F50-A370-A9B4F8800850}" keepAlive="1" name="Abfrage - is_primary_labels" description="Verbindung mit der Abfrage 'is_primary_labels' in der Arbeitsmappe." type="5" refreshedVersion="8" background="1" saveData="1">
    <dbPr connection="Provider=Microsoft.Mashup.OleDb.1;Data Source=$Workbook$;Location=is_primary_labels;Extended Properties=&quot;&quot;" command="SELECT * FROM [is_primary_labels]"/>
  </connection>
  <connection id="9" xr16:uid="{3F61B20C-48F9-4C3F-A9DF-7F3DC4DBC2D3}" keepAlive="1" name="Abfrage - peer_primary_results" description="Verbindung mit der Abfrage 'peer_primary_results' in der Arbeitsmappe." type="5" refreshedVersion="8" background="1" saveData="1">
    <dbPr connection="Provider=Microsoft.Mashup.OleDb.1;Data Source=$Workbook$;Location=peer_primary_results;Extended Properties=&quot;&quot;" command="SELECT * FROM [peer_primary_results]"/>
  </connection>
  <connection id="10" xr16:uid="{44CBAF62-1E08-4773-A9C5-547397979547}" keepAlive="1" name="Abfrage - publication_analysis" description="Verbindung mit der Abfrage 'publication_analysis' in der Arbeitsmappe." type="5" refreshedVersion="8" background="1" saveData="1">
    <dbPr connection="Provider=Microsoft.Mashup.OleDb.1;Data Source=$Workbook$;Location=publication_analysis;Extended Properties=&quot;&quot;" command="SELECT * FROM [publication_analysis]"/>
  </connection>
  <connection id="11" xr16:uid="{00512EB5-F280-49FA-AA1B-350945A264BB}" keepAlive="1" name="Abfrage - publication_analysis_extended" description="Verbindung mit der Abfrage 'publication_analysis_extended' in der Arbeitsmappe." type="5" refreshedVersion="8" background="1" saveData="1">
    <dbPr connection="Provider=Microsoft.Mashup.OleDb.1;Data Source=$Workbook$;Location=publication_analysis_extended;Extended Properties=&quot;&quot;" command="SELECT * FROM [publication_analysis_extended]"/>
  </connection>
  <connection id="12" xr16:uid="{3B502365-33BD-4FFE-91C8-806A321FDA63}" keepAlive="1" name="Abfrage - se_relevance_results" description="Verbindung mit der Abfrage 'se_relevance_results' in der Arbeitsmappe." type="5" refreshedVersion="8" background="1" saveData="1">
    <dbPr connection="Provider=Microsoft.Mashup.OleDb.1;Data Source=$Workbook$;Location=se_relevance_results;Extended Properties=&quot;&quot;" command="SELECT * FROM [se_relevance_results]"/>
  </connection>
</connections>
</file>

<file path=xl/sharedStrings.xml><?xml version="1.0" encoding="utf-8"?>
<sst xmlns="http://schemas.openxmlformats.org/spreadsheetml/2006/main" count="10562" uniqueCount="3968">
  <si>
    <t>Study ID</t>
  </si>
  <si>
    <t>Title</t>
  </si>
  <si>
    <t>Authors</t>
  </si>
  <si>
    <t>Year</t>
  </si>
  <si>
    <t>Venue</t>
  </si>
  <si>
    <t>Language</t>
  </si>
  <si>
    <t>Peer-reviewed</t>
  </si>
  <si>
    <t>Full-text available</t>
  </si>
  <si>
    <t>Pass: Objective Criteria</t>
  </si>
  <si>
    <t>Relevance Category</t>
  </si>
  <si>
    <t>Related RQ(s)</t>
  </si>
  <si>
    <t>Notes</t>
  </si>
  <si>
    <t>Not relevant</t>
  </si>
  <si>
    <t>Slightly relevant</t>
  </si>
  <si>
    <t>Moderately relevant</t>
  </si>
  <si>
    <t>Relevant</t>
  </si>
  <si>
    <t>Highly Relevant</t>
  </si>
  <si>
    <t>No mention of LCDPs/NCDPs or completely unrelated domain.</t>
  </si>
  <si>
    <t>Mentions low-code topics but lacks alignment with research questions.</t>
  </si>
  <si>
    <t>Partially addresses a research question or related concept.</t>
  </si>
  <si>
    <t>Contributes to one RQ with empirical or conceptual content.</t>
  </si>
  <si>
    <t>Strong alignment with one or more RQs and high-quality evidence.</t>
  </si>
  <si>
    <t>RQ1</t>
  </si>
  <si>
    <t>RQ2</t>
  </si>
  <si>
    <t>RQ3</t>
  </si>
  <si>
    <t>What are the primary drivers and barriers influencing the adoption of low-code platforms in the business context?</t>
  </si>
  <si>
    <t>How do low-code platforms compare to traditional development approaches in terms of efficiency, effectiveness, and user preference based on empirical evidence?</t>
  </si>
  <si>
    <t>What is the current state of research on low-code tooling, including study-design, research questions, key observations, and threats to validity?</t>
  </si>
  <si>
    <t>Inclusion Decision</t>
  </si>
  <si>
    <t>English</t>
  </si>
  <si>
    <t>Yes</t>
  </si>
  <si>
    <t>No</t>
  </si>
  <si>
    <t>Practitioners’ Perceptions on the Adoption of Low Code Development Platforms</t>
  </si>
  <si>
    <t>IEEE Access</t>
  </si>
  <si>
    <t>Md Abdullah Al Alamin, Sanjay Malakar, Gias Uddin, Sadia Afroz, Tameem Bin Haider, Anindya Iqbal</t>
  </si>
  <si>
    <t>Primary Study</t>
  </si>
  <si>
    <t>Supporting Excerpt (Relevance)</t>
  </si>
  <si>
    <t>SE Context</t>
  </si>
  <si>
    <t>A Multiple Mini Case Study on the Adoption of Low Code Development Platforms in Work Systems</t>
  </si>
  <si>
    <r>
      <t xml:space="preserve">"We conducted semi-structured interviews and a Delphi study with 17 experts to address these gaps. As a result, we identified 12 drivers and 19 inhibitors for adopting LCDPs" </t>
    </r>
    <r>
      <rPr>
        <b/>
        <i/>
        <sz val="10"/>
        <color theme="1"/>
        <rFont val="Calibri"/>
        <family val="2"/>
        <scheme val="minor"/>
      </rPr>
      <t>(Abstract)</t>
    </r>
  </si>
  <si>
    <r>
      <t xml:space="preserve">This paper uses a combinatorial approach to research LCDP adoption and presents the results of a multiple mini case study with 36 cases on LCDP adoption. A combination of the Socio-Technical Systems theory and the Technology-Organisational-Environment model is used as a theoretical lens.  </t>
    </r>
    <r>
      <rPr>
        <b/>
        <i/>
        <sz val="10"/>
        <color theme="1"/>
        <rFont val="Calibri"/>
        <family val="2"/>
        <scheme val="minor"/>
      </rPr>
      <t>(Abstract)</t>
    </r>
  </si>
  <si>
    <t>Supporting the understanding and comparison of low-code development platforms</t>
  </si>
  <si>
    <t>Drivers and Inhibitors of Low Code Development Platform Adoption</t>
  </si>
  <si>
    <t>Database</t>
  </si>
  <si>
    <t>IEEE Xplore</t>
  </si>
  <si>
    <t xml:space="preserve">("low-code" OR "lcdp*" OR "lowcode")
AND
(adopt* OR implement* OR factor* OR organization OR management OR guidance OR business)
AND
(efficien* OR developer OR capability* OR develop* OR applicat* OR platform* OR tool* OR evaluation OR usability OR research OR study OR empirical OR user)
</t>
  </si>
  <si>
    <t>Results</t>
  </si>
  <si>
    <t>ID Abbreviation</t>
  </si>
  <si>
    <t>IX</t>
  </si>
  <si>
    <t>IX01</t>
  </si>
  <si>
    <t>IX02</t>
  </si>
  <si>
    <t>IX03</t>
  </si>
  <si>
    <t>IX04</t>
  </si>
  <si>
    <t>IX05</t>
  </si>
  <si>
    <t>IX06</t>
  </si>
  <si>
    <t>IX07</t>
  </si>
  <si>
    <t>IX08</t>
  </si>
  <si>
    <t>IX09</t>
  </si>
  <si>
    <t>IX10</t>
  </si>
  <si>
    <t>IX11</t>
  </si>
  <si>
    <t>IX12</t>
  </si>
  <si>
    <t>IX13</t>
  </si>
  <si>
    <t>IX14</t>
  </si>
  <si>
    <t>IX15</t>
  </si>
  <si>
    <t>IX16</t>
  </si>
  <si>
    <t>IX17</t>
  </si>
  <si>
    <t>IX18</t>
  </si>
  <si>
    <t>IX19</t>
  </si>
  <si>
    <t>IX20</t>
  </si>
  <si>
    <t>IX21</t>
  </si>
  <si>
    <t>IX22</t>
  </si>
  <si>
    <t>IX23</t>
  </si>
  <si>
    <t>IX24</t>
  </si>
  <si>
    <t>IX25</t>
  </si>
  <si>
    <t>IX26</t>
  </si>
  <si>
    <t>IX27</t>
  </si>
  <si>
    <t>IX28</t>
  </si>
  <si>
    <t>IX29</t>
  </si>
  <si>
    <t>IX30</t>
  </si>
  <si>
    <t>IX31</t>
  </si>
  <si>
    <t>IX32</t>
  </si>
  <si>
    <t>IX33</t>
  </si>
  <si>
    <t>IX34</t>
  </si>
  <si>
    <t>IX35</t>
  </si>
  <si>
    <t>IX36</t>
  </si>
  <si>
    <t>IX37</t>
  </si>
  <si>
    <t>IX38</t>
  </si>
  <si>
    <t>IX39</t>
  </si>
  <si>
    <t>IX40</t>
  </si>
  <si>
    <t>IX41</t>
  </si>
  <si>
    <t>IX42</t>
  </si>
  <si>
    <t>IX43</t>
  </si>
  <si>
    <t>IX44</t>
  </si>
  <si>
    <t>IX45</t>
  </si>
  <si>
    <t>IX46</t>
  </si>
  <si>
    <t>IX47</t>
  </si>
  <si>
    <t>IX48</t>
  </si>
  <si>
    <t>IX49</t>
  </si>
  <si>
    <t>IX50</t>
  </si>
  <si>
    <t>IX51</t>
  </si>
  <si>
    <t>IX52</t>
  </si>
  <si>
    <t>IX53</t>
  </si>
  <si>
    <t>IX54</t>
  </si>
  <si>
    <t>IX55</t>
  </si>
  <si>
    <t>IX56</t>
  </si>
  <si>
    <t>IX57</t>
  </si>
  <si>
    <t>IX58</t>
  </si>
  <si>
    <t>IX59</t>
  </si>
  <si>
    <t>IX60</t>
  </si>
  <si>
    <t>IX61</t>
  </si>
  <si>
    <t>IX62</t>
  </si>
  <si>
    <t>IX63</t>
  </si>
  <si>
    <t>IX64</t>
  </si>
  <si>
    <t>IX65</t>
  </si>
  <si>
    <t>IX66</t>
  </si>
  <si>
    <t>IX67</t>
  </si>
  <si>
    <t>IX68</t>
  </si>
  <si>
    <t>IX69</t>
  </si>
  <si>
    <t>IX70</t>
  </si>
  <si>
    <t>IX71</t>
  </si>
  <si>
    <t>IX72</t>
  </si>
  <si>
    <t>IX73</t>
  </si>
  <si>
    <t>IX74</t>
  </si>
  <si>
    <t>IX75</t>
  </si>
  <si>
    <t>IX76</t>
  </si>
  <si>
    <t>IX77</t>
  </si>
  <si>
    <t>IX78</t>
  </si>
  <si>
    <t>IX79</t>
  </si>
  <si>
    <t>IX80</t>
  </si>
  <si>
    <t>IX81</t>
  </si>
  <si>
    <t>IX82</t>
  </si>
  <si>
    <t>IX83</t>
  </si>
  <si>
    <t>IX84</t>
  </si>
  <si>
    <t>IX85</t>
  </si>
  <si>
    <t>IX86</t>
  </si>
  <si>
    <t>IX87</t>
  </si>
  <si>
    <t>IX88</t>
  </si>
  <si>
    <t>IX89</t>
  </si>
  <si>
    <t>IX90</t>
  </si>
  <si>
    <t>IX91</t>
  </si>
  <si>
    <t>IX92</t>
  </si>
  <si>
    <t>IX93</t>
  </si>
  <si>
    <t>IX94</t>
  </si>
  <si>
    <t>IX95</t>
  </si>
  <si>
    <t>IX96</t>
  </si>
  <si>
    <t>IX97</t>
  </si>
  <si>
    <t>IX98</t>
  </si>
  <si>
    <t>IX99</t>
  </si>
  <si>
    <t>IX100</t>
  </si>
  <si>
    <t>IX101</t>
  </si>
  <si>
    <t>IX102</t>
  </si>
  <si>
    <t>IX103</t>
  </si>
  <si>
    <t>IX104</t>
  </si>
  <si>
    <t>IX105</t>
  </si>
  <si>
    <t>IX106</t>
  </si>
  <si>
    <t>IX107</t>
  </si>
  <si>
    <t>IX108</t>
  </si>
  <si>
    <t>IX109</t>
  </si>
  <si>
    <t>IX110</t>
  </si>
  <si>
    <t>IX111</t>
  </si>
  <si>
    <t>IX112</t>
  </si>
  <si>
    <t>IX113</t>
  </si>
  <si>
    <t>IX114</t>
  </si>
  <si>
    <t>IX115</t>
  </si>
  <si>
    <t>IX116</t>
  </si>
  <si>
    <t>IX117</t>
  </si>
  <si>
    <t>IX118</t>
  </si>
  <si>
    <t>IX119</t>
  </si>
  <si>
    <t>IX120</t>
  </si>
  <si>
    <t>IX121</t>
  </si>
  <si>
    <t>IX122</t>
  </si>
  <si>
    <t>IX123</t>
  </si>
  <si>
    <t>IX124</t>
  </si>
  <si>
    <t>IX125</t>
  </si>
  <si>
    <t>IX126</t>
  </si>
  <si>
    <t>IX127</t>
  </si>
  <si>
    <t>IX128</t>
  </si>
  <si>
    <t>IX129</t>
  </si>
  <si>
    <t>IX130</t>
  </si>
  <si>
    <t>IX131</t>
  </si>
  <si>
    <t>IX132</t>
  </si>
  <si>
    <t>IX133</t>
  </si>
  <si>
    <t>IX134</t>
  </si>
  <si>
    <t>IX135</t>
  </si>
  <si>
    <t>IX136</t>
  </si>
  <si>
    <t>IX137</t>
  </si>
  <si>
    <t>IX138</t>
  </si>
  <si>
    <t>IX139</t>
  </si>
  <si>
    <t>IX140</t>
  </si>
  <si>
    <t>IX141</t>
  </si>
  <si>
    <t>IX142</t>
  </si>
  <si>
    <t>IX143</t>
  </si>
  <si>
    <t>IX144</t>
  </si>
  <si>
    <t>IX145</t>
  </si>
  <si>
    <t>IX146</t>
  </si>
  <si>
    <t>IX147</t>
  </si>
  <si>
    <t>IX148</t>
  </si>
  <si>
    <t>IX149</t>
  </si>
  <si>
    <t>IX150</t>
  </si>
  <si>
    <t>IX151</t>
  </si>
  <si>
    <t>IX152</t>
  </si>
  <si>
    <t>IX153</t>
  </si>
  <si>
    <t>IX154</t>
  </si>
  <si>
    <t>IX155</t>
  </si>
  <si>
    <t>IX156</t>
  </si>
  <si>
    <t>IX157</t>
  </si>
  <si>
    <t>IX158</t>
  </si>
  <si>
    <t>IX159</t>
  </si>
  <si>
    <t>IX160</t>
  </si>
  <si>
    <t>IX161</t>
  </si>
  <si>
    <t>IX162</t>
  </si>
  <si>
    <t>IX163</t>
  </si>
  <si>
    <t>IX164</t>
  </si>
  <si>
    <t>IX165</t>
  </si>
  <si>
    <t>IX166</t>
  </si>
  <si>
    <t>IX167</t>
  </si>
  <si>
    <t>IX168</t>
  </si>
  <si>
    <t>IX169</t>
  </si>
  <si>
    <t>IX170</t>
  </si>
  <si>
    <t>IX171</t>
  </si>
  <si>
    <t>IX172</t>
  </si>
  <si>
    <t>IX173</t>
  </si>
  <si>
    <t>IX174</t>
  </si>
  <si>
    <t>IX175</t>
  </si>
  <si>
    <t>IX176</t>
  </si>
  <si>
    <t>IX177</t>
  </si>
  <si>
    <t>IX178</t>
  </si>
  <si>
    <t>IX179</t>
  </si>
  <si>
    <t>IX180</t>
  </si>
  <si>
    <t>IX181</t>
  </si>
  <si>
    <t>IX182</t>
  </si>
  <si>
    <t>IX183</t>
  </si>
  <si>
    <t>IX184</t>
  </si>
  <si>
    <t>IX185</t>
  </si>
  <si>
    <t>IX186</t>
  </si>
  <si>
    <t>IX187</t>
  </si>
  <si>
    <t>IX188</t>
  </si>
  <si>
    <t>IX189</t>
  </si>
  <si>
    <t>IX190</t>
  </si>
  <si>
    <t>IX191</t>
  </si>
  <si>
    <t>IX192</t>
  </si>
  <si>
    <t>IX193</t>
  </si>
  <si>
    <t>IX194</t>
  </si>
  <si>
    <t>IX195</t>
  </si>
  <si>
    <t>IX196</t>
  </si>
  <si>
    <t>IX197</t>
  </si>
  <si>
    <t>IX198</t>
  </si>
  <si>
    <t>IX199</t>
  </si>
  <si>
    <t>IX200</t>
  </si>
  <si>
    <t>IX201</t>
  </si>
  <si>
    <t>IX202</t>
  </si>
  <si>
    <t>IX203</t>
  </si>
  <si>
    <t>IX204</t>
  </si>
  <si>
    <t>IX205</t>
  </si>
  <si>
    <t>IX206</t>
  </si>
  <si>
    <t>IX207</t>
  </si>
  <si>
    <t>IX208</t>
  </si>
  <si>
    <t>IX209</t>
  </si>
  <si>
    <t>IX210</t>
  </si>
  <si>
    <t>IX211</t>
  </si>
  <si>
    <t>IX212</t>
  </si>
  <si>
    <t>IX213</t>
  </si>
  <si>
    <t>IX214</t>
  </si>
  <si>
    <t>IX215</t>
  </si>
  <si>
    <t>IX216</t>
  </si>
  <si>
    <t>IX217</t>
  </si>
  <si>
    <t>IX218</t>
  </si>
  <si>
    <t>IX219</t>
  </si>
  <si>
    <t>IX220</t>
  </si>
  <si>
    <t>IX221</t>
  </si>
  <si>
    <t>IX222</t>
  </si>
  <si>
    <t>IX223</t>
  </si>
  <si>
    <t>IX224</t>
  </si>
  <si>
    <t>IX225</t>
  </si>
  <si>
    <t>IX226</t>
  </si>
  <si>
    <t>IX227</t>
  </si>
  <si>
    <t>IX228</t>
  </si>
  <si>
    <t>IX229</t>
  </si>
  <si>
    <t>IX230</t>
  </si>
  <si>
    <t>IX231</t>
  </si>
  <si>
    <t>IX232</t>
  </si>
  <si>
    <t>IX233</t>
  </si>
  <si>
    <t>IX234</t>
  </si>
  <si>
    <t>IX235</t>
  </si>
  <si>
    <t>IX236</t>
  </si>
  <si>
    <t>IX237</t>
  </si>
  <si>
    <t>IX238</t>
  </si>
  <si>
    <t>IX239</t>
  </si>
  <si>
    <t>IX240</t>
  </si>
  <si>
    <t>IX241</t>
  </si>
  <si>
    <t>IX242</t>
  </si>
  <si>
    <t>IX243</t>
  </si>
  <si>
    <t>IX244</t>
  </si>
  <si>
    <t>IX245</t>
  </si>
  <si>
    <t>IX246</t>
  </si>
  <si>
    <t>IX247</t>
  </si>
  <si>
    <t>IX248</t>
  </si>
  <si>
    <t>IX249</t>
  </si>
  <si>
    <t>IX250</t>
  </si>
  <si>
    <t>IX251</t>
  </si>
  <si>
    <t>IX252</t>
  </si>
  <si>
    <t>IX253</t>
  </si>
  <si>
    <t>IX254</t>
  </si>
  <si>
    <t>IX255</t>
  </si>
  <si>
    <t>IX256</t>
  </si>
  <si>
    <t>IX257</t>
  </si>
  <si>
    <t>IX258</t>
  </si>
  <si>
    <t>IX259</t>
  </si>
  <si>
    <t>IX260</t>
  </si>
  <si>
    <t>IX261</t>
  </si>
  <si>
    <t>IX262</t>
  </si>
  <si>
    <t>IX263</t>
  </si>
  <si>
    <t>IX264</t>
  </si>
  <si>
    <t>IX265</t>
  </si>
  <si>
    <t>IX266</t>
  </si>
  <si>
    <t>IX267</t>
  </si>
  <si>
    <t>IX268</t>
  </si>
  <si>
    <t>IX269</t>
  </si>
  <si>
    <t>IX270</t>
  </si>
  <si>
    <t>IX271</t>
  </si>
  <si>
    <t>IX272</t>
  </si>
  <si>
    <t>IX273</t>
  </si>
  <si>
    <t>IX274</t>
  </si>
  <si>
    <t>IX276</t>
  </si>
  <si>
    <t>IX277</t>
  </si>
  <si>
    <t>IX278</t>
  </si>
  <si>
    <t>IX279</t>
  </si>
  <si>
    <t>IX280</t>
  </si>
  <si>
    <t>QGS papers found</t>
  </si>
  <si>
    <t>IEEE Access Vol. 11</t>
  </si>
  <si>
    <t>Tow Enterprise-level Rapid Development Platforms for Business System Development Practice</t>
  </si>
  <si>
    <t xml:space="preserve">Guoliang Dong, Shangbin Song, Chen Liang, Hao Li, Wei Wang, Yucheng Du </t>
  </si>
  <si>
    <t>2023 IIoTBDSC</t>
  </si>
  <si>
    <r>
      <t>The development and application of the rapid
development platform provides a possibility for node users to
develop customized business system applications. Compared
with the traditional development mode, the rapid platform
development mode has the characteristics of low technical
requirements for developers, short development cycle, and
more targeted business modules. Enterprise-level rapid
development tools generally feature low-code or zero-code,
greatly reducing the technical requirements for developers.</t>
    </r>
    <r>
      <rPr>
        <b/>
        <i/>
        <sz val="10"/>
        <color theme="1"/>
        <rFont val="Calibri"/>
        <family val="2"/>
        <scheme val="minor"/>
      </rPr>
      <t xml:space="preserve"> (Abstract)</t>
    </r>
  </si>
  <si>
    <t xml:space="preserve">Application of Scrum framework and Low Code No
Code platform for development and implementation
of In-patient electronic visitor management system
to optimise hospital operations </t>
  </si>
  <si>
    <t>Kalaivani S, Arun Senthilkumar,  Akash Prabhune, Mathan Babu Durairaj, Sachin S Bhat</t>
  </si>
  <si>
    <t>2024 ITCEE</t>
  </si>
  <si>
    <r>
      <t xml:space="preserve">Application of Scrum framework and Low Code No
Code platform for development and implementation </t>
    </r>
    <r>
      <rPr>
        <b/>
        <i/>
        <sz val="10"/>
        <color theme="1"/>
        <rFont val="Calibri"/>
        <family val="2"/>
        <scheme val="minor"/>
      </rPr>
      <t>(Title)</t>
    </r>
  </si>
  <si>
    <t>Shows real-life implications of using LCDP in terms of efficiency, developer experience (RQ2)</t>
  </si>
  <si>
    <t>Application of Scrum framework and Low Code No Code platform for development and implementation</t>
  </si>
  <si>
    <t>Ruben Picek</t>
  </si>
  <si>
    <t>2023 ICIM</t>
  </si>
  <si>
    <r>
      <t>This paper
discusses the nature of applying LCNC platforms in the context
of ERP systems. To be more precise, focus of paper is on
presenting domains in which extensions or small apps can be
develop by LCNC platforms and in that way improve ERP
systems</t>
    </r>
    <r>
      <rPr>
        <b/>
        <sz val="10"/>
        <color theme="1"/>
        <rFont val="Calibri"/>
        <family val="2"/>
        <scheme val="minor"/>
      </rPr>
      <t xml:space="preserve"> (Abstract)</t>
    </r>
  </si>
  <si>
    <t>24th CBI</t>
  </si>
  <si>
    <t>Vaishali Phalake , Dr. Shashank Joshi, Dr. Kuldip Rade, Dr. Vijay Phalke</t>
  </si>
  <si>
    <t>2nd ASIANCON</t>
  </si>
  <si>
    <t>Modernized Application Development Using Optimized Low Code Platform</t>
  </si>
  <si>
    <t>Developing Module Generation for Odoo Using Concept of Low-Code Development Platform and Automation Systems</t>
  </si>
  <si>
    <t>Sopanawit Pichidtienthum, Pakawan Pugsee, Nagul Cooharojananone</t>
  </si>
  <si>
    <t>ICIEA 2021</t>
  </si>
  <si>
    <t>Assessing Security Risks in Low-Code
Development Platforms: A Systematic Literature
Review</t>
  </si>
  <si>
    <t>Hiruni Hathnagoda, Ruwan Wickramarachchi</t>
  </si>
  <si>
    <t>ICATC 2024</t>
  </si>
  <si>
    <t>Low-Code Application Development with Appian: The practitioner's guide to high-speed business automation at enterprise scale using Appian</t>
  </si>
  <si>
    <t>Stefan Helzle</t>
  </si>
  <si>
    <t>Low-Code Application Development with Appian</t>
  </si>
  <si>
    <t xml:space="preserve">A Comparative Study of AI and Low-Code Platforms
for SMEs: Insights into Microsoft Power Platform,
Google AutoML and Amazon SageMaker </t>
  </si>
  <si>
    <t>Chiang Liang Kok, Hui Rong Tan, Chee Kit Ho, Charles Lee, Tee Hui Teo and Howard Tang</t>
  </si>
  <si>
    <t>17th MCSoC</t>
  </si>
  <si>
    <t>Low-Code Development Platforms:
A Descriptive Study</t>
  </si>
  <si>
    <t>Pedro M. Gomes, Miguel A. Brito</t>
  </si>
  <si>
    <t>17th CISTI</t>
  </si>
  <si>
    <t>An Empirical Study of Developer Discussions on
Low-Code Software Development Challenges</t>
  </si>
  <si>
    <t>IEEE/ACM 18th MSR</t>
  </si>
  <si>
    <t>An overview on how to develop a low-code application using OutSystems</t>
  </si>
  <si>
    <t>Ricardo Martins, Filipe Caldeira, Filipe Sa, Maryam Abbasi, Pedro Martins</t>
  </si>
  <si>
    <t>ICSTCEE</t>
  </si>
  <si>
    <t>What’s Wrong With Low-Code Development
Platforms? An Empirical Study of Low-Code
Development Platform Bugs</t>
  </si>
  <si>
    <t>Dong Liu, He Jiang ,  Shikai Guo , Yuting Chen, and Lei Qiao</t>
  </si>
  <si>
    <t>IEEE Transactions on Reliability</t>
  </si>
  <si>
    <r>
      <t>. Moreover, the bugs relevant to the incorrect graphics of user
interfaces are significant due to the characteristics of LCDPs. These
findings point out the guidelines, challenges, and future directions
to address LCDP bugs. (</t>
    </r>
    <r>
      <rPr>
        <b/>
        <i/>
        <sz val="10"/>
        <color theme="1"/>
        <rFont val="Calibri"/>
        <family val="2"/>
        <scheme val="minor"/>
      </rPr>
      <t>Abstract</t>
    </r>
    <r>
      <rPr>
        <i/>
        <sz val="10"/>
        <color theme="1"/>
        <rFont val="Calibri"/>
        <family val="2"/>
        <scheme val="minor"/>
      </rPr>
      <t>)</t>
    </r>
  </si>
  <si>
    <t>QGS papers in this database</t>
  </si>
  <si>
    <t>Quasi-sensitivity per Engine</t>
  </si>
  <si>
    <t>A Research of Page Automatic Publishing Scheme Based on Low Code Platform</t>
  </si>
  <si>
    <t>Sebastian Käss, Susanne Strahringer,  Markus Westner</t>
  </si>
  <si>
    <t>A Comparative Study of AI and Low-Code Platforms
for SMEs (Title),  Through a comparative analysis, this paper evaluates the
usability, scalability, and cost-effectiveness of each platform (Abstract)</t>
  </si>
  <si>
    <t>Yan Bian, Qing Zou, Weirui Yue, Kun Huang, Le Liu, Xiao Han</t>
  </si>
  <si>
    <t>3rd EIECS</t>
  </si>
  <si>
    <t xml:space="preserve">User-centered Approach and Low-Code Framework
for Prototyping and Income-based Education </t>
  </si>
  <si>
    <t>Irwan Alnarus Kautsar, 
Muhammad Hilal Hamdi, 
Rama Sakti Hafidz Fadhilah Aziz, 
Muhammad Ruslianor Maika</t>
  </si>
  <si>
    <t>7th CONMEDIA</t>
  </si>
  <si>
    <t>A Unified Integration Model for Data and Code to
Support Efficient Low-Code Application
Development</t>
  </si>
  <si>
    <t>Song Zou, 
Jian Yin, 
Yuejun Luo, 
Xiwei Fu, 
Yubin Fu, 
Yonghua Wang</t>
  </si>
  <si>
    <t>8th ICEMCE</t>
  </si>
  <si>
    <t>Low-code solutions integration for digital process automation - application in management</t>
  </si>
  <si>
    <t>Liviu Ciucan-Rusu;
Mihai Timus;
Daniel Stefan;
Calin-Adrian Comes;
Elena Bunduchi;
Maria-Alexandra Poptamas</t>
  </si>
  <si>
    <t>22nd RoEduNet</t>
  </si>
  <si>
    <t>A platform to ease dApp development and adoption</t>
  </si>
  <si>
    <t>Naveen Sharma, Bijay Singh, Abhijeet Zilpelwar and Ankush Tiwari</t>
  </si>
  <si>
    <t>6th BRAINS</t>
  </si>
  <si>
    <t>Extending Dynamics 365 Customer Engagement Apps with Low Code: Create tailor-made Dynamics 365 CE apps using the powerful low-code capabilities of Power Platform</t>
  </si>
  <si>
    <t>Nicolás Andrés Fernández</t>
  </si>
  <si>
    <t>Extending Dynamics 365 Customer Engagement Apps with Low-Code</t>
  </si>
  <si>
    <t>Apurvanand Sahay, Arsene Indamutsa, Davide Di Ruscio, Alfonso Pierantonio</t>
  </si>
  <si>
    <t>46th SEAA</t>
  </si>
  <si>
    <t>Democratizing Application Development with AppSheet: A citizen developer's guide to building rapid low-code apps with the powerful features of AppSheet</t>
  </si>
  <si>
    <t>Koichi Tsuji; Suvrutt Gurjar; Takuya Miyai</t>
  </si>
  <si>
    <t>Packt Publishing</t>
  </si>
  <si>
    <t>Iterative Design and Evaluation of a Low-Code
Development Platform for Welding Robot Control</t>
  </si>
  <si>
    <t>Bernhard Schenkenfelder , Michael Moser , Michael Pfeiffer, Josef Pichler, Christian Salomon and Mario Winterer</t>
  </si>
  <si>
    <t>28th ETFA</t>
  </si>
  <si>
    <r>
      <t>In this paper, a technical survey of different LCDPs is presented
by relying on a proposed conceptual comparative framework. In particular, by analyzing eight representative LCDPs, a corresponding
set of features have been identified to distil the functionalities and
the services that each considered platform can support. The final
aim is facilitating the understanding and the comparison of the lowcode platforms that can best accommodate given user requirements (</t>
    </r>
    <r>
      <rPr>
        <b/>
        <i/>
        <sz val="10"/>
        <color theme="1"/>
        <rFont val="Calibri"/>
        <family val="2"/>
        <scheme val="minor"/>
      </rPr>
      <t>Abstract</t>
    </r>
    <r>
      <rPr>
        <i/>
        <sz val="10"/>
        <color theme="1"/>
        <rFont val="Calibri"/>
        <family val="2"/>
        <scheme val="minor"/>
      </rPr>
      <t>)</t>
    </r>
  </si>
  <si>
    <r>
      <rPr>
        <i/>
        <sz val="10"/>
        <color theme="1"/>
        <rFont val="Calibri"/>
        <family val="2"/>
        <scheme val="minor"/>
      </rPr>
      <t xml:space="preserve">. In this paper, we
present an iterative, user-centered approach for developing an
LCDP for welding robot control that replaces a system based on
the C programming language. Findings indicate that an iterative
approach, active user participation, usability evaluations, and
paper prototyping all favor the successful development of an
</t>
    </r>
    <r>
      <rPr>
        <sz val="10"/>
        <color theme="1"/>
        <rFont val="Calibri"/>
        <family val="2"/>
        <scheme val="minor"/>
      </rPr>
      <t>industrial LCDP. (</t>
    </r>
    <r>
      <rPr>
        <b/>
        <sz val="10"/>
        <color theme="1"/>
        <rFont val="Calibri"/>
        <family val="2"/>
        <scheme val="minor"/>
      </rPr>
      <t>Abstract</t>
    </r>
    <r>
      <rPr>
        <sz val="10"/>
        <color theme="1"/>
        <rFont val="Calibri"/>
        <family val="2"/>
        <scheme val="minor"/>
      </rPr>
      <t>)</t>
    </r>
  </si>
  <si>
    <t xml:space="preserve">Low-code Platform Based on Graphical Process
Logic Orchestration </t>
  </si>
  <si>
    <t>Jianlin Wang;Yangkang Wei;Ge Zhang;Wenli Zhang;Lijun Zhang;Ke Xu</t>
  </si>
  <si>
    <t>3rd CBASE</t>
  </si>
  <si>
    <r>
      <rPr>
        <i/>
        <sz val="10"/>
        <color theme="1"/>
        <rFont val="Calibri"/>
        <family val="2"/>
        <scheme val="minor"/>
      </rPr>
      <t>With the rising demand for agile development and
rapid iteration in enterprises, traditional development models
reveal issues like long cycles and high costs. Existing low-code
platforms often fall short in addressing complex business needs,
scalability, and cross-platform compatibility. To address these
challenges, this paper introduces easy-flow2code, a low-code
platform based on graphical flow logic orchestration. (</t>
    </r>
    <r>
      <rPr>
        <b/>
        <i/>
        <sz val="10"/>
        <color theme="1"/>
        <rFont val="Calibri"/>
        <family val="2"/>
        <scheme val="minor"/>
      </rPr>
      <t>Abstract</t>
    </r>
    <r>
      <rPr>
        <i/>
        <sz val="10"/>
        <color theme="1"/>
        <rFont val="Calibri"/>
        <family val="2"/>
        <scheme val="minor"/>
      </rPr>
      <t>)</t>
    </r>
  </si>
  <si>
    <t>Implication of Low-Code Development Platform on
Use Case Point Methods</t>
  </si>
  <si>
    <t>Abdurrasyid;Meilia Nur Indah Susanti;Indrianto</t>
  </si>
  <si>
    <t>2022 ICISS</t>
  </si>
  <si>
    <t>IEEE Standard for Technical
Requirements for Low-Code
Application Platform</t>
  </si>
  <si>
    <t>Rapid prototyping of process-driven applications
using low-code development platforms:
A case study from the Greek public sector</t>
  </si>
  <si>
    <t>Marios-Konstantinos Gialitakis;
George Tsakalidis;
Nikos Nousias;
Kostas Vergidis</t>
  </si>
  <si>
    <t>ICAI'24</t>
  </si>
  <si>
    <t>Slightly Relevant</t>
  </si>
  <si>
    <t>Improving Collaboration Efficiency Between UX/UI
Designers and Developers in a Low-Code Platform</t>
  </si>
  <si>
    <t>João Pacheco;Stoyan Garbatov;Miguel Goulão</t>
  </si>
  <si>
    <t>MODELS-C</t>
  </si>
  <si>
    <t>Jit Theam Lim;
Chen Kang Lee;
Ean Heng Lim;
Pei Voon Wong;
King Tak Yew;
Chek Yee Ooi</t>
  </si>
  <si>
    <t xml:space="preserve">Preliminary Study on the Accessibility and Learning
Experience of Low-Code Development Platforms </t>
  </si>
  <si>
    <t>5th AiDAS</t>
  </si>
  <si>
    <t>Moderately Relevant</t>
  </si>
  <si>
    <r>
      <rPr>
        <i/>
        <sz val="10"/>
        <color theme="1"/>
        <rFont val="Calibri"/>
        <family val="2"/>
        <scheme val="minor"/>
      </rPr>
      <t>Hence, this research is to study the
integration of multiple tools and approaches, including low code
development platforms (LCDP), so educators can empower
students, even those without prior programming experience, to
actively engage in software development processes and grasp
programming concepts quickly. The questionnaire is used in the
pilot study. 40 sets of questionnaires were distributed to the
computing students, and 37 (92.5%) respondents completed the
questionnaires. (</t>
    </r>
    <r>
      <rPr>
        <b/>
        <i/>
        <sz val="10"/>
        <color theme="1"/>
        <rFont val="Calibri"/>
        <family val="2"/>
        <scheme val="minor"/>
      </rPr>
      <t>Abstract</t>
    </r>
    <r>
      <rPr>
        <i/>
        <sz val="10"/>
        <color theme="1"/>
        <rFont val="Calibri"/>
        <family val="2"/>
        <scheme val="minor"/>
      </rPr>
      <t>)</t>
    </r>
  </si>
  <si>
    <t>Weberator: A low code backend generator tool</t>
  </si>
  <si>
    <t>Chandrakant Koneti;
Likhith Reddy Rechintala;
Jaya Sriharshita Koneti</t>
  </si>
  <si>
    <t>5th ICAECC</t>
  </si>
  <si>
    <t>The Potential of Low-Code Development
in the Manufacturing Industry</t>
  </si>
  <si>
    <t>Bernhard Schenkenfelder;
Christian Salomon;
Georg Buchgeher;
Robert Schossleitner;
Christian Kerl</t>
  </si>
  <si>
    <r>
      <t xml:space="preserve"> By raising the level of
abstraction beyond code through visual programming and modeldriven development, a Low-Code Development Platform (LCDP)
provides the tools to create software using the low-code approach.
LCDPs typically support specific application types and domains
such as web applications, mobile applications, data analytics
platforms and dashboards. While some LCDPs exist for control
systems in the manufacturing industry, this domain is not yet
fully supported. In this paper, we present a multiple-case study
based on five interviews to explore the role LCDPs can play
in industrial automation (</t>
    </r>
    <r>
      <rPr>
        <b/>
        <i/>
        <sz val="10"/>
        <color theme="1"/>
        <rFont val="Calibri"/>
        <family val="2"/>
        <scheme val="minor"/>
      </rPr>
      <t>Abstract</t>
    </r>
    <r>
      <rPr>
        <i/>
        <sz val="10"/>
        <color theme="1"/>
        <rFont val="Calibri"/>
        <family val="2"/>
        <scheme val="minor"/>
      </rPr>
      <t>)</t>
    </r>
  </si>
  <si>
    <t>Quality Assurance in Low-Code/No-Code Development</t>
  </si>
  <si>
    <t>D.I. DeSilva; R.A.A.L. Ranathunga; R. Shangavie</t>
  </si>
  <si>
    <t>ICSES</t>
  </si>
  <si>
    <r>
      <t xml:space="preserve"> Consequently,
quality assurance practices hold significant relevance in the
context of low-code/no-code development.This study
endeavors to scrutinize quality assurance practices
concerning the assessment of reliability, security, and
performance in low-code/no-code applications. (</t>
    </r>
    <r>
      <rPr>
        <b/>
        <i/>
        <sz val="10"/>
        <color theme="1"/>
        <rFont val="Calibri"/>
        <family val="2"/>
        <scheme val="minor"/>
      </rPr>
      <t>Abstract</t>
    </r>
    <r>
      <rPr>
        <i/>
        <sz val="10"/>
        <color theme="1"/>
        <rFont val="Calibri"/>
        <family val="2"/>
        <scheme val="minor"/>
      </rPr>
      <t>)</t>
    </r>
  </si>
  <si>
    <t>Traditional vs. low-code development: comparing
needed effort and system complexity in the
NexusBRaNT experiment</t>
  </si>
  <si>
    <t>David Aveiro;Vítor Freitas;Erica Cunha;Filipe Quintal;Yuri Almeida</t>
  </si>
  <si>
    <t>25th CBI</t>
  </si>
  <si>
    <r>
      <t>This is highly
relevant, especially for organizations that need to rapidly develop
and deploy applications. The results of this experiment have
important implications for the future of software development,
particularly in the context of digital transformation and the
increasing demand for agile and rapid application development (</t>
    </r>
    <r>
      <rPr>
        <b/>
        <sz val="10"/>
        <color theme="1"/>
        <rFont val="Calibri"/>
        <family val="2"/>
        <scheme val="minor"/>
      </rPr>
      <t>Abstract</t>
    </r>
    <r>
      <rPr>
        <sz val="10"/>
        <color theme="1"/>
        <rFont val="Calibri"/>
        <family val="2"/>
        <scheme val="minor"/>
      </rPr>
      <t>)</t>
    </r>
  </si>
  <si>
    <t>Research on Software Development Based on Low-Code Technology</t>
  </si>
  <si>
    <t>Cui Chuanjian; Gao Shuze; Wei Hua</t>
  </si>
  <si>
    <t>2nd AIARS</t>
  </si>
  <si>
    <t>Design and Implementation of Low-Code Based
Laboratory Management System for Universities</t>
  </si>
  <si>
    <t>Xiaoju Ma</t>
  </si>
  <si>
    <t>ISCTIS</t>
  </si>
  <si>
    <t>P3358/D1, Jan 2025 - IEEE Draft Standard for Technical Requirements for Low-code Application Platform (LCAP)</t>
  </si>
  <si>
    <t>Sagitec Software Studio (S3) – A Low Code
Application Development Platform</t>
  </si>
  <si>
    <t>Rachit Arora, Nayan Ghosh, Tapan Mondal</t>
  </si>
  <si>
    <t>I4Tech</t>
  </si>
  <si>
    <t xml:space="preserve">Performance Evaluation of KNIME
Low Code Platform in Deep Learning Study
and Optimal Hyperparameter Tuning </t>
  </si>
  <si>
    <t>Pornpawee Thongkhome*, Takuro Yonezawa**, Nobuo Kawaguchi</t>
  </si>
  <si>
    <t>TENCON</t>
  </si>
  <si>
    <t xml:space="preserve">ERP Low-Code Cloud Development </t>
  </si>
  <si>
    <t>Longye Tang</t>
  </si>
  <si>
    <t>ICSEES</t>
  </si>
  <si>
    <t>A preliminary study on interdisciplinary
programming learning based on cloud computing
low-code development platform</t>
  </si>
  <si>
    <t>Chung-Hsiang Wang</t>
  </si>
  <si>
    <t>ICCA</t>
  </si>
  <si>
    <t>In Search of the Essence of Low-Code: An
Exploratory Study of Seven Development Platforms</t>
  </si>
  <si>
    <t>Alexander C. Bock, Ulrich Frank</t>
  </si>
  <si>
    <t>Evaluating the Impact of No-Code/Low-Code
Backend Services on API Development and
Implementation: A Case Study Approach</t>
  </si>
  <si>
    <t>Pratik Dhoke, Dr. Prasad Lokulwar</t>
  </si>
  <si>
    <t>ICCCNT</t>
  </si>
  <si>
    <t>Role of Quality Assurance in Low-Code/NoCode Projects</t>
  </si>
  <si>
    <t>D. I. De Silva, R. Shangavie, R. A. A. L. Ranathunga</t>
  </si>
  <si>
    <t>ICOIN</t>
  </si>
  <si>
    <r>
      <rPr>
        <i/>
        <sz val="10"/>
        <color theme="1"/>
        <rFont val="Calibri"/>
        <family val="2"/>
        <scheme val="minor"/>
      </rPr>
      <t>This study contributes to a nuanced understanding
of quality assurance practices in low-code/no-code
development, addressing the unique testing requirements
imposed by the visual, code-light nature of these platforms. By
spotlighting the challenges faced and identifying platform
preferences, it provides valuable insights for developers,
organizations, and researchers navigating the dynamic
landscape of low-code/no-code application development (</t>
    </r>
    <r>
      <rPr>
        <b/>
        <i/>
        <sz val="10"/>
        <color theme="1"/>
        <rFont val="Calibri"/>
        <family val="2"/>
        <scheme val="minor"/>
      </rPr>
      <t>Abstract</t>
    </r>
    <r>
      <rPr>
        <i/>
        <sz val="10"/>
        <color theme="1"/>
        <rFont val="Calibri"/>
        <family val="2"/>
        <scheme val="minor"/>
      </rPr>
      <t>)</t>
    </r>
  </si>
  <si>
    <t>P3358/D2, Feb 2025 - IEEE Approved Draft Standard for Technical Requirements for Low-code Application Platform (LCAP)</t>
  </si>
  <si>
    <t>Bilal Naqvi;Damian Kedziora;Lanqi Zhang;Shola Oyedeji</t>
  </si>
  <si>
    <t>COMPUTER</t>
  </si>
  <si>
    <t>Systematic Literature Review of low-code and its future trends</t>
  </si>
  <si>
    <t>Axel Panamá Velásquez;Christian Pérez-Salazar;Lizbeth A. Hernández-González;Ángel J. Sánchez-García</t>
  </si>
  <si>
    <t>CONISOFT</t>
  </si>
  <si>
    <t>Design and Implementation of a LCDP with
Enhanced Functionality</t>
  </si>
  <si>
    <t xml:space="preserve">Rattakorn Poonsuph </t>
  </si>
  <si>
    <t>ICSECS</t>
  </si>
  <si>
    <r>
      <rPr>
        <i/>
        <sz val="10"/>
        <color theme="1"/>
        <rFont val="Calibri"/>
        <family val="2"/>
        <scheme val="minor"/>
      </rPr>
      <t>The research has also
extended the study by comparing functionality with benchmark
commercial applications so that the generated software
applications from this LCDP research can perform similarly (</t>
    </r>
    <r>
      <rPr>
        <b/>
        <i/>
        <sz val="10"/>
        <color theme="1"/>
        <rFont val="Calibri"/>
        <family val="2"/>
        <scheme val="minor"/>
      </rPr>
      <t>Abstract</t>
    </r>
    <r>
      <rPr>
        <i/>
        <sz val="10"/>
        <color theme="1"/>
        <rFont val="Calibri"/>
        <family val="2"/>
        <scheme val="minor"/>
      </rPr>
      <t>)</t>
    </r>
  </si>
  <si>
    <t>A Mixed-Methods Study of Low-Code Development
Platforms: Drivers of Digital Innovation in SMEs</t>
  </si>
  <si>
    <t>Laura Bies, Michelle Weber, Tobias Greff, Dirk Werth</t>
  </si>
  <si>
    <t>ICECCME</t>
  </si>
  <si>
    <t>Application of LCDP and Technology in Existing
Business Systems in Enterprise</t>
  </si>
  <si>
    <t>Liqin Fu;Feng Qiao;Qin Lin;Hanling Yang;An Liu;Xian Liu;Hong Li</t>
  </si>
  <si>
    <t>CCISP</t>
  </si>
  <si>
    <r>
      <rPr>
        <i/>
        <sz val="10"/>
        <color theme="1"/>
        <rFont val="Calibri"/>
        <family val="2"/>
        <scheme val="minor"/>
      </rPr>
      <t>. Currently, the methods and technologies
outlined in this paper have been applied in enterprises, not only
demonstrating the feasibility of this low-code code generation
ability, the architecture with technologies especially
emerging micro front-end and method to integrate, but also
concluding that enterprise development efficiency is improved,
and the more existing systems to apply in and the more modules
are generated and integrated into, the greater the efficiency gains. (</t>
    </r>
    <r>
      <rPr>
        <b/>
        <i/>
        <sz val="10"/>
        <color theme="1"/>
        <rFont val="Calibri"/>
        <family val="2"/>
        <scheme val="minor"/>
      </rPr>
      <t>Abstract</t>
    </r>
    <r>
      <rPr>
        <i/>
        <sz val="10"/>
        <color theme="1"/>
        <rFont val="Calibri"/>
        <family val="2"/>
        <scheme val="minor"/>
      </rPr>
      <t>)</t>
    </r>
  </si>
  <si>
    <t>Optimizing Research Laboratory Workflows in Algeria through Low-Code BPMN Implementation with BonitaSoft</t>
  </si>
  <si>
    <t>Mohamed RAMDANI1
, Mouna Salsabil Ferhati1
, Hadjer Lassel1
, Laid KAHLOUL1
, Chams Eddine Choucha</t>
  </si>
  <si>
    <t>ISNIB</t>
  </si>
  <si>
    <t>Proposing a Framework for Impact Analysis for Low-Code Development Platforms</t>
  </si>
  <si>
    <t>Michiel Overeem, Slinger Jansen</t>
  </si>
  <si>
    <t>Building Low-Code Applications with Mendix: Discover best practices and expert techniques to simplify enterprise web development</t>
  </si>
  <si>
    <t>Bryan Kenneweg; Imran Kasam; Micah McMullen; Michael Guido</t>
  </si>
  <si>
    <t>Comparative Study on Various Low Code Business Process Management Platforms</t>
  </si>
  <si>
    <t>N. Krishnaraj;
R. Vidhya;
R. Shankar;
N. Shruthi</t>
  </si>
  <si>
    <t>ICICT</t>
  </si>
  <si>
    <t>Low-Code/No-Code Meets GenAI: A New Era in Product Development</t>
  </si>
  <si>
    <t>Gunjan Paliwal;Anujkumarsinh Donvir;Praveen Gujar;Sriram Panyam</t>
  </si>
  <si>
    <t>ETCM</t>
  </si>
  <si>
    <t>NO</t>
  </si>
  <si>
    <t xml:space="preserve">Research on the application of low code orchestration
in power inspection and scheduling </t>
  </si>
  <si>
    <t>Shaolei Wang;Hongwei Wu;Xinchen Wang;Liujian Diao;Yuxiao Zhao;Hao He</t>
  </si>
  <si>
    <t>AEMCSE</t>
  </si>
  <si>
    <t>From Theory to Practice: Empirical Insights on BPM Lifecycle Adoption and Low-Code Utilization in SMEs</t>
  </si>
  <si>
    <t>PAVEL ARNO</t>
  </si>
  <si>
    <t>Codeless3D: Design and Usability Evaluation of a Low-Code Tool for 3-D Game Generation</t>
  </si>
  <si>
    <t>Christina Volioti;Vasileios Martsis;Apostolos Ampatzoglou;Euclid Keramopoulos;Alexander Chatzigeorgiou</t>
  </si>
  <si>
    <t>IEEE Transactions on Games</t>
  </si>
  <si>
    <t>Low-Code/No-Code Platforms: Impact and Concerns</t>
  </si>
  <si>
    <t>Omar Abahussain;Jaflah Al-Ammary</t>
  </si>
  <si>
    <t>ITIKD</t>
  </si>
  <si>
    <t>Description And Typification Of Low-Code Use Cases In Manufacturing Companies</t>
  </si>
  <si>
    <t>Kira Frings;Günther Schuh</t>
  </si>
  <si>
    <t>ICTMOD</t>
  </si>
  <si>
    <t>A Metadata-Driven Application Rapid Development Engine Design and Implementation</t>
  </si>
  <si>
    <t>Song Zou;Min You;Ning Xiao;Yonghua Wang</t>
  </si>
  <si>
    <t>ICFTIC</t>
  </si>
  <si>
    <t>Revolutionizing Process Automation: The Synergy of Low-Code Development Platforms, Robotic Process Automation, and Integrated Smart System Platform</t>
  </si>
  <si>
    <t>Noor Falih;Suhono Harso Supangkat;Fetty Fitriyanti Lubis;Okyza Maherdy Prabowo</t>
  </si>
  <si>
    <t>Design and Implementation of a Low-CodeIntelligent Service Platform</t>
  </si>
  <si>
    <t>Yuwei Hu;Jiejing Sun;Xueyuan Zheng;Ping Zong</t>
  </si>
  <si>
    <t>ICCCBDA</t>
  </si>
  <si>
    <t>Microsoft Power Apps Cookbook: Apply low-code recipes to solve everyday business challenges and become a Power Apps pro</t>
  </si>
  <si>
    <t>Eickhel Mendoza</t>
  </si>
  <si>
    <t>Design of A Cloud Native-Based Integrated Management Platform for Smart Operation of Multi-Business Buildings</t>
  </si>
  <si>
    <t>Hongbo Lang; Hua Tian; Daping Li; Ziyang Niu; Lijun Wen</t>
  </si>
  <si>
    <t>IHMSC</t>
  </si>
  <si>
    <t>A Low-Code Platform of Carbon Credit Trading Using Blockchain Technology: A Case Study in Nakhon Si Thammarat Province</t>
  </si>
  <si>
    <t>Piyawadee Pengna; Adisorn Leelasantitham; Yod Sukamongkol</t>
  </si>
  <si>
    <t>TIMES-iCON 2024</t>
  </si>
  <si>
    <t>AppCraft: Model-Driven Development Framework for Mobile Applications</t>
  </si>
  <si>
    <t>LYAN ALWAKEEL 1,2, KEVIN LANO 1 , AND HESSA ALFRAIHI</t>
  </si>
  <si>
    <t>Low-code platforms and languages: the future of software development</t>
  </si>
  <si>
    <t>Gabriel Juhás∗‡, Ludovít Molnár†‡, Ana Juhásová¶, Miriam Ondrišová§, Milan Mladoniczky∗, Tomáš Kovácik</t>
  </si>
  <si>
    <t>ICETA</t>
  </si>
  <si>
    <t>Development of a Smart Office System through LINE Official Account: A Case Study of the Public Sector Development Group, Department of Medical Services</t>
  </si>
  <si>
    <t>Jirayus Preechadech</t>
  </si>
  <si>
    <t>InCIT2024</t>
  </si>
  <si>
    <t>The Research of Low-Code Process Technology Applying on IT Operation and Maintenance System</t>
  </si>
  <si>
    <t>Yin Luo;Jingtao Shang;Mingming Dong;Yuqing Xiao;Lijuan Yang;Zhijia Liu</t>
  </si>
  <si>
    <t>IIoTBDSC</t>
  </si>
  <si>
    <t>HIGH RETURNS ON LOW CODE</t>
  </si>
  <si>
    <t>Mike Farish</t>
  </si>
  <si>
    <t>IET</t>
  </si>
  <si>
    <t>Readly - Books rating Low-Code Platform</t>
  </si>
  <si>
    <t>Bruno Nascimento;Rui Santos;Steven Abrantes;Carlos Quental</t>
  </si>
  <si>
    <t>Innovation of the Higher Education Grassroots Statistical Reports System based on Low-Code Development</t>
  </si>
  <si>
    <t>Jinshang Luo;Mengshu Hou</t>
  </si>
  <si>
    <t>ICMSS</t>
  </si>
  <si>
    <r>
      <rPr>
        <i/>
        <sz val="10"/>
        <color theme="1"/>
        <rFont val="Calibri"/>
        <family val="2"/>
        <scheme val="minor"/>
      </rPr>
      <t>In the context of the rapidly evolving landscape of application
development, Low-Code and No-Code approaches have gained
significant traction due to their efficiency and accessibility. This
article aims to highlight the integration of these approaches
within the development of the digital platform. Utilizing the capabilities of the OutSystems ecosystem, which inherently embraces
these concepts, the platform’s creation becomes a testament to
the versatility and benefits of such methodologies. In conclusion,
this digital platform not only caters to the needs of book lovers
by equipping them with a range of tools, but it also stands
as a prime example of the successful implementation of LowCode and No-Code development strategies (</t>
    </r>
    <r>
      <rPr>
        <b/>
        <i/>
        <sz val="10"/>
        <color theme="1"/>
        <rFont val="Calibri"/>
        <family val="2"/>
        <scheme val="minor"/>
      </rPr>
      <t>Abstract</t>
    </r>
    <r>
      <rPr>
        <i/>
        <sz val="10"/>
        <color theme="1"/>
        <rFont val="Calibri"/>
        <family val="2"/>
        <scheme val="minor"/>
      </rPr>
      <t>)</t>
    </r>
  </si>
  <si>
    <t>ML-Quadrat &amp; DriotData: A Model-Driven Engineering Tool and a Low-Code Platform for Smart IoT Services</t>
  </si>
  <si>
    <t>Armin Moin; Andrei Mituca; Moharram Challenger; Atta Badii; Stephan Günnemann</t>
  </si>
  <si>
    <t>ICSE-Companion</t>
  </si>
  <si>
    <t>Research and application of multi-source data collection method of power system based on microservice idea*</t>
  </si>
  <si>
    <t>Zhu Wang;Zhengjun Jing;Shaoquan Li;Gang Qi;Zhaoyang Wang</t>
  </si>
  <si>
    <t>PowerCon</t>
  </si>
  <si>
    <t>Student Request System Prototype Using Low-Code Development Platform</t>
  </si>
  <si>
    <t>Ittipon Rassameeroj; Pattarapong Jomkhamsri; Napatr Thaithaweewattana</t>
  </si>
  <si>
    <t>ADMIT</t>
  </si>
  <si>
    <t>Using Microsoft PowerApps, Mendix and OutSystems in Two Development Scenarios: An Experience Report</t>
  </si>
  <si>
    <t>Fulya Gürcan; Gabriele Taentzer</t>
  </si>
  <si>
    <t>Development of Low-Code Platform for Electrical Power Trading Using Blockchain and Artificial Intelligence</t>
  </si>
  <si>
    <t>Jirasak Phoo-In; Adisorn Leelasantitham; Yod Sukamongkol</t>
  </si>
  <si>
    <t>Research on State Data Mining Technology of Primary and Distribution Collaborative Grid Based on Low Code Credibility</t>
  </si>
  <si>
    <t>YingBao Cui; Qing Guo; Jing Liu; ShuLe Mao; LinYu Zhang; Wei Zhou</t>
  </si>
  <si>
    <t>ICNC-FSKD</t>
  </si>
  <si>
    <t>Automated Validation of Insurance Applications against Calculation Specifications</t>
  </si>
  <si>
    <t>Advaita Datar; Amey Zare; Asia A; R Venkatesh; Shrawan Kumar; Ulka Shrotri</t>
  </si>
  <si>
    <t>Design and implementation of an online registration system based on Siemens low-code platform</t>
  </si>
  <si>
    <t>Xin Liu; Wenhua Zhu</t>
  </si>
  <si>
    <t>Auto-Generation of Domain-Specific Systems: Cloud-Hosted DevOps for Business Users</t>
  </si>
  <si>
    <t>Saurabh Sinha; Tara Astigarraga; Richard B. Hull; Nerla Jean-Louis; Vugranam Sreedhar; Hao Chen</t>
  </si>
  <si>
    <t>Improving Business Process Resilience to Long-tailed Business Events via Low-code</t>
  </si>
  <si>
    <t>Jingwei Zhu; Jun Peng; Liang Zhang; Hong-Linh Truong</t>
  </si>
  <si>
    <t>Assessing the Quality of Low-Code and Model-Driven Engineering Platforms for Engineering IoT Systems</t>
  </si>
  <si>
    <t>Felicien Ihirwe; Davide Di Ruscio; Simone Gianfranceschi; Alfonso Pierantonio</t>
  </si>
  <si>
    <t>Use of Integrated Microsoft 365 and Power Platform in the Processing and Monitoring of On-the-Job Training (OJT) Program</t>
  </si>
  <si>
    <t>Allieson Ilao; Apple Gay Raquiza; Christian Aldwin Canlapan; Gian Mark Pulgar; Jan Guiller Vergara; Ron Andrei Soriano</t>
  </si>
  <si>
    <t>HNICEM</t>
  </si>
  <si>
    <t>Low-code/No-code Development : A systematic literature review</t>
  </si>
  <si>
    <t>Hind El Kamouchi; Mohamed Kissi; Omar El Beggar</t>
  </si>
  <si>
    <t>SITA</t>
  </si>
  <si>
    <t>Towards Low-Code Architecture and Development of Embedded Systems</t>
  </si>
  <si>
    <t>Felipe Xavier; Loek Cleophas; Michel R. V. Chaudron</t>
  </si>
  <si>
    <t>ICSA-C</t>
  </si>
  <si>
    <t>Exploring Oracle APEX for the University Data Analysis</t>
  </si>
  <si>
    <t>Ivan Pastierik; Michal Kvet</t>
  </si>
  <si>
    <t>The Necessity of Low-code Engineering for Industrial Software Development: A Case Study and Reflections</t>
  </si>
  <si>
    <t>Yi Wang; Yang Feng; Min Zhang; Pu Sun</t>
  </si>
  <si>
    <t>Pioneering Simplicity in Computer Vision: A First-Hand Account of Developing a Low-Code OpenCV Interface for Defect Detection Applications</t>
  </si>
  <si>
    <t>Pawat Chunhachatrachai; Chyi-Yeu Lin</t>
  </si>
  <si>
    <t>ECTI-CON</t>
  </si>
  <si>
    <r>
      <rPr>
        <i/>
        <sz val="10"/>
        <color theme="1"/>
        <rFont val="Calibri"/>
        <family val="2"/>
        <scheme val="minor"/>
      </rPr>
      <t>The empirical evidence presented in this paper elucidates
the transformative potential of low-code development
platforms in the field of computer vision. The comparative
analysis between traditional hard coding and the low-code
approach across different levels of developer expertise has
yielded compelling results. It is evident from the data that
low-code platforms can significantly streamline the
development process, reducing the time investment (</t>
    </r>
    <r>
      <rPr>
        <b/>
        <i/>
        <sz val="10"/>
        <color theme="1"/>
        <rFont val="Calibri"/>
        <family val="2"/>
        <scheme val="minor"/>
      </rPr>
      <t>Conclusion</t>
    </r>
    <r>
      <rPr>
        <i/>
        <sz val="10"/>
        <color theme="1"/>
        <rFont val="Calibri"/>
        <family val="2"/>
        <scheme val="minor"/>
      </rPr>
      <t>)</t>
    </r>
  </si>
  <si>
    <t>Performance and Scalability of DMN-Based LCNC Platforms</t>
  </si>
  <si>
    <t>Octavian Patrascoiu</t>
  </si>
  <si>
    <r>
      <rPr>
        <i/>
        <sz val="11"/>
        <color theme="1"/>
        <rFont val="Calibri"/>
        <family val="2"/>
        <scheme val="minor"/>
      </rPr>
      <t>he quality of an LCNCP can be measured by external attributes such as functionality, reliability, usability, flexibility, efficiency, and maintainability. When businesses decide on using an LCNCP, they place significant importance on efficiency, which can be evaluated based on factors like performance and scalability</t>
    </r>
    <r>
      <rPr>
        <i/>
        <sz val="10"/>
        <color theme="1"/>
        <rFont val="Calibri"/>
        <family val="2"/>
        <scheme val="minor"/>
      </rPr>
      <t xml:space="preserve"> (</t>
    </r>
    <r>
      <rPr>
        <b/>
        <i/>
        <sz val="10"/>
        <color theme="1"/>
        <rFont val="Calibri"/>
        <family val="2"/>
        <scheme val="minor"/>
      </rPr>
      <t>Abstract</t>
    </r>
    <r>
      <rPr>
        <i/>
        <sz val="10"/>
        <color theme="1"/>
        <rFont val="Calibri"/>
        <family val="2"/>
        <scheme val="minor"/>
      </rPr>
      <t>)</t>
    </r>
  </si>
  <si>
    <t>Low-Code Versus Code-Based Software Development: Which Wins the Productivity Game?</t>
  </si>
  <si>
    <t>António Trigo;João Varajão;Miguel Almeida</t>
  </si>
  <si>
    <t>IT Professional</t>
  </si>
  <si>
    <t>An Empirical Investigation on Android App Testing Practices</t>
  </si>
  <si>
    <t>Tarek Mahmud; Meiru Che; Anne H. H. Ngu; Guowei Yang</t>
  </si>
  <si>
    <t>ISSRE</t>
  </si>
  <si>
    <t>Exit the Code: A Model for Understanding Career Abandonment Intention Among Software Developers</t>
  </si>
  <si>
    <t>Tiago Massoni; Ricardo Duarte; Ruan Oliveira</t>
  </si>
  <si>
    <t>CHASE</t>
  </si>
  <si>
    <t>Construction of a Joint Simulation Platform Using SUMO, CARLA, and Autoware and Its Application in Multi-Vehicle Interactions at Unsignalized Intersections</t>
  </si>
  <si>
    <t>Bo Liu; Haoyang Duan; Jian He; Rongrong Li; Hao Li; Yifei Sun</t>
  </si>
  <si>
    <t>ISEAE</t>
  </si>
  <si>
    <t>Business Process Modeling for Industrial Internet Application via BPMN Extension</t>
  </si>
  <si>
    <t>IEEE Transactions on Automation Science and Engineering</t>
  </si>
  <si>
    <t>Building Smart Agriculture Applications Using Low-Code Tools: The Case for DisCoPar</t>
  </si>
  <si>
    <t>Isaac Nyabisa Oteyo; Angel Luis Scull Pupo; Jesse Zaman; Stephen Kimani; Wolfgang De Meuter; Elisa Gonzalez Boix</t>
  </si>
  <si>
    <t>Microservices-Driven Automation in Full-Stack Development: Bridging Efficiency and Innovation With FSMicroGenerator</t>
  </si>
  <si>
    <t>Samira Khalfaoui; Hafida Khalfaoui; Abdellah Azmani</t>
  </si>
  <si>
    <t>Construction of a New Smart Production Safety Management System</t>
  </si>
  <si>
    <t>Jian Yang</t>
  </si>
  <si>
    <t>ICISC</t>
  </si>
  <si>
    <t>Towards Multi-Perspective Consulting in times of Disruption</t>
  </si>
  <si>
    <t>Stephen Ryan; Barbara Steffen</t>
  </si>
  <si>
    <t>Challenges for Model-Driven Development of Strategically Aligned Information Systems</t>
  </si>
  <si>
    <t>Rene Noel; Jose Ignacio Panach; Oscar Pastor</t>
  </si>
  <si>
    <t>Characterizing the Developer Groups for Metaverse Services in Roblox</t>
  </si>
  <si>
    <t>Haiyang Shen; Yun Ma</t>
  </si>
  <si>
    <t>SSE</t>
  </si>
  <si>
    <t>Model-Driven-Design of NREn Bridging Application: Case Study AfgREN</t>
  </si>
  <si>
    <t>Salim Saay; Tiziana Margaria</t>
  </si>
  <si>
    <t>OSTRICH - A Type-Safe Template Language for Low-Code Development</t>
  </si>
  <si>
    <t>Hugo Lourenço; Carla Ferreira; João Costa Seco</t>
  </si>
  <si>
    <t>Experiment on Utilizing GPT-3.5 Language Model to Generate DSL of Data Management for Web Application Development using Qore-Base Platform</t>
  </si>
  <si>
    <t>Akifa Nabil Ufairah; Yani Widyani</t>
  </si>
  <si>
    <t>ICoDSE</t>
  </si>
  <si>
    <t>Digital Interconnected Intelligent Decision-Making Platform Based on AI Technology</t>
  </si>
  <si>
    <t>Xiaoxiong Li;Shuanglei Peng;Xuejia Ma;Zhizhao Tian;Xiao He;Yin Wang</t>
  </si>
  <si>
    <t>AIITA</t>
  </si>
  <si>
    <t>Design and Realisation of Carbon Emission Management System</t>
  </si>
  <si>
    <t>Xiaoju Ma; Xuan He; Yuhao Li; Chengzuo Yu</t>
  </si>
  <si>
    <t>Interactive Behavior-driven Development: a Low-code Perspective</t>
  </si>
  <si>
    <t>Nitish Patkar; Andrei Chiş; Nataliia Stulova; Oscar Nierstrasz</t>
  </si>
  <si>
    <t>A journey towards future substations via an internet of things test environment</t>
  </si>
  <si>
    <t>B. Römer; B. Ritt; M. Rudolph; T. Herden</t>
  </si>
  <si>
    <t>Can Low-Code Languages be Used for Core Enterprise Applications?</t>
  </si>
  <si>
    <t>Gabriel Juhás; Ana Juhásová; Milan Mladoniczky; Luboš Petrovič; Ján Lacko</t>
  </si>
  <si>
    <r>
      <rPr>
        <i/>
        <sz val="10"/>
        <color theme="1"/>
        <rFont val="Calibri"/>
        <family val="2"/>
        <scheme val="minor"/>
      </rPr>
      <t>This popularity arises from the fact that low-code
platforms on one hand speed up the application development
process and on the other hand they make the application
development accessible for business users without deep expertise
in information technologies, i.e. for so-called citizen developers.
At the same time, there is a widely spread opinion that low-code
platforms can only be used for simple applications, consisting
often in only single process automation. There is a strong
belief that there is a necessary trade off between simplicity
and complexity - a platform simple to use cannot be used to
automate complex systems. In this paper we discuss whether this
is necessarily true (</t>
    </r>
    <r>
      <rPr>
        <b/>
        <i/>
        <sz val="10"/>
        <color theme="1"/>
        <rFont val="Calibri"/>
        <family val="2"/>
        <scheme val="minor"/>
      </rPr>
      <t>Abstract</t>
    </r>
    <r>
      <rPr>
        <i/>
        <sz val="10"/>
        <color theme="1"/>
        <rFont val="Calibri"/>
        <family val="2"/>
        <scheme val="minor"/>
      </rPr>
      <t>)</t>
    </r>
  </si>
  <si>
    <t>Platform to Promote Regional Professional Ecosystems</t>
  </si>
  <si>
    <t>João Cardoso; Fernando Ribeiro; José Metrôlho</t>
  </si>
  <si>
    <t>CISTI</t>
  </si>
  <si>
    <t>Low Code Backend As A Service Platform</t>
  </si>
  <si>
    <t>Abijith Prasanthan; K S Anand; Bharath Prathap Nair; K Gautham Santhosh; J Swaminathan</t>
  </si>
  <si>
    <t>WCONF</t>
  </si>
  <si>
    <t>We Help : Platform to find service providers</t>
  </si>
  <si>
    <t>Rita Rei; José Metrôlho; Fernando Ribeiro</t>
  </si>
  <si>
    <t>Towards stability, predictability, and quality of intelligent automation services*: product journey from on-premise to as-a-service at ECIT Group</t>
  </si>
  <si>
    <t>Damian Kedziora; Edona Elshan; Dominik Siemon; Monika Sońta</t>
  </si>
  <si>
    <t>IWSiB</t>
  </si>
  <si>
    <t>A Low-Code Development Platform for Industrialized Insect-based Bioconversion Systems</t>
  </si>
  <si>
    <t>Cheng Pang; Jinxian Liang; Guangtao Yu; Jibin Zhang; Hiroaki Nishi; Kevin I-Kai Wang</t>
  </si>
  <si>
    <t>ISIE</t>
  </si>
  <si>
    <t>Optimizing IoT Edge Processes Using Low-Code Platforms</t>
  </si>
  <si>
    <t>Junior Dongo; Charif Mahmoudi</t>
  </si>
  <si>
    <t>FMEC</t>
  </si>
  <si>
    <t>An Intelligent Tutoring System Proposal Based on Chatbot and Learning Styles to the Project Management Study</t>
  </si>
  <si>
    <t>Ewerton F.F. Silva; Davi M. Maia; Simone C. Dos Santos; Alixandre F. Santana</t>
  </si>
  <si>
    <t>FIE</t>
  </si>
  <si>
    <t>Investigation on Integration of Machine Learning Techniques into LC/NC Platforms for Code Review, Quality Assessment, and Error Detection Automation</t>
  </si>
  <si>
    <t>Dikshya Choudhury; Deepa Gupta</t>
  </si>
  <si>
    <t>ICRITO</t>
  </si>
  <si>
    <t>Towards LLM-Powered Consistency in Model-Based Low-Code Platforms</t>
  </si>
  <si>
    <t>Nathan Hagel; Nicolas Hili; Alexander Bartel; Anne Koziolek</t>
  </si>
  <si>
    <t>From Builders to Editors: Bidirectional Transformations of Low-code Models</t>
  </si>
  <si>
    <t>João Ramalho; Hugo Lourenço; João Costa Seco</t>
  </si>
  <si>
    <t>Teaching Component-Based Software Engineering and Visual Programming Language Techniques to Information Technology Students in Kenya</t>
  </si>
  <si>
    <t>Isaac NYABISA OTEYO; Eunice MWANGI; Stephen KIMANI</t>
  </si>
  <si>
    <t>IST-Africa</t>
  </si>
  <si>
    <t>LLM4Workflow: An LLM-based Automated Workflow Model Generation Tool</t>
  </si>
  <si>
    <t>Jia Xu; Weilin Du; Xiao Liu; Xuejun Li</t>
  </si>
  <si>
    <t>ASE</t>
  </si>
  <si>
    <t>On the Use of Low-Code and No-Code Tools for Teaching Data Science in Applied Industrial and University Settings</t>
  </si>
  <si>
    <t>Martin Dobler; Jürg Meierhofer; Klaus Frick; Marcus Bentele</t>
  </si>
  <si>
    <t>Creating a Low-Code Business Process Execution Platform With Python, BPMN, and DMN</t>
  </si>
  <si>
    <t>Dank Funk</t>
  </si>
  <si>
    <t>Power Platform and the AI Revolution: Explore modern AI services to develop apps, bots, and automation patterns to enhance customer experiences</t>
  </si>
  <si>
    <t>Aaron Guilmette</t>
  </si>
  <si>
    <t>Cloud-based modeling in IoT domain: a survey, open challenges and opportunities</t>
  </si>
  <si>
    <t>Felicien Ihirwe; Arsene Indamutsa; Davide Di Ruscio; Silvia Mazzini; Alfonso Pierantonio</t>
  </si>
  <si>
    <t>Introduction of an Assistance System to Support Domain Experts in Programming Low-Code to Leverage Industry 5.0</t>
  </si>
  <si>
    <t>Eva-Maria Neumann; Birgit Vogel-Heuser; Fabian Haben; Marius Krüger; Timotheus Wieringa</t>
  </si>
  <si>
    <t>Development of Intelligent Thermal Power Plant Data Acquisition Platform Based on Transport Driver Interface</t>
  </si>
  <si>
    <t>Ziyu Yan; Erxin Yin; Xiaobin Lin; Danhao Wang; Daogang Peng; Yuzhen Sun</t>
  </si>
  <si>
    <t>ACPEE</t>
  </si>
  <si>
    <t>Low-Code Automation for Resolving Incidents During Class Schedule Registration</t>
  </si>
  <si>
    <t>Perla Marlene Viera-González; Osvaldo Habib González-González; Guillermo Ezequiel Sánchez-Guerrero</t>
  </si>
  <si>
    <t>IEEE</t>
  </si>
  <si>
    <t>Rapid Application Development and data management using Oracle APEX and SQL</t>
  </si>
  <si>
    <t>Michal Kvet</t>
  </si>
  <si>
    <t>SAMI</t>
  </si>
  <si>
    <t>Leveraging the Power of LLMs to Transform Robot Programs into Low-Code</t>
  </si>
  <si>
    <t>Bernhard Schenkenfelder; Christian Salomon; Martin Schwandtner; Raphael Zefferer; Michael Derfler; Manuel Wimmer</t>
  </si>
  <si>
    <t>ETFA</t>
  </si>
  <si>
    <t>Dash: A Low Code Development Platform for AI Applications in Industry</t>
  </si>
  <si>
    <t>Yifan Wang; Weijia Song; Yuting Yang; Charif Mahmoudi; Shashank Shekhar; Kenneth P. Birman</t>
  </si>
  <si>
    <t>UEMCON</t>
  </si>
  <si>
    <t>Towards Low-Code Adaptive Case Management Solutions with Dynamic Condition Response Graphs, Subprocesses and Data</t>
  </si>
  <si>
    <t>Rasmus Iven Strømsted; Morten Marquard; Emil Heuck</t>
  </si>
  <si>
    <t>Breaking Barriers in Semiconductor Simulations: An Automated Low-Code Framework for Model-Structure Synchronisation and Large-Scale Simulation Studies</t>
  </si>
  <si>
    <t>Madlene Leißau; Christoph Laroque</t>
  </si>
  <si>
    <t>WSC</t>
  </si>
  <si>
    <t>IoT Based Water Quality and Usage Monitoring System</t>
  </si>
  <si>
    <t>Pandiselvam Pandiyarajan; Usthili Sugunabhiram; Sunkaraboina Naveen; Thakkolu Sai Nivas; Thirumalakonda Sreenu</t>
  </si>
  <si>
    <t>ICCRTEE</t>
  </si>
  <si>
    <t>Dynamic Provisioning of REST APIs for Model Management</t>
  </si>
  <si>
    <t>Adiel Tuyishime; Francesco Basciani; Javier Luis Cánovas Izquierdo; Ludovico Iovino</t>
  </si>
  <si>
    <t>ICWS</t>
  </si>
  <si>
    <t>Multitenancy in Single Instance of Data Persistence Service for Supporting Low-Code Platforms</t>
  </si>
  <si>
    <t>Júlio Gustavo Costa; Luiz Marcos Garcia Gonçalves; Samuel Xavier-de-Souza</t>
  </si>
  <si>
    <t>Low-Coupling and High-Cohesion Microservice Partitioning Method to Support Rapid Development of Steel Industry Management Systems</t>
  </si>
  <si>
    <t>Hanbin Zhu; Hongxia Cai</t>
  </si>
  <si>
    <t>ICCCI</t>
  </si>
  <si>
    <t>A Scalable Cloud–Edge Collaborative Approach for Intelligent Low-Code Fault Diagnosis: Successful Applications of Agile Migration Deployment in Heterogeneous Fault Diagnosis Scenarios</t>
  </si>
  <si>
    <t>Luo Fang; Jiafu Wan; Hu Cai; Shiyong Wang; Zhibo Pang; Mejdl Safran</t>
  </si>
  <si>
    <t>IEEE Industrial Electronics Magazine</t>
  </si>
  <si>
    <t>Motivating and Demystifying IoT Learning with Hackathons in a Maker Space, Low-code Development and Rapid Prototyping</t>
  </si>
  <si>
    <t>Kiev Gama</t>
  </si>
  <si>
    <t>SERP4IoT</t>
  </si>
  <si>
    <t>Low-Code Microcontroller Programming: A Case Study with LoRa WAN Technology</t>
  </si>
  <si>
    <t>Samuel Santos Troina; Maiquel dos Santos Canabarro; Felipe de Souza Marques</t>
  </si>
  <si>
    <t>LASCAS</t>
  </si>
  <si>
    <t>Democratization of Smart Contracts: A Prototype for Automated Contract Generation</t>
  </si>
  <si>
    <t>Felix Franz; Tobias Fertig; Andreas E. Schütz</t>
  </si>
  <si>
    <t>ICBC</t>
  </si>
  <si>
    <t>A Performant Low-Code System for the Timely Implementation of Road Safety Regulations</t>
  </si>
  <si>
    <t>Lars Westermann; Johannes Mey; René Schöne; Uwe Aßmann</t>
  </si>
  <si>
    <t>Low-code ChatOps for Microservices Systems Using Service Composition</t>
  </si>
  <si>
    <t>Sheng-Kai Wang; Shang-Pin Ma; Chen-Hao Chao; Guan-Hong Lai</t>
  </si>
  <si>
    <t>ICEBE</t>
  </si>
  <si>
    <t>Vehicle Domain-Specific Language: Unifying Modeling and Code Generation for Low-Code Automotive Development</t>
  </si>
  <si>
    <t>Lei Liao; Junjie Wang; Zhensheng Xu; Fangwen Mu; Yukun Yang</t>
  </si>
  <si>
    <t>Distributed log collection for business processes based on ELK architecture</t>
  </si>
  <si>
    <t>Yize Zong</t>
  </si>
  <si>
    <t>EEBDA</t>
  </si>
  <si>
    <t>ML4ProFlow: A Framework for Low-Code Data Processing from Edge to Cloud in Industrial Production</t>
  </si>
  <si>
    <t>Christian Klarhorst; Dennis Quirin; Marc Hesse; Ulrich Rückert</t>
  </si>
  <si>
    <t>MagicItem: Dynamic Behavior Design of Virtual Objects With Large Language Models in a Commercial Metaverse Platform</t>
  </si>
  <si>
    <t>Ryutaro Kurai; Takefumi Hiraki; Yuichi Hiroi; Yutaro Hirao; Monica Perusquía-Hernández; Hideaki Uchiyama</t>
  </si>
  <si>
    <t>The Future of Software Testing Automation: Innovations, Challenges, and Emerging Alternatives</t>
  </si>
  <si>
    <t>Vaidehi Shah; Pranay Yadav</t>
  </si>
  <si>
    <t>ICICI</t>
  </si>
  <si>
    <t>Optimizing Pega Healthcare Solutions with Hyperscalers: A Scalable Cloud-First Approach to Digital Transformation</t>
  </si>
  <si>
    <t>Harikrishnan Muthukrishnan; Sairohith Thummarakoti</t>
  </si>
  <si>
    <t>IEEE Cloud Summit</t>
  </si>
  <si>
    <t>Streamlining Data Exchange in Intelligent Mines: Cross-System Services Leveraging the Industrial Internet Platform</t>
  </si>
  <si>
    <t>Maoquan Wan; Hao Wang</t>
  </si>
  <si>
    <t>MDE-Based Approach for Accelerating the Development of Recommender Systems in Smart Tourism</t>
  </si>
  <si>
    <t>Adnane Souha; Charaf Ouaddi; Lamya Benaddi; Lahbib Naimi; El Mahi Bouziane; Abdeslam Jakimi</t>
  </si>
  <si>
    <t>Towards Empowering Ubiquitous Computing as a Service with Blockchain Capabilities for Sustainable Manufacturing, Agriculture, Cities, and Buildings</t>
  </si>
  <si>
    <t>Mirco Soderi; John Gerard Breslin</t>
  </si>
  <si>
    <t>CCGridW</t>
  </si>
  <si>
    <t>Design and implementation of protocol processing model based on responsibility chain and reflection mechanism</t>
  </si>
  <si>
    <t>Xiangfei Gao; Feng Gao</t>
  </si>
  <si>
    <t>Combining Low-Code Programming and SDL-Based Modeling with Snap! in the Industry 4.0 Context</t>
  </si>
  <si>
    <t>Xavier Pi i Palomés; Pere Tuset-Peiró; Pau Fonseca i Casas</t>
  </si>
  <si>
    <t>Low-Code Development in Worker Assistance Systems: Improving Flexibility and Adaptability</t>
  </si>
  <si>
    <t>Marc Brünninghaus; Carsten Röcker</t>
  </si>
  <si>
    <t>Anomaly Detection and Business Process Orchestration for Low-Code Platform in Power System Based on Deep-Cross Model With Data Balancing</t>
  </si>
  <si>
    <t>Jin Huang; Ming Sheng Xu; Chang Ming Zhu; Guo An Wang</t>
  </si>
  <si>
    <t>Trigger condition based test generation for finding security bugs</t>
  </si>
  <si>
    <t>Jie Liu; Qiang Wei; Qing-xian Wang; Tao Guo</t>
  </si>
  <si>
    <t>no</t>
  </si>
  <si>
    <t>LLM-Powered Low-Code/No-Code Data Analytics in Education and Workforce Development</t>
  </si>
  <si>
    <t>Chen Zhong; John Oruongo; J. B. Joo Baek Kim</t>
  </si>
  <si>
    <t>Computer</t>
  </si>
  <si>
    <r>
      <rPr>
        <i/>
        <sz val="10"/>
        <color theme="1"/>
        <rFont val="Calibri"/>
        <family val="2"/>
        <scheme val="minor"/>
      </rPr>
      <t>Then, we
conducted an empirical study at a university to examine
how LC/NC tools enable complex data analyses
without requiring extensive programming training (</t>
    </r>
    <r>
      <rPr>
        <b/>
        <i/>
        <sz val="10"/>
        <color theme="1"/>
        <rFont val="Calibri"/>
        <family val="2"/>
        <scheme val="minor"/>
      </rPr>
      <t>Abstract</t>
    </r>
    <r>
      <rPr>
        <i/>
        <sz val="10"/>
        <color theme="1"/>
        <rFont val="Calibri"/>
        <family val="2"/>
        <scheme val="minor"/>
      </rPr>
      <t>)</t>
    </r>
  </si>
  <si>
    <t>An FPGA implementation of low-density parity-check code decoder with multi-rate capability</t>
  </si>
  <si>
    <t>Lei Yang; Manyuan Shen; Hui Liu; C.J.R. Shi</t>
  </si>
  <si>
    <t>EasyFL: A Low-Code Federated Learning Platform for Dummies</t>
  </si>
  <si>
    <t>Weiming Zhuang; Xin Gan; Yonggang Wen; Shuai Zhang</t>
  </si>
  <si>
    <t>Towards a Seamless Integration of IoT Devices with IoT Platforms Using a Low-Code Approach</t>
  </si>
  <si>
    <t>Silviu-George Pantelimon; Tudor Rogojanu; Andreea Braileanu; Valeriu-Daniel Stanciu; Ciprian Dobre</t>
  </si>
  <si>
    <t>Solution Discovery over Feature Toggling with Built-in Abstraction in OutSystems</t>
  </si>
  <si>
    <t>Bárbara Lopes; Sérgio Amorim; Carla Ferreira</t>
  </si>
  <si>
    <t>Enhancing Smart Agriculture Scenarios with Low-code, Pattern-oriented functionalities for Cloud/Edge collaboration</t>
  </si>
  <si>
    <t>Georgios Fatouros; George Kousiouris; Theophile Lohier; Georgios Makridis; Ariana Polyviou; John Soldatos</t>
  </si>
  <si>
    <t>DCOSS-IoT</t>
  </si>
  <si>
    <t>HMILink: a zero-code programming system for embedded screen-type HMI</t>
  </si>
  <si>
    <t>Qifei Zhang; Sihao Chen; Runze Chen; Rongpeng Ke; Xiaoxiao Guo; Xiubo Liang</t>
  </si>
  <si>
    <t>On the Uncertainty in IoT-enabled Business Processes using Artificial Intelligence Components</t>
  </si>
  <si>
    <t>Marc Hesenius; Nils Schwenzfeier; Ole Meyer; Volker Gruhn</t>
  </si>
  <si>
    <t>Efficient Smart Grid Data Updating and Diagnostics for Transformer Loading Management</t>
  </si>
  <si>
    <t>Engr. Allan Jay L. Baco; Atty. Dionel O. Albina</t>
  </si>
  <si>
    <t>A Low-Code Approach for Data View Extraction from Engineering Models with GraphQL</t>
  </si>
  <si>
    <t>István Koren; Nico Jansen; Judith Michael; Bernhard Rumpe; Enno Böse</t>
  </si>
  <si>
    <t>Microsoft Power Apps Cookbook: Become a pro Power Apps maker by applying practical use cases to solve ever-evolving business challenges</t>
  </si>
  <si>
    <t>Xatkit: A Multimodal Low-Code Chatbot Development Framework</t>
  </si>
  <si>
    <t>Gwendal Daniel; Jordi Cabot; Laurent Deruelle; Mustapha Derras</t>
  </si>
  <si>
    <t>Design and Implementation of Underwater Acoustic Signal Acquisition and Display Software Based on PyQt5</t>
  </si>
  <si>
    <t>Chao Li; Yulan Huang; Shuang Liu; Lei Yue; Baojun Liu</t>
  </si>
  <si>
    <t>ISSET</t>
  </si>
  <si>
    <t>The analysis of programming competency in test driven development</t>
  </si>
  <si>
    <t>Norzariyah Yahya; Normi Sham Awang Abu Bakar</t>
  </si>
  <si>
    <t>BugOut: Automated Test Generation and Bug Detection for Low-Code</t>
  </si>
  <si>
    <t>Joana Coutinho; Alexandre Lemos; Miguel Terra-Neves; André Ribeiro; Vasco Manquinho; Rui Quintino</t>
  </si>
  <si>
    <t>ICST</t>
  </si>
  <si>
    <t>Coding and modulation techniques for high spectral efficiency transmission in 5G and satcom</t>
  </si>
  <si>
    <t>Haesik Kim</t>
  </si>
  <si>
    <t>Cuvis.AI: An Open-Source, Low-Code Software Ecosystem for Hyperspectral Processing and Classification</t>
  </si>
  <si>
    <t>Nathaniel Hanson; Philip Manke; Simon Birkholz; Maximilian Mühlbauer; Rene Heine; Arnd Brandes</t>
  </si>
  <si>
    <t>WHISPERS</t>
  </si>
  <si>
    <t>Lowcaf: A Low-Code Protocol Analysis Framework</t>
  </si>
  <si>
    <t>Alexander Frank; Michael Steinke; Wolfgang Hommel</t>
  </si>
  <si>
    <t>CNSM</t>
  </si>
  <si>
    <t>ACM DL</t>
  </si>
  <si>
    <t>AD</t>
  </si>
  <si>
    <t>Low-code vs. the developer: An empirical study on the developer experience and efficiency of a no-code platform</t>
  </si>
  <si>
    <t>AD1</t>
  </si>
  <si>
    <t>AD2</t>
  </si>
  <si>
    <t>AD3</t>
  </si>
  <si>
    <t>AD4</t>
  </si>
  <si>
    <t>AD5</t>
  </si>
  <si>
    <t>AD6</t>
  </si>
  <si>
    <t>AD7</t>
  </si>
  <si>
    <t>AD8</t>
  </si>
  <si>
    <t>AD9</t>
  </si>
  <si>
    <t>AD10</t>
  </si>
  <si>
    <t>AD11</t>
  </si>
  <si>
    <t>AD12</t>
  </si>
  <si>
    <t>AD13</t>
  </si>
  <si>
    <t>AD14</t>
  </si>
  <si>
    <t>AD15</t>
  </si>
  <si>
    <t>AD16</t>
  </si>
  <si>
    <t>AD17</t>
  </si>
  <si>
    <t>AD18</t>
  </si>
  <si>
    <t>AD19</t>
  </si>
  <si>
    <t>AD20</t>
  </si>
  <si>
    <t>AD21</t>
  </si>
  <si>
    <t>AD22</t>
  </si>
  <si>
    <t>AD23</t>
  </si>
  <si>
    <t>AD24</t>
  </si>
  <si>
    <t>AD25</t>
  </si>
  <si>
    <t>AD26</t>
  </si>
  <si>
    <t>AD27</t>
  </si>
  <si>
    <t>AD28</t>
  </si>
  <si>
    <t>AD29</t>
  </si>
  <si>
    <t>AD30</t>
  </si>
  <si>
    <t>AD31</t>
  </si>
  <si>
    <t>AD32</t>
  </si>
  <si>
    <t>AD33</t>
  </si>
  <si>
    <t>AD34</t>
  </si>
  <si>
    <t>AD35</t>
  </si>
  <si>
    <t>AD36</t>
  </si>
  <si>
    <t>AD37</t>
  </si>
  <si>
    <t>AD38</t>
  </si>
  <si>
    <t>AD39</t>
  </si>
  <si>
    <t>AD40</t>
  </si>
  <si>
    <t>AD41</t>
  </si>
  <si>
    <t>AD42</t>
  </si>
  <si>
    <t>AD43</t>
  </si>
  <si>
    <t>AD44</t>
  </si>
  <si>
    <t>AD45</t>
  </si>
  <si>
    <t>AD46</t>
  </si>
  <si>
    <t>AD47</t>
  </si>
  <si>
    <t>AD48</t>
  </si>
  <si>
    <t>AD49</t>
  </si>
  <si>
    <t>AD50</t>
  </si>
  <si>
    <t>AD51</t>
  </si>
  <si>
    <t>AD52</t>
  </si>
  <si>
    <t>AD53</t>
  </si>
  <si>
    <t>AD54</t>
  </si>
  <si>
    <t>AD55</t>
  </si>
  <si>
    <t>AD56</t>
  </si>
  <si>
    <t>AD57</t>
  </si>
  <si>
    <t>AD58</t>
  </si>
  <si>
    <t>AD59</t>
  </si>
  <si>
    <t>AD60</t>
  </si>
  <si>
    <t>AD61</t>
  </si>
  <si>
    <t>AD62</t>
  </si>
  <si>
    <t>AD63</t>
  </si>
  <si>
    <t>AD64</t>
  </si>
  <si>
    <t>AD65</t>
  </si>
  <si>
    <t>AD66</t>
  </si>
  <si>
    <t>AD67</t>
  </si>
  <si>
    <t>AD68</t>
  </si>
  <si>
    <t>AD69</t>
  </si>
  <si>
    <t>AD70</t>
  </si>
  <si>
    <t>AD71</t>
  </si>
  <si>
    <t>AD72</t>
  </si>
  <si>
    <t>AD73</t>
  </si>
  <si>
    <t>AD74</t>
  </si>
  <si>
    <t>AD75</t>
  </si>
  <si>
    <t>AD76</t>
  </si>
  <si>
    <t>AD77</t>
  </si>
  <si>
    <t>AD78</t>
  </si>
  <si>
    <t>AD79</t>
  </si>
  <si>
    <t>AD80</t>
  </si>
  <si>
    <t>AD81</t>
  </si>
  <si>
    <t>AD82</t>
  </si>
  <si>
    <t>AD83</t>
  </si>
  <si>
    <t>AD84</t>
  </si>
  <si>
    <t>AD85</t>
  </si>
  <si>
    <t>AD86</t>
  </si>
  <si>
    <t>AD87</t>
  </si>
  <si>
    <t>AD88</t>
  </si>
  <si>
    <t>AD89</t>
  </si>
  <si>
    <t>AD90</t>
  </si>
  <si>
    <t>AD91</t>
  </si>
  <si>
    <t>AD92</t>
  </si>
  <si>
    <t>AD93</t>
  </si>
  <si>
    <t>AD94</t>
  </si>
  <si>
    <t>AD95</t>
  </si>
  <si>
    <t>AD96</t>
  </si>
  <si>
    <t>AD97</t>
  </si>
  <si>
    <t>AD98</t>
  </si>
  <si>
    <t>AD99</t>
  </si>
  <si>
    <t>AD100</t>
  </si>
  <si>
    <t>AD101</t>
  </si>
  <si>
    <t>AD102</t>
  </si>
  <si>
    <t>AD103</t>
  </si>
  <si>
    <t>AD104</t>
  </si>
  <si>
    <t>AD105</t>
  </si>
  <si>
    <t>AD106</t>
  </si>
  <si>
    <t>AD107</t>
  </si>
  <si>
    <t>AD108</t>
  </si>
  <si>
    <t>AD109</t>
  </si>
  <si>
    <t>AD110</t>
  </si>
  <si>
    <t>AD111</t>
  </si>
  <si>
    <t>AD112</t>
  </si>
  <si>
    <t>AD113</t>
  </si>
  <si>
    <t>AD114</t>
  </si>
  <si>
    <t>AD115</t>
  </si>
  <si>
    <t>AD116</t>
  </si>
  <si>
    <t>AD117</t>
  </si>
  <si>
    <t>AD118</t>
  </si>
  <si>
    <t>AD119</t>
  </si>
  <si>
    <t>AD120</t>
  </si>
  <si>
    <t>AD121</t>
  </si>
  <si>
    <t>AD122</t>
  </si>
  <si>
    <t>AD123</t>
  </si>
  <si>
    <t>AD124</t>
  </si>
  <si>
    <t>AD125</t>
  </si>
  <si>
    <t>AD126</t>
  </si>
  <si>
    <t>AD127</t>
  </si>
  <si>
    <t>AD128</t>
  </si>
  <si>
    <t>AD129</t>
  </si>
  <si>
    <t>AD130</t>
  </si>
  <si>
    <t>AD131</t>
  </si>
  <si>
    <t>AD132</t>
  </si>
  <si>
    <t>AD133</t>
  </si>
  <si>
    <t>AD134</t>
  </si>
  <si>
    <t>AD135</t>
  </si>
  <si>
    <t>AD136</t>
  </si>
  <si>
    <t>AD137</t>
  </si>
  <si>
    <t>AD138</t>
  </si>
  <si>
    <t>AD139</t>
  </si>
  <si>
    <t>AD140</t>
  </si>
  <si>
    <t>AD141</t>
  </si>
  <si>
    <t>AD142</t>
  </si>
  <si>
    <t>AD143</t>
  </si>
  <si>
    <t>AD144</t>
  </si>
  <si>
    <t>AD145</t>
  </si>
  <si>
    <t>AD146</t>
  </si>
  <si>
    <t>AD147</t>
  </si>
  <si>
    <t>AD148</t>
  </si>
  <si>
    <t>AD149</t>
  </si>
  <si>
    <t>AD150</t>
  </si>
  <si>
    <t>AD151</t>
  </si>
  <si>
    <t>AD152</t>
  </si>
  <si>
    <t>AD153</t>
  </si>
  <si>
    <t>AD154</t>
  </si>
  <si>
    <t>AD155</t>
  </si>
  <si>
    <t>AD156</t>
  </si>
  <si>
    <t>AD157</t>
  </si>
  <si>
    <t>AD158</t>
  </si>
  <si>
    <t>AD159</t>
  </si>
  <si>
    <t>AD160</t>
  </si>
  <si>
    <t>AD161</t>
  </si>
  <si>
    <t>AD162</t>
  </si>
  <si>
    <t>AD163</t>
  </si>
  <si>
    <t>AD164</t>
  </si>
  <si>
    <t>AD165</t>
  </si>
  <si>
    <t>AD166</t>
  </si>
  <si>
    <t>AD167</t>
  </si>
  <si>
    <t>AD168</t>
  </si>
  <si>
    <t>AD169</t>
  </si>
  <si>
    <t>AD170</t>
  </si>
  <si>
    <t>AD171</t>
  </si>
  <si>
    <t>AD172</t>
  </si>
  <si>
    <t>AD173</t>
  </si>
  <si>
    <t>AD174</t>
  </si>
  <si>
    <t>AD175</t>
  </si>
  <si>
    <t>AD176</t>
  </si>
  <si>
    <t>AD177</t>
  </si>
  <si>
    <t>AD178</t>
  </si>
  <si>
    <t>AD179</t>
  </si>
  <si>
    <t>AD180</t>
  </si>
  <si>
    <t>AD181</t>
  </si>
  <si>
    <t>AD182</t>
  </si>
  <si>
    <t>AD183</t>
  </si>
  <si>
    <t>AD184</t>
  </si>
  <si>
    <t>AD185</t>
  </si>
  <si>
    <t>AD186</t>
  </si>
  <si>
    <t>AD187</t>
  </si>
  <si>
    <t>AD188</t>
  </si>
  <si>
    <t>AD189</t>
  </si>
  <si>
    <t>AD190</t>
  </si>
  <si>
    <t>AD191</t>
  </si>
  <si>
    <t>AD192</t>
  </si>
  <si>
    <t>AD193</t>
  </si>
  <si>
    <t>AD194</t>
  </si>
  <si>
    <t>AD195</t>
  </si>
  <si>
    <t>AD196</t>
  </si>
  <si>
    <t>AD197</t>
  </si>
  <si>
    <t>AD198</t>
  </si>
  <si>
    <t>AD199</t>
  </si>
  <si>
    <t>AD200</t>
  </si>
  <si>
    <t>AD201</t>
  </si>
  <si>
    <t>AD202</t>
  </si>
  <si>
    <t>AD203</t>
  </si>
  <si>
    <t>AD204</t>
  </si>
  <si>
    <t>AD205</t>
  </si>
  <si>
    <t>AD206</t>
  </si>
  <si>
    <t>AD207</t>
  </si>
  <si>
    <t>AD208</t>
  </si>
  <si>
    <t>AD209</t>
  </si>
  <si>
    <t>AD210</t>
  </si>
  <si>
    <t>AD211</t>
  </si>
  <si>
    <t>AD212</t>
  </si>
  <si>
    <t>AD213</t>
  </si>
  <si>
    <t>AD214</t>
  </si>
  <si>
    <t>AD215</t>
  </si>
  <si>
    <t>AD216</t>
  </si>
  <si>
    <t>AD217</t>
  </si>
  <si>
    <t>AD218</t>
  </si>
  <si>
    <t>AD219</t>
  </si>
  <si>
    <t>AD220</t>
  </si>
  <si>
    <t>AD221</t>
  </si>
  <si>
    <t>AD222</t>
  </si>
  <si>
    <t>AD223</t>
  </si>
  <si>
    <t>AD224</t>
  </si>
  <si>
    <t>AD225</t>
  </si>
  <si>
    <t>AD226</t>
  </si>
  <si>
    <t>AD227</t>
  </si>
  <si>
    <t>AD228</t>
  </si>
  <si>
    <t>AD229</t>
  </si>
  <si>
    <t>AD230</t>
  </si>
  <si>
    <t>AD231</t>
  </si>
  <si>
    <t>AD232</t>
  </si>
  <si>
    <t>AD233</t>
  </si>
  <si>
    <t>AD234</t>
  </si>
  <si>
    <t>AD235</t>
  </si>
  <si>
    <t>AD236</t>
  </si>
  <si>
    <t>AD237</t>
  </si>
  <si>
    <t>AD238</t>
  </si>
  <si>
    <t>AD239</t>
  </si>
  <si>
    <t>AD240</t>
  </si>
  <si>
    <t>AD241</t>
  </si>
  <si>
    <t>AD242</t>
  </si>
  <si>
    <t>AD243</t>
  </si>
  <si>
    <t>AD244</t>
  </si>
  <si>
    <t>AD245</t>
  </si>
  <si>
    <t>AD246</t>
  </si>
  <si>
    <t>AD247</t>
  </si>
  <si>
    <t>AD248</t>
  </si>
  <si>
    <t>AD249</t>
  </si>
  <si>
    <t>AD250</t>
  </si>
  <si>
    <t>AD251</t>
  </si>
  <si>
    <t>AD252</t>
  </si>
  <si>
    <t>AD253</t>
  </si>
  <si>
    <t>AD254</t>
  </si>
  <si>
    <t>AD255</t>
  </si>
  <si>
    <t>AD256</t>
  </si>
  <si>
    <t>AD257</t>
  </si>
  <si>
    <t>AD258</t>
  </si>
  <si>
    <t>AD259</t>
  </si>
  <si>
    <t>AD260</t>
  </si>
  <si>
    <t>AD261</t>
  </si>
  <si>
    <t>AD262</t>
  </si>
  <si>
    <t>AD263</t>
  </si>
  <si>
    <t>AD264</t>
  </si>
  <si>
    <t>AD265</t>
  </si>
  <si>
    <t>AD266</t>
  </si>
  <si>
    <t>AD267</t>
  </si>
  <si>
    <t>AD268</t>
  </si>
  <si>
    <t>AD269</t>
  </si>
  <si>
    <t>AD270</t>
  </si>
  <si>
    <t>AD271</t>
  </si>
  <si>
    <t>AD272</t>
  </si>
  <si>
    <t>AD273</t>
  </si>
  <si>
    <t>AD274</t>
  </si>
  <si>
    <t>AD275</t>
  </si>
  <si>
    <t>AD276</t>
  </si>
  <si>
    <t>AD277</t>
  </si>
  <si>
    <t>AD278</t>
  </si>
  <si>
    <t>AD279</t>
  </si>
  <si>
    <t>AD280</t>
  </si>
  <si>
    <t>AD281</t>
  </si>
  <si>
    <t>AD282</t>
  </si>
  <si>
    <t>AD283</t>
  </si>
  <si>
    <t>AD284</t>
  </si>
  <si>
    <t>AD285</t>
  </si>
  <si>
    <t>AD286</t>
  </si>
  <si>
    <t>AD287</t>
  </si>
  <si>
    <t>AD288</t>
  </si>
  <si>
    <t>AD289</t>
  </si>
  <si>
    <t>AD290</t>
  </si>
  <si>
    <t>AD291</t>
  </si>
  <si>
    <t>AD292</t>
  </si>
  <si>
    <t>AD293</t>
  </si>
  <si>
    <t>AD294</t>
  </si>
  <si>
    <t>AD295</t>
  </si>
  <si>
    <t>AD296</t>
  </si>
  <si>
    <t>AD297</t>
  </si>
  <si>
    <t>AD298</t>
  </si>
  <si>
    <t>AD299</t>
  </si>
  <si>
    <t>AD300</t>
  </si>
  <si>
    <t>AD301</t>
  </si>
  <si>
    <t>AD302</t>
  </si>
  <si>
    <t>AD303</t>
  </si>
  <si>
    <t>AD304</t>
  </si>
  <si>
    <t>AD305</t>
  </si>
  <si>
    <t>AD306</t>
  </si>
  <si>
    <t>AD307</t>
  </si>
  <si>
    <t>AD308</t>
  </si>
  <si>
    <t>AD309</t>
  </si>
  <si>
    <t>AD310</t>
  </si>
  <si>
    <t>AD311</t>
  </si>
  <si>
    <t>AD312</t>
  </si>
  <si>
    <t>AD313</t>
  </si>
  <si>
    <t>AD314</t>
  </si>
  <si>
    <t>AD315</t>
  </si>
  <si>
    <t>AD316</t>
  </si>
  <si>
    <t>AD317</t>
  </si>
  <si>
    <t>AD318</t>
  </si>
  <si>
    <t>AD319</t>
  </si>
  <si>
    <t>AD320</t>
  </si>
  <si>
    <t>AD321</t>
  </si>
  <si>
    <t>AD322</t>
  </si>
  <si>
    <t>AD323</t>
  </si>
  <si>
    <t>AD324</t>
  </si>
  <si>
    <t>AD325</t>
  </si>
  <si>
    <t>AD326</t>
  </si>
  <si>
    <t>AD327</t>
  </si>
  <si>
    <t>AD328</t>
  </si>
  <si>
    <t>AD329</t>
  </si>
  <si>
    <t>AD330</t>
  </si>
  <si>
    <t>AD331</t>
  </si>
  <si>
    <t>AD332</t>
  </si>
  <si>
    <t>AD333</t>
  </si>
  <si>
    <t>AD334</t>
  </si>
  <si>
    <t>AD335</t>
  </si>
  <si>
    <t>AD336</t>
  </si>
  <si>
    <t>AD337</t>
  </si>
  <si>
    <t>AD338</t>
  </si>
  <si>
    <t>AD339</t>
  </si>
  <si>
    <t>AD340</t>
  </si>
  <si>
    <t>AD341</t>
  </si>
  <si>
    <t>AD342</t>
  </si>
  <si>
    <t>AD343</t>
  </si>
  <si>
    <t>AD344</t>
  </si>
  <si>
    <t>AD345</t>
  </si>
  <si>
    <t>AD346</t>
  </si>
  <si>
    <t>AD347</t>
  </si>
  <si>
    <t>AD348</t>
  </si>
  <si>
    <t>AD349</t>
  </si>
  <si>
    <t>AD350</t>
  </si>
  <si>
    <t>AD351</t>
  </si>
  <si>
    <t>AD352</t>
  </si>
  <si>
    <t>AD353</t>
  </si>
  <si>
    <t>AD354</t>
  </si>
  <si>
    <t>AD355</t>
  </si>
  <si>
    <t>AD356</t>
  </si>
  <si>
    <t>AD357</t>
  </si>
  <si>
    <t>AD358</t>
  </si>
  <si>
    <t>AD359</t>
  </si>
  <si>
    <t>AD360</t>
  </si>
  <si>
    <t>AD361</t>
  </si>
  <si>
    <t>AD362</t>
  </si>
  <si>
    <t>AD363</t>
  </si>
  <si>
    <t>AD364</t>
  </si>
  <si>
    <t>AD365</t>
  </si>
  <si>
    <t>AD366</t>
  </si>
  <si>
    <t>AD367</t>
  </si>
  <si>
    <t>AD368</t>
  </si>
  <si>
    <t>AD369</t>
  </si>
  <si>
    <t>AD370</t>
  </si>
  <si>
    <t>AD371</t>
  </si>
  <si>
    <t>AD372</t>
  </si>
  <si>
    <t>AD373</t>
  </si>
  <si>
    <t>AD374</t>
  </si>
  <si>
    <t>AD375</t>
  </si>
  <si>
    <t>AD376</t>
  </si>
  <si>
    <t>AD377</t>
  </si>
  <si>
    <t>AD378</t>
  </si>
  <si>
    <t>AD379</t>
  </si>
  <si>
    <t>AD380</t>
  </si>
  <si>
    <t>AD381</t>
  </si>
  <si>
    <t>AD382</t>
  </si>
  <si>
    <t>AD383</t>
  </si>
  <si>
    <t>AD384</t>
  </si>
  <si>
    <t>AD385</t>
  </si>
  <si>
    <t>AD386</t>
  </si>
  <si>
    <t>AD387</t>
  </si>
  <si>
    <t>AD388</t>
  </si>
  <si>
    <t>AD389</t>
  </si>
  <si>
    <t>AD390</t>
  </si>
  <si>
    <t>AD391</t>
  </si>
  <si>
    <t>AD392</t>
  </si>
  <si>
    <t>AD393</t>
  </si>
  <si>
    <t>AD394</t>
  </si>
  <si>
    <t>AD395</t>
  </si>
  <si>
    <t>AD396</t>
  </si>
  <si>
    <t>AD397</t>
  </si>
  <si>
    <t>AD398</t>
  </si>
  <si>
    <t>AD399</t>
  </si>
  <si>
    <t>AD400</t>
  </si>
  <si>
    <t>AD401</t>
  </si>
  <si>
    <t>AD402</t>
  </si>
  <si>
    <t>AD403</t>
  </si>
  <si>
    <t>AD404</t>
  </si>
  <si>
    <t>AD405</t>
  </si>
  <si>
    <t>AD406</t>
  </si>
  <si>
    <t>AD407</t>
  </si>
  <si>
    <t>AD408</t>
  </si>
  <si>
    <t>AD409</t>
  </si>
  <si>
    <t>AD410</t>
  </si>
  <si>
    <t>AD411</t>
  </si>
  <si>
    <t>AD412</t>
  </si>
  <si>
    <t>AD413</t>
  </si>
  <si>
    <t>AD414</t>
  </si>
  <si>
    <t>AD415</t>
  </si>
  <si>
    <t>AD416</t>
  </si>
  <si>
    <t>AD417</t>
  </si>
  <si>
    <t>AD418</t>
  </si>
  <si>
    <t>AD419</t>
  </si>
  <si>
    <t>AD420</t>
  </si>
  <si>
    <t>AD421</t>
  </si>
  <si>
    <t>AD422</t>
  </si>
  <si>
    <t>AD423</t>
  </si>
  <si>
    <t>AD424</t>
  </si>
  <si>
    <t>AD425</t>
  </si>
  <si>
    <t>AD426</t>
  </si>
  <si>
    <t>AD427</t>
  </si>
  <si>
    <t>AD428</t>
  </si>
  <si>
    <t>AD429</t>
  </si>
  <si>
    <t>AD430</t>
  </si>
  <si>
    <t>AD431</t>
  </si>
  <si>
    <t>AD432</t>
  </si>
  <si>
    <t>AD433</t>
  </si>
  <si>
    <t>AD434</t>
  </si>
  <si>
    <t>AD435</t>
  </si>
  <si>
    <t>AD436</t>
  </si>
  <si>
    <t>AD437</t>
  </si>
  <si>
    <t>AD438</t>
  </si>
  <si>
    <t>AD439</t>
  </si>
  <si>
    <t>AD440</t>
  </si>
  <si>
    <t>AD441</t>
  </si>
  <si>
    <t>AD442</t>
  </si>
  <si>
    <t>AD443</t>
  </si>
  <si>
    <t>AD444</t>
  </si>
  <si>
    <t>AD445</t>
  </si>
  <si>
    <t>AD446</t>
  </si>
  <si>
    <t>AD447</t>
  </si>
  <si>
    <t>AD448</t>
  </si>
  <si>
    <t>AD449</t>
  </si>
  <si>
    <t>AD450</t>
  </si>
  <si>
    <t>AD451</t>
  </si>
  <si>
    <t>AD452</t>
  </si>
  <si>
    <t>AD453</t>
  </si>
  <si>
    <t>AD454</t>
  </si>
  <si>
    <t>AD455</t>
  </si>
  <si>
    <t>AD456</t>
  </si>
  <si>
    <t>AD457</t>
  </si>
  <si>
    <t>AD458</t>
  </si>
  <si>
    <t>AD459</t>
  </si>
  <si>
    <t>AD460</t>
  </si>
  <si>
    <t>AD461</t>
  </si>
  <si>
    <t>AD462</t>
  </si>
  <si>
    <t>AD463</t>
  </si>
  <si>
    <t>AD464</t>
  </si>
  <si>
    <t>AD465</t>
  </si>
  <si>
    <t>AD466</t>
  </si>
  <si>
    <t>AD467</t>
  </si>
  <si>
    <t>AD468</t>
  </si>
  <si>
    <t>AD469</t>
  </si>
  <si>
    <t>AD470</t>
  </si>
  <si>
    <t>AD471</t>
  </si>
  <si>
    <t>AD472</t>
  </si>
  <si>
    <t>AD473</t>
  </si>
  <si>
    <t>AD474</t>
  </si>
  <si>
    <t>AD475</t>
  </si>
  <si>
    <t>AD476</t>
  </si>
  <si>
    <t>AD477</t>
  </si>
  <si>
    <t>AD478</t>
  </si>
  <si>
    <t>AD479</t>
  </si>
  <si>
    <t>AD480</t>
  </si>
  <si>
    <t>AD481</t>
  </si>
  <si>
    <t>AD482</t>
  </si>
  <si>
    <t>AD483</t>
  </si>
  <si>
    <t>AD484</t>
  </si>
  <si>
    <t>AD485</t>
  </si>
  <si>
    <t>AD486</t>
  </si>
  <si>
    <t>AD487</t>
  </si>
  <si>
    <t>AD488</t>
  </si>
  <si>
    <t>AD489</t>
  </si>
  <si>
    <t>AD490</t>
  </si>
  <si>
    <t>AD491</t>
  </si>
  <si>
    <t>AD492</t>
  </si>
  <si>
    <t>AD493</t>
  </si>
  <si>
    <t>AD494</t>
  </si>
  <si>
    <t>AD495</t>
  </si>
  <si>
    <t>AD496</t>
  </si>
  <si>
    <t>AD497</t>
  </si>
  <si>
    <t>AD498</t>
  </si>
  <si>
    <t>AD499</t>
  </si>
  <si>
    <t>AD500</t>
  </si>
  <si>
    <t>AD501</t>
  </si>
  <si>
    <t>AD502</t>
  </si>
  <si>
    <t>AD503</t>
  </si>
  <si>
    <t>AD504</t>
  </si>
  <si>
    <t>AD505</t>
  </si>
  <si>
    <t>AD506</t>
  </si>
  <si>
    <t>AD507</t>
  </si>
  <si>
    <t>AD508</t>
  </si>
  <si>
    <t>AD509</t>
  </si>
  <si>
    <t>AD510</t>
  </si>
  <si>
    <t>AD511</t>
  </si>
  <si>
    <t>AD512</t>
  </si>
  <si>
    <t>AD513</t>
  </si>
  <si>
    <t>AD514</t>
  </si>
  <si>
    <t>AD515</t>
  </si>
  <si>
    <t>AD516</t>
  </si>
  <si>
    <t>AD517</t>
  </si>
  <si>
    <t>AD518</t>
  </si>
  <si>
    <t>AD519</t>
  </si>
  <si>
    <t>AD520</t>
  </si>
  <si>
    <t>AD521</t>
  </si>
  <si>
    <t>Low-Code Flutter Application Development Solution</t>
  </si>
  <si>
    <t>Towards Integrating Low-Code in View-based Development</t>
  </si>
  <si>
    <t>Automated Implementation Scheme for Low-Code Development Based on Large Language Models</t>
  </si>
  <si>
    <t>SPCT '24: Proceedings of the 2024 4th International Conference on Signal Processing and Communication Technology</t>
  </si>
  <si>
    <t>Low-Code Quality Metrics for Agile Software Development</t>
  </si>
  <si>
    <t>SBQS '24: Proceedings of the XXIII Brazilian Symposium on Software Quality</t>
  </si>
  <si>
    <t>Experimenting low code with SDL and BPMN</t>
  </si>
  <si>
    <t>Turning Low-Code Development Platforms into True No-Code with LLMs</t>
  </si>
  <si>
    <t>Test Case Expression in a Low-Code Development Platform</t>
  </si>
  <si>
    <t>Emerging New Roles for Low-Code Software Development Platforms</t>
  </si>
  <si>
    <t>Evaluation of low code and no code platforms as a strategy to increase productivity in software development</t>
  </si>
  <si>
    <t>Supporting Excerpt (Relevance), if included</t>
  </si>
  <si>
    <t>Gutek: Intelligent Revision Algorithms</t>
  </si>
  <si>
    <t>Ł. Gałka</t>
  </si>
  <si>
    <t>Low-Code Languages in IT Education: Integrating Theory and Practice</t>
  </si>
  <si>
    <t>G. Juhás; A. Juhásová; L. Petrovič</t>
  </si>
  <si>
    <t>2023 21st International Conference on Emerging eLearning Technologies and Applications (ICETA)</t>
  </si>
  <si>
    <t>Data Analytics Environment: Combining Visual Programming and MLOps for AI workflow creation</t>
  </si>
  <si>
    <t>A. Grilo; P. Figueiras; B. Rêga; L. Lourenço; A. Khodamoradi; R. Costa; R. Jardim-Gonçalves</t>
  </si>
  <si>
    <t>2024 IEEE International Conference on Engineering, Technology, and Innovation (ICE/ITMC)</t>
  </si>
  <si>
    <t>WhatsNext: Guidance-enriched Exploratory Data Analysis with Interactive, Low-Code Notebooks</t>
  </si>
  <si>
    <t>C. Chen; J. Hoffswell; S. Guo; R. Rossi; Y. -Y. Chan; F. Du; E. Koh; Z. Liu</t>
  </si>
  <si>
    <t>2023 IEEE Symposium on Visual Languages and Human-Centric Computing (VL/HCC)</t>
  </si>
  <si>
    <t>Deep Learning in Fuzzing: A Literature Survey</t>
  </si>
  <si>
    <t>S. Miao; J. Wang; C. Zhang; Z. Lin; J. Gong; X. Zhang; J. Li</t>
  </si>
  <si>
    <t>2022 IEEE 2nd International Conference on Electronic Technology, Communication and Information (ICETCI)</t>
  </si>
  <si>
    <t>Email Ingestion Using Robotic Process Automation for Online Travel Agency</t>
  </si>
  <si>
    <t>U. Sharma; D. Gupta</t>
  </si>
  <si>
    <t>2021 9th International Conference on Reliability, Infocom Technologies and Optimization (Trends and Future Directions) (ICRITO)</t>
  </si>
  <si>
    <t>AI-Enhanced IoT Systems in Operations Centers: Advancing Sustainable Development and Social Responsibility</t>
  </si>
  <si>
    <t>W. -E. Chen; W. -S. Feng; Y. -B. Lin; T. -H. Yen</t>
  </si>
  <si>
    <t>IEEE Transactions on Computational Social Systems</t>
  </si>
  <si>
    <t>CiRA CORE: A Low Code Platform that Makes AI Work for Industry 4.0</t>
  </si>
  <si>
    <t>C. K. Loo; S. Boonsang; T. Sasisaowapak; S. Chuwongin; T. Tongloy; S. Nahavandi; K. W. Wong</t>
  </si>
  <si>
    <t>2024 IEEE International Conference on Systems, Man, and Cybernetics (SMC)</t>
  </si>
  <si>
    <t>Research and Application of the Mapping Process from Excel Sheet to Dynamic Form</t>
  </si>
  <si>
    <t>Y. Hairong; Z. Nan</t>
  </si>
  <si>
    <t>2021 3rd International Conference on Advances in Computer Technology, Information Science and Communication (CTISC)</t>
  </si>
  <si>
    <t>Optimizing Small-Scale Commercial Automation: Introducing WOS, a Low-Code Solution for Robotic Arms Integration</t>
  </si>
  <si>
    <t>Y. Feng; W. Huang; I. -M. Chen</t>
  </si>
  <si>
    <t>2024 IEEE International Conference on Advanced Intelligent Mechatronics (AIM)</t>
  </si>
  <si>
    <t>Implementing Federated Learning via IoTtalk: A Smart Home Case Study</t>
  </si>
  <si>
    <t>L. Ali; C. -Y. Lin</t>
  </si>
  <si>
    <t>2025 IEEE VTS Asia Pacific Wireless Communications Symposium (APWCS)</t>
  </si>
  <si>
    <t>Architecture Design of TBCare: Mhealth for Drug Adherence Intervention in Tuberculosis Patients</t>
  </si>
  <si>
    <t>D. Rahmat; A. P. Koesoema; B. R. Hermanto</t>
  </si>
  <si>
    <t>2024 International Conference on Intelligent Cybernetics Technology &amp; Applications (ICICyTA)</t>
  </si>
  <si>
    <t>Moving from Cloud to Fog/Edge: The Smart Agriculture Experience</t>
  </si>
  <si>
    <t>Y. -B. Lin; W. -E. Chen; T. C. . -Y. Chang</t>
  </si>
  <si>
    <t>IEEE Communications Magazine</t>
  </si>
  <si>
    <t>Direct-to-Satellite Connectivity for IoT: Overview and Potential of Reduced Capability (RedCap)</t>
  </si>
  <si>
    <t>C. D. Gedara; M. D. Khattak; M. A. Ullah; K. Mikhaylov</t>
  </si>
  <si>
    <t>2023 IEEE 9th World Forum on Internet of Things (WF-IoT)</t>
  </si>
  <si>
    <t>Interoperable Tools for Deploying Non-Destructive Inspection Solutions</t>
  </si>
  <si>
    <t>J. L. Femenía; M. T. Lloret; J. M. Luengo; F. Fraile</t>
  </si>
  <si>
    <t>2025 IEEE International Conference on Engineering, Technology, and Innovation (ICE/ITMC)</t>
  </si>
  <si>
    <t>The construction of the museum audience data system based on big data technology</t>
  </si>
  <si>
    <t>M. Chang</t>
  </si>
  <si>
    <t>2024 International Conference on Culture-Oriented Science &amp; Technology (CoST)</t>
  </si>
  <si>
    <t>Bridging Workflow Automation Tools and EMF Modeling Ecosystems</t>
  </si>
  <si>
    <t>A. Tuyishime; F. Basciani; L. Iovino; J. L. C. Izquierdo; J. Cabot; A. Pierantonio</t>
  </si>
  <si>
    <t>2023 ACM/IEEE International Conference on Model Driven Engineering Languages and Systems Companion (MODELS-C)</t>
  </si>
  <si>
    <t>Industrial DevOps Soft: A New Framework for Enhancing Industry 4.0 Efficiency</t>
  </si>
  <si>
    <t>C. Benmhamed; M. Zemzami; F. Yalaoui; N. -Q. Nguyen; H. Reddad; M. A. El Gaamaze</t>
  </si>
  <si>
    <t>2024 International Conference on Smart-Digital-Green Technologies and Artificial Intelligence Sciences (CSDGAIS)</t>
  </si>
  <si>
    <t>LoCoML: A Framework for Real-World ML Inference Pipelines</t>
  </si>
  <si>
    <t>K. Maddireddy; S. K. Methukula; C. Sridhar; K. Vaidhyanathan</t>
  </si>
  <si>
    <t>2025 IEEE/ACM 4th International Conference on AI Engineering – Software Engineering for AI (CAIN)</t>
  </si>
  <si>
    <t>Conception, Approval and First Evaluation of a New Master’s Program Engineering Technology: Software Systems (Informatics) in Belgium</t>
  </si>
  <si>
    <t>K. Aerts; K. Luyten; R. Thoelen; D. Vanacken</t>
  </si>
  <si>
    <t>2024 47th MIPRO ICT and Electronics Convention (MIPRO)</t>
  </si>
  <si>
    <t>Towards Scalable Validation of Low-Code System Models: Mapping EVL to VIATRA Patterns</t>
  </si>
  <si>
    <t>Q. U. A. Ali; B. Horváth; D. Kolovos; K. Barmpis; Á. Horváth</t>
  </si>
  <si>
    <t>2021 ACM/IEEE International Conference on Model Driven Engineering Languages and Systems Companion (MODELS-C)</t>
  </si>
  <si>
    <t>Multi-Cell IDMA NOMA Performance in NR Deployment</t>
  </si>
  <si>
    <t>L. Canonne-Velasquez; A. Haghighat; P. Herath</t>
  </si>
  <si>
    <t>2019 IEEE International Conference on Communications Workshops (ICC Workshops)</t>
  </si>
  <si>
    <t>Data-Driven Simulation-Based Analysis of Collaborative Business Processes in Distributed Environments</t>
  </si>
  <si>
    <t>P. Bocciarelli; A. D’Ambrogio</t>
  </si>
  <si>
    <t>2025 Annual Modeling and Simulation Conference (ANNSIM)</t>
  </si>
  <si>
    <t>Performance of IDMA-Based NOMA with NR-Based Realistic Channel Estimation</t>
  </si>
  <si>
    <t>A. Haghighat; L. Canonne-Velasquez; P. Herath</t>
  </si>
  <si>
    <t>2018 IEEE 88th Vehicular Technology Conference (VTC-Fall)</t>
  </si>
  <si>
    <t>Research on Performance of Orthogonal Convolutional Codes with Ultra-low Code Rate in Spread Spectrum Communication</t>
  </si>
  <si>
    <t>H. Yin; J. Sun; H. Yu; L. Zhang; X. Meng</t>
  </si>
  <si>
    <t>2021 IEEE 4th Advanced Information Management, Communicates, Electronic and Automation Control Conference (IMCEC)</t>
  </si>
  <si>
    <t>Research and Application of Lightweight GIS Components in Power Grid Dispatching System - Taking the Application of New Energy Panoramic Monitoring System as an Example</t>
  </si>
  <si>
    <t>Y. Zhang; C. Fang; Y. He; Y. Zhang</t>
  </si>
  <si>
    <t>2024 8th International Conference on Power and Energy Engineering (ICPEE)</t>
  </si>
  <si>
    <t>Beyond Low-Code Development: Marrying Requirements Models and Knowledge Representations</t>
  </si>
  <si>
    <t>K. Rybiński; M. Śmiałek</t>
  </si>
  <si>
    <t>2022 17th Conference on Computer Science and Intelligence Systems (FedCSIS)</t>
  </si>
  <si>
    <t>Towards Checking Consistency-Breaking Updates between Models and Generated Artifacts</t>
  </si>
  <si>
    <t>M. Zaheri; M. Famelis; E. Syriani</t>
  </si>
  <si>
    <t>MerGen: A Smart Code Merging Approach for Automatically Generated Code</t>
  </si>
  <si>
    <t>X. He; L. Tang; Y. Liu</t>
  </si>
  <si>
    <t>2022 IEEE 46th Annual Computers, Software, and Applications Conference (COMPSAC)</t>
  </si>
  <si>
    <t>FLORA: Federated Learning for Optimized Resource Allocation in Cinco de Bio</t>
  </si>
  <si>
    <t>C. Brandon; M. Khan; T. Margaria</t>
  </si>
  <si>
    <t>2025 IEEE 49th Annual Computers, Software, and Applications Conference (COMPSAC)</t>
  </si>
  <si>
    <t>CarbonEdge: Demonstrating Blockchain-Based Monitoring, Reporting and Verification of Greenhouse Gas Emissions on the Edge</t>
  </si>
  <si>
    <t>K. Seidenfad; J. Biermann; U. Lechner</t>
  </si>
  <si>
    <t>2023 IEEE International Conference on Blockchain and Cryptocurrency (ICBC)</t>
  </si>
  <si>
    <t>Automatic Python code generation for Embedded/Cyber-Physical Systems</t>
  </si>
  <si>
    <t>P. Vale; F. Pereira</t>
  </si>
  <si>
    <t>2023 7th International Young Engineers Forum (YEF-ECE)</t>
  </si>
  <si>
    <t>Feedback-Directed Cross-Layer Optimization of Cloud-Based Functional Actor Applications</t>
  </si>
  <si>
    <t>A. Cappelletti; M. Grechanik</t>
  </si>
  <si>
    <t>2024 IEEE 35th International Symposium on Software Reliability Engineering (ISSRE)</t>
  </si>
  <si>
    <t>Watch the Gap: Making code more intelligible to users without sacrificing decentralization?</t>
  </si>
  <si>
    <t>S. Ramos; M. Mannan</t>
  </si>
  <si>
    <t>2022 IEEE 24th Conference on Business Informatics (CBI)</t>
  </si>
  <si>
    <t>Low Code Control and Hardware in the Loop Simulation Method for Demand Side Resource Based on Hybrid Cybernetics</t>
  </si>
  <si>
    <t>X. Jia; K. Liu; G. He; J. Li; S. Wang; H. Chen; B. Wu</t>
  </si>
  <si>
    <t>2024 IEEE 2nd International Conference on Power Science and Technology (ICPST)</t>
  </si>
  <si>
    <t>A GDPR-Compliant Framework for IoT-Based Personal Health Records Using Blockchain</t>
  </si>
  <si>
    <t>B. Alamri; I. T. Javed; T. Margaria</t>
  </si>
  <si>
    <t>2021 11th IFIP International Conference on New Technologies, Mobility and Security (NTMS)</t>
  </si>
  <si>
    <t>LLMs with User-defined Prompts as Generic Data Operators for Reliable Data Processing</t>
  </si>
  <si>
    <t>L. Ma; N. Thakurdesai; J. Chen; J. Xu; E. Korpeoglu; S. Kumar; K. Achan</t>
  </si>
  <si>
    <t>2023 IEEE International Conference on Big Data (BigData)</t>
  </si>
  <si>
    <t>XMDD as Key Enabling Technology for Integration of Large scale eLearning Based on NRENs</t>
  </si>
  <si>
    <t>S. Saay; T. Margaria</t>
  </si>
  <si>
    <t>2020 IEEE 20th International Conference on Advanced Learning Technologies (ICALT)</t>
  </si>
  <si>
    <t>Streamlining Workflow Automation with a Model-Based Assistant</t>
  </si>
  <si>
    <t>A. Tuyishime; F. Basciani; A. Di Salle; J. L. Cánovas Izquierdo; L. Iovino</t>
  </si>
  <si>
    <t>2024 50th Euromicro Conference on Software Engineering and Advanced Applications (SEAA)</t>
  </si>
  <si>
    <t>Revisiting Multiple ECC on High-Density NAND Flash memory</t>
  </si>
  <si>
    <t>Y. Song; Y. Lv; W. Li; J. Liu; L. Shi</t>
  </si>
  <si>
    <t>IEEE Transactions on Very Large Scale Integration (VLSI) Systems</t>
  </si>
  <si>
    <t>Low-Code Machine Learning for Predicting Differentiated Thyroid Cancer Reoccurrence</t>
  </si>
  <si>
    <t>H. Mamman; S. Basri; S. M. Liman; A. O. Balogun; S. Adamu; G. Aliyu; D. A. Aliyu; I. M. Kurah</t>
  </si>
  <si>
    <t>2024 16th International Conference on Knowledge and System Engineering (KSE)</t>
  </si>
  <si>
    <t>AI-augmented Framework to Enable Process Awareness in Collaborative Teams</t>
  </si>
  <si>
    <t>M. K. Nguyen; H. Nhi Tran; I. Ober; R. Abualsaud</t>
  </si>
  <si>
    <t>2024 International Joint Conference on Neural Networks (IJCNN)</t>
  </si>
  <si>
    <t>An Integrated Breast Cancer Predictor Leveraging Mendix and Machine Learning</t>
  </si>
  <si>
    <t>A. Agarwal; A. Das</t>
  </si>
  <si>
    <t>2025 6th International Conference on Recent Advances in Information Technology (RAIT)</t>
  </si>
  <si>
    <t>Research on Multidimensional Mutation Strategy Method of Fuzzing Test</t>
  </si>
  <si>
    <t>T. Ding; J. Fu; R. Shen</t>
  </si>
  <si>
    <t>2021 40th Chinese Control Conference (CCC)</t>
  </si>
  <si>
    <t>DSLs for Model Driven Development of Secure Interoperable Automation Systems with EdgeX Foundry</t>
  </si>
  <si>
    <t>J. John; A. Ghosal; T. Margaria; D. Pesch</t>
  </si>
  <si>
    <t>2021 Forum on specification &amp; Design Languages (FDL)</t>
  </si>
  <si>
    <t>ALF: An Automated Low-code Flexible Framework for Data Workflows</t>
  </si>
  <si>
    <t>R. Ghosh; W. Jha; M. Wang; U. Alim</t>
  </si>
  <si>
    <t>2024 IEEE International Conference on Big Data (BigData)</t>
  </si>
  <si>
    <t>Towards Empowering Ubiquitous Computing as a Service with Cloud Analytics for Sustainable Manufacturing, Agriculture, Cities, and Buildings</t>
  </si>
  <si>
    <t>M. Soderi; J. G. Breslin</t>
  </si>
  <si>
    <t>2025 IEEE 25th International Symposium on Cluster, Cloud and Internet Computing Workshops (CCGridW)</t>
  </si>
  <si>
    <t>Low-Rate LDPC Code Design for DTMB-A</t>
  </si>
  <si>
    <t>Z. He; K. Peng; C. Zhang; J. Song</t>
  </si>
  <si>
    <t>IEEE Transactions on Broadcasting</t>
  </si>
  <si>
    <t>Leveraging Emerging Trends for Technological Advancement in Africa</t>
  </si>
  <si>
    <t>S. M. Mbuguah; D. K. Gichuki</t>
  </si>
  <si>
    <t>2024 4th International Multidisciplinary Information Technology and Engineering Conference (IMITEC)</t>
  </si>
  <si>
    <t>Deploying Oracle Machine Learning AutoML Models for Oracle APEX Analytics</t>
  </si>
  <si>
    <t>I. Pastierik</t>
  </si>
  <si>
    <t>2024 IEEE 17th International Scientific Conference on Informatics (Informatics)</t>
  </si>
  <si>
    <t>RagRug: A Toolkit for Situated Analytics</t>
  </si>
  <si>
    <t>P. Fleck; A. S. Calepso; S. Hubenschmid; M. Sedlmair; D. Schmalstieg</t>
  </si>
  <si>
    <t>IEEE Transactions on Visualization and Computer Graphics</t>
  </si>
  <si>
    <t>The search for anomalies in network traffic</t>
  </si>
  <si>
    <t>A. Kanev; D. Kalinnikov; G. Panov; D. Rumak</t>
  </si>
  <si>
    <t>2024 6th International Youth Conference on Radio Electronics, Electrical and Power Engineering (REEPE)</t>
  </si>
  <si>
    <t>On the Design of Adaptive Robotic Systems Using Room Sensors, Anchoring, Semantic, and Low-Code Technologies</t>
  </si>
  <si>
    <t>W. A. Coolidge; S. L. Sørensen; M. B. Kjærgaard</t>
  </si>
  <si>
    <t>2024 IEEE 21st International Conference on Software Architecture Companion (ICSA-C)</t>
  </si>
  <si>
    <t>Data Processing Tools for Graph Data Modelling Big Data Analytics</t>
  </si>
  <si>
    <t>K. Voulgaris; A. Kiourtis; P. Karamolegkos; A. Karabetian; Y. Poulakis; A. Mavrogiorgou; D. Kyriazis</t>
  </si>
  <si>
    <t>2022 13th International Congress on Advanced Applied Informatics Winter (IIAI-AAI-Winter)</t>
  </si>
  <si>
    <t>Differential protection of microgrids over a WiMAX network</t>
  </si>
  <si>
    <t>R. H. Khan; T. S. Ustun; J. Y. Khan</t>
  </si>
  <si>
    <t>2013 IEEE International Conference on Smart Grid Communications (SmartGridComm)</t>
  </si>
  <si>
    <t>A green method for recycling materials from liquid crystal display panel</t>
  </si>
  <si>
    <t>Ma En; Zhang Chenglong; Bai Jianfeng; Wang Jingwei</t>
  </si>
  <si>
    <t>2016 Electronics Goes Green 2016+ (EGG)</t>
  </si>
  <si>
    <t>A Low-Code Approach for Simulation-Based Analysis of Process Collaborations</t>
  </si>
  <si>
    <t>2023 Winter Simulation Conference (WSC)</t>
  </si>
  <si>
    <t>VLSI implementation of a low-error-floor and capacity-approaching low-density parity-check code decoder with multi-rate capacity</t>
  </si>
  <si>
    <t>Lei Yang; Hui Liu; C. . -J. R. Shi</t>
  </si>
  <si>
    <t>GLOBECOM '05. IEEE Global Telecommunications Conference, 2005.</t>
  </si>
  <si>
    <t>A No Code XAI Framework for Policy Making</t>
  </si>
  <si>
    <t>M. P. Martínez; A. Azqueta-Alzúaz</t>
  </si>
  <si>
    <t>2023 19th International Conference on Distributed Computing in Smart Systems and the Internet of Things (DCOSS-IoT)</t>
  </si>
  <si>
    <t>Synergies of Operation, Information, and Communication Technology for Solving New Societal and Industrial Challenges: Future Directions</t>
  </si>
  <si>
    <t>W. Dai; P. Leitão; K. F. Tsang; Y. Shi; G. Hancke; L. Shu; M. Behnam; J. Haase; V. Vyatkin</t>
  </si>
  <si>
    <t>Wearable Networks for Semantics-Driven FASPAS Approach to Fatigue Management</t>
  </si>
  <si>
    <t>M. Tosic; N. Petrovic; O. Tosic</t>
  </si>
  <si>
    <t>2024 7th International Balkan Conference on Communications and Networking (BalkanCom)</t>
  </si>
  <si>
    <t>A ModelOps-Based Framework for Intelligent Medical Knowledge Extraction</t>
  </si>
  <si>
    <t>H. Ding; P. Zou; Z. Wang; J. Zhao; Y. Wang; Q. Zhou</t>
  </si>
  <si>
    <t>2023 IEEE International Conference on Medical Artificial Intelligence (MedAI)</t>
  </si>
  <si>
    <t>Querylizer: An Interactive Platform for Database Design and Text to SQL Conversion</t>
  </si>
  <si>
    <t>A. Deshpande; D. Kothari; A. Salvi; P. Mane; V. Kolhe</t>
  </si>
  <si>
    <t>2022 International Conference for Advancement in Technology (ICONAT)</t>
  </si>
  <si>
    <t>System Layer Evaluation of Joint Detection and Imperfect Adaptive Beam-Forming Antenna for Packet Services in the LCR TD-CDMA System</t>
  </si>
  <si>
    <t>J. Cui; B. Chen; D. -J. He; Y. -Y. Chang; D. -C. Yang</t>
  </si>
  <si>
    <t>2007 IEEE 66th Vehicular Technology Conference</t>
  </si>
  <si>
    <t>New General Approach to the Design of Arbitrary Radix-4 QAM Sequences for Low PMEPR and High Code-Rate</t>
  </si>
  <si>
    <t>S. C. . -H. Huang; H. -C. Wu</t>
  </si>
  <si>
    <t>2011 IEEE Global Telecommunications Conference - GLOBECOM 2011</t>
  </si>
  <si>
    <t>Fully Automated Software Product Line Evolution With Diverse Artifacts</t>
  </si>
  <si>
    <t>J. Perdek; V. Vranić</t>
  </si>
  <si>
    <t>Block Orthogonal Sparse Superposition Codes for L3 Communications: Low Error Rate, Low Latency, and Low Transmission Power</t>
  </si>
  <si>
    <t>D. Han; B. Lee; M. Jang; D. Lee; S. Myung; N. Lee</t>
  </si>
  <si>
    <t>IEEE Journal on Selected Areas in Communications</t>
  </si>
  <si>
    <t>Model Sensemaking Strategies: Exploiting Meta-Model Patterns to Understand Large Models</t>
  </si>
  <si>
    <t>F. Martínez-Lasaca; P. Díez; E. Guerra; J. de Lara</t>
  </si>
  <si>
    <t>2023 ACM/IEEE 26th International Conference on Model Driven Engineering Languages and Systems (MODELS)</t>
  </si>
  <si>
    <t>Optimizing the Code Rate of Energy-Constrained Wireless Communications With HARQ</t>
  </si>
  <si>
    <t>F. Rosas; R. D. Souza; M. E. Pellenz; C. Oberli; G. Brante; M. Verhelst; S. Pollin</t>
  </si>
  <si>
    <t>IEEE Transactions on Wireless Communications</t>
  </si>
  <si>
    <t>Recursive projection-aggregation decoding of Reed-Muller codes</t>
  </si>
  <si>
    <t>M. Ye; E. Abbe</t>
  </si>
  <si>
    <t>2019 IEEE International Symposium on Information Theory (ISIT)</t>
  </si>
  <si>
    <t>Localized Constrained-Domination Principle for Constrained Multiobjective Optimization</t>
  </si>
  <si>
    <t>J. Zhou; Y. Zhang; J. Wang; P. N. Suganthan</t>
  </si>
  <si>
    <t>IEEE Transactions on Systems, Man, and Cybernetics: Systems</t>
  </si>
  <si>
    <t>A Mirco-Service Tracing System Based on Istio and Kubernetes</t>
  </si>
  <si>
    <t>M. Song; Q. Liu; H. E.</t>
  </si>
  <si>
    <t>2019 IEEE 10th International Conference on Software Engineering and Service Science (ICSESS)</t>
  </si>
  <si>
    <t>Error performance and decoder hardware comparison between EG-LDPC and BCH codes</t>
  </si>
  <si>
    <t>J. Kim; J. Cho; W. Sung</t>
  </si>
  <si>
    <t>2010 IEEE Workshop On Signal Processing Systems</t>
  </si>
  <si>
    <t>Implementation of IDMA System with Multiple Access Channel and non-Gaussian Noise</t>
  </si>
  <si>
    <t>B. Q. Vuong; H. N. Do</t>
  </si>
  <si>
    <t>2018 5th NAFOSTED Conference on Information and Computer Science (NICS)</t>
  </si>
  <si>
    <t>A Low-Complexity Interference Cancellation Approach for NOMA</t>
  </si>
  <si>
    <t>P. Herath; A. Haghighat; L. Canonne-Velasquez</t>
  </si>
  <si>
    <t>2020 IEEE 91st Vehicular Technology Conference (VTC2020-Spring)</t>
  </si>
  <si>
    <t>Design Cloud-Edge Collaborated Batch Control Systems Based on Automatic Mapping IEC 61499 and ISA-88</t>
  </si>
  <si>
    <t>J. Zhu; Z. Wang; W. Lyu; W. Dai; H. Wu</t>
  </si>
  <si>
    <t>IECON 2023- 49th Annual Conference of the IEEE Industrial Electronics Society</t>
  </si>
  <si>
    <t>Azure Data Scientist Associate Certification Guide: A hands-on guide to machine learning in Azure and passing the Microsoft Certified DP-100 exam</t>
  </si>
  <si>
    <t>A. Botsikas; M. Hlobil</t>
  </si>
  <si>
    <t>GRT: An Automated Test Generator Using Orchestrated Program Analysis</t>
  </si>
  <si>
    <t>L. Ma; C. Artho; C. Zhang; H. Sato; J. Gmeiner; R. Ramler</t>
  </si>
  <si>
    <t>2015 30th IEEE/ACM International Conference on Automated Software Engineering (ASE)</t>
  </si>
  <si>
    <t>DECC: Differential ECC for Read Performance Optimization on High-Density NAND Flash Memory</t>
  </si>
  <si>
    <t>Y. Song; Y. Lv; L. Shi</t>
  </si>
  <si>
    <t>2023 28th Asia and South Pacific Design Automation Conference (ASP-DAC)</t>
  </si>
  <si>
    <t>SEEAD: A Semantic-Based Approach for Automatic Binary Code De-obfuscation</t>
  </si>
  <si>
    <t>Z. Tang; K. Kuang; L. Wang; C. Xue; X. Gong; X. Chen; D. Fang; J. Liu; Z. Wang</t>
  </si>
  <si>
    <t>2017 IEEE Trustcom/BigDataSE/ICESS</t>
  </si>
  <si>
    <t>Performance of antenna hopping techniques for packet radio transmission</t>
  </si>
  <si>
    <t>S. Lambotharan; L. Lopes</t>
  </si>
  <si>
    <t>Third International Conference on 3G Mobile Communication Technologies</t>
  </si>
  <si>
    <t>RRCFuzzer: A 3GPP-Guided Fuzzing Method for Radio Resource Control Protocol</t>
  </si>
  <si>
    <t>B. Liu; W. Wang; N. Li; Y. Zhang; X. Zhang; Y. Xiao; Y. Zou; Y. Du; W. Huo</t>
  </si>
  <si>
    <t>2025 31st International Conference on Telecommunications (ICT)</t>
  </si>
  <si>
    <t>Cell migration assay using multiple laminar flows in PDMS microchannel</t>
  </si>
  <si>
    <t>F. -Q. Nie; J. Kobayashi; M. Yamada; M. Yamato; A. Kikuchi; T. Okano</t>
  </si>
  <si>
    <t>2007 International Symposium on Micro-NanoMechatronics and Human Science</t>
  </si>
  <si>
    <t>Enhanced Quasi-Maximum Likelihood Decoding Based on 2D Modified Min-Sum Algorithm for 5G LDPC Codes</t>
  </si>
  <si>
    <t>P. Kang; Y. Xie; L. Yang; J. Yuan</t>
  </si>
  <si>
    <t>IEEE Transactions on Communications</t>
  </si>
  <si>
    <t>Automated Security Penetration Testing Based on Machine Learning</t>
  </si>
  <si>
    <t>P. Zhang; W. Wang; D. Zhang; H. Wu; L. Han; Q. Zhao</t>
  </si>
  <si>
    <t>2024 4th International Conference on Electronic Information Engineering and Computer Communication (EIECC)</t>
  </si>
  <si>
    <t>Streamlining the Engineering and Distribution of Graphical DSLs based on Recurring Patterns</t>
  </si>
  <si>
    <t>D. S. Mitwalli; M. Krumrey; S. Teumert</t>
  </si>
  <si>
    <t>2025 IEEE 22nd International Conference on Software Architecture Companion (ICSA-C)</t>
  </si>
  <si>
    <t>A Comparative Study of Error Detection and Correction Coding Techniques</t>
  </si>
  <si>
    <t>J. Singh; J. Singh</t>
  </si>
  <si>
    <t>2012 Second International Conference on Advanced Computing &amp; Communication Technologies</t>
  </si>
  <si>
    <t>Research on Motion Trajector Planning of Industrial Robot Based on ROS</t>
  </si>
  <si>
    <t>T. Xu; H. -Z. Liu; R. Huang; Z. Yao; J. -Y. Xu</t>
  </si>
  <si>
    <t>2022 7th International Conference on Automation, Control and Robotics Engineering (CACRE)</t>
  </si>
  <si>
    <t>No Code AI: Automatic Generation of Function Block Diagrams from Documentation and Associated Heuristic for Context-Aware ML Algorithm Training</t>
  </si>
  <si>
    <t>O. Ogundare; G. Q. Araya; Y. Qamsane</t>
  </si>
  <si>
    <t>2022 7th International Conference on Mechanical Engineering and Robotics Research (ICMERR)</t>
  </si>
  <si>
    <t>Abstraction of Odor Source Declaration Algorithm from Moth-Inspired Plume Tracing Strategies</t>
  </si>
  <si>
    <t>W. Li</t>
  </si>
  <si>
    <t>2006 IEEE International Conference on Robotics and Biomimetics</t>
  </si>
  <si>
    <t>Optimizing the code rate for achieving energy-efficient wireless communications</t>
  </si>
  <si>
    <t>F. Rosas; G. Brante; R. D. Souza; C. Oberli</t>
  </si>
  <si>
    <t>2014 IEEE Wireless Communications and Networking Conference (WCNC)</t>
  </si>
  <si>
    <t>FCToken: A Flexible Framework for Blockchain-Based Compliance Tokenization</t>
  </si>
  <si>
    <t>H. Tan; S. Yan; X. Zou; G. Xie; H. Zhang; Z. Li</t>
  </si>
  <si>
    <t>2023 IEEE International Conference on Data Mining Workshops (ICDMW)</t>
  </si>
  <si>
    <t>Image Retrieval Based on Hierarchical Locally Constrained Diffusion Process</t>
  </si>
  <si>
    <t>X. Zeng; M. Hu; S. Zhu</t>
  </si>
  <si>
    <t>2017 IEEE International Conference on Big Knowledge (ICBK)</t>
  </si>
  <si>
    <t>Sketch2Process: End-to-End BPMN Sketch Recognition Based on Neural Networks</t>
  </si>
  <si>
    <t>B. Schäfer; H. van der Aa; H. Leopold; H. Stuckenschmidt</t>
  </si>
  <si>
    <t>IEEE Transactions on Software Engineering</t>
  </si>
  <si>
    <t>Capacity and Mutual Information of Soft and Hard Decision Output M-Ary PPM over UWB Channels</t>
  </si>
  <si>
    <t>N. Guney; H. Delic; F. Alagoz</t>
  </si>
  <si>
    <t>2008 IEEE International Conference on Communications</t>
  </si>
  <si>
    <t>TCD: Statically Detecting Type Confusion Errors in C++ Programs</t>
  </si>
  <si>
    <t>C. Zou; Y. Sui; H. Yan; J. Xue</t>
  </si>
  <si>
    <t>2019 IEEE 30th International Symposium on Software Reliability Engineering (ISSRE)</t>
  </si>
  <si>
    <t>Code construction and FPGA implementation of a low-error-floor multi-rate low-density Parity-check code decoder</t>
  </si>
  <si>
    <t>IEEE Transactions on Circuits and Systems I: Regular Papers</t>
  </si>
  <si>
    <t>Unsourced Random Access via Random Dictionary Learning With Pilot-Free Transceiver Design</t>
  </si>
  <si>
    <t>Z. Zhang; J. Dang; Z. Zhang; L. Wu; B. Zhu</t>
  </si>
  <si>
    <t>Predictive Analytics Models for Student Admission to Master Programs in Romania</t>
  </si>
  <si>
    <t>M. Ursan; M. Bucos</t>
  </si>
  <si>
    <t>2022 International Symposium on Electronics and Telecommunications (ISETC)</t>
  </si>
  <si>
    <t>Poster: Uncovering Vulnerabilities in Wasm Smart Contracts</t>
  </si>
  <si>
    <t>W. Chen; Z. Sun; H. Wang; X. Luo; H. Cai; L. Wu</t>
  </si>
  <si>
    <t>2023 IEEE 43rd International Conference on Distributed Computing Systems (ICDCS)</t>
  </si>
  <si>
    <t>Linear Interference Cancellation for Downlink Map Reception in IEEE 802.16E</t>
  </si>
  <si>
    <t>R. Bachu; G. Song; K. Stewart; X. Zhuang</t>
  </si>
  <si>
    <t>2006 IEEE 17th International Symposium on Personal, Indoor and Mobile Radio Communications</t>
  </si>
  <si>
    <t>Improved binary turbo coded modulation with 16QAM in HSDPA</t>
  </si>
  <si>
    <t>Fei Zesong; Wan Lei; Kuang Jingming</t>
  </si>
  <si>
    <t>2003 IEEE Wireless Communications and Networking, 2003. WCNC 2003.</t>
  </si>
  <si>
    <t>A Low Valid Throughput Loss LDPC Codec Architecture With Variable Code Rate</t>
  </si>
  <si>
    <t>J. Liu; Z. Hao; L. Zhao; J. Lian; J. Tao; Y. Fan; Q. Feng</t>
  </si>
  <si>
    <t>IEEE Transactions on Circuits and Systems II: Express Briefs</t>
  </si>
  <si>
    <t>Fast acquisition techniques for very long PN codes for On-Board Secure TTC transponders</t>
  </si>
  <si>
    <t>L. Simone; G. Fittipaldi; I. A. Sanchez</t>
  </si>
  <si>
    <t>2011 - MILCOM 2011 Military Communications Conference</t>
  </si>
  <si>
    <t>Automated Data-Processing Function Identification Using Deep Neural Network</t>
  </si>
  <si>
    <t>H. Kuang; J. Wang; R. Li; C. Feng; X. Zhang</t>
  </si>
  <si>
    <t>Citizen Development, Low-Code/No-Code Platforms, and the Evolution of Generative AI in Software Development</t>
  </si>
  <si>
    <t>J. T. Sodano; J. F. DeFranco</t>
  </si>
  <si>
    <t>IX281</t>
  </si>
  <si>
    <t>IX282</t>
  </si>
  <si>
    <t>IX283</t>
  </si>
  <si>
    <t>Guthardt, Till and Kosiol, Jens and Hohlfeld, Oliver</t>
  </si>
  <si>
    <t>Nirumand Jazi, Atefeh and Alfonso, Iv\'an and Cabot, Jordi</t>
  </si>
  <si>
    <t>Towards LowDevSecOps Framework for Low-Code Development: Integrating Process-Oriented Recommendations for Security Risk Management</t>
  </si>
  <si>
    <t>Sedrakyan, Gayane and Iacob, Maria-Eugenia and Van Hillegersberg, Jos</t>
  </si>
  <si>
    <t>Hermann, Anne-Kathrin and K\"onig, Lars and Burger, Erik and Reussner, Ralf</t>
  </si>
  <si>
    <t>Sun, Tao and Lan, Xingfei and Jing, Guoshuai and Zhang, Judong and Jin, Yuchao and Xu, Lexi and Yang, Lei</t>
  </si>
  <si>
    <t>Low Code App Development</t>
  </si>
  <si>
    <t>Fryling, Meg</t>
  </si>
  <si>
    <t>Domingues, Renato Cavalcanti and Silva, Mario J. and Marinho, Marcelo Luiz Monteiro</t>
  </si>
  <si>
    <t>Gaudin, Emmanuel</t>
  </si>
  <si>
    <t>Hagel, Nathan and Hili, Nicolas and Schwab, Didier</t>
  </si>
  <si>
    <t>Zhang, Ziliang and Gray, Jeff</t>
  </si>
  <si>
    <t>Teaching Model-Driven Low-Code Development Platforms</t>
  </si>
  <si>
    <t>Charles, Joel and Michael, Judith and Netz, Lukas and Rumpe, Bernhard</t>
  </si>
  <si>
    <t>Mottu, Jean-Marie and Suny\'e, Gerson</t>
  </si>
  <si>
    <t>Silva, Juci\^e Xavier and Avelino, Guilherme</t>
  </si>
  <si>
    <t>MANILA: A Low-Code Application to Benchmark Machine Learning Models and Fairness-Enhancing Methods</t>
  </si>
  <si>
    <t>d'Aloisio, Giordano</t>
  </si>
  <si>
    <t>AI for Low-Code for AI</t>
  </si>
  <si>
    <t>Rao, Nikitha and Tsay, Jason and Kate, Kiran and Hellendoorn, Vincent and Hirzel, Martin</t>
  </si>
  <si>
    <t>Low-code Development Productivity: "Is winter coming" for code-based technologies?</t>
  </si>
  <si>
    <t>Varaj\~ao, Jo\~ao and Trigo, Ant\'onio and Almeida, Miguel</t>
  </si>
  <si>
    <t>Arvisan: an Interactive Tool for Visualisation and Analysis of Low-Code Architecture Landscapes</t>
  </si>
  <si>
    <t>Kakkenberg, Roy and Rukmono, Satrio Adi and Chaudron, Michel and Gerholt, Wim and Pinto, Miguel and de Oliveira, Claudio Ribeiro</t>
  </si>
  <si>
    <t>Low-Code Programming Models</t>
  </si>
  <si>
    <t>Hirzel, Martin</t>
  </si>
  <si>
    <t>White-box LLM-supported Low-code Engineering: A Vision and First Insights</t>
  </si>
  <si>
    <t>Buchmann, Thomas and Peinl, Ren\'e and Schw\"agerl, Felix</t>
  </si>
  <si>
    <t>A Low-Code Platform for Systematic Component-Oriented Language Composition</t>
  </si>
  <si>
    <t>Pfeiffer, J\'er\^ome and Wortmann, Andreas</t>
  </si>
  <si>
    <t>Low Code Conversation-based Hybrid UI Design Case Study and Reflection</t>
  </si>
  <si>
    <t>Liu, Yunxing and Lee, Minha and Yang, Bin and Martens, Jean-Bernard</t>
  </si>
  <si>
    <t>Poster Abstract: ST AIoT Craft - A No-Code / Low-Code Cloud Solution for Edge AI Management in Smart Sensors</t>
  </si>
  <si>
    <t>Chowdhary, Mahesh and Saha, Swapnil Sayan and Das, Mridupawan and Scukova, Jana and Batek, Miroslav and Trollo, Lisa and Sergi, Davide and Aliprandi, Davide and Villa, Alberto and Palmieri, Andrea and Jouini, Mohammed Maher and Alfonso, Daniele and Melpignano, Diego</t>
  </si>
  <si>
    <t>Solar Carrier Skipping Station Card Control Based on Low-Code Platforms</t>
  </si>
  <si>
    <t>Liu, Gang and Cui, Zexue</t>
  </si>
  <si>
    <t>Low-Code Software Development: Key Impacts on the Software Industry</t>
  </si>
  <si>
    <t>El-Deeb, Ahmed</t>
  </si>
  <si>
    <t>A Low-code Development Framework for Cloud-native Edge Systems</t>
  </si>
  <si>
    <t>Zhang, Wenzhao and Zhang, Yuxuan and Fan, Hongchang and Gao, Yi and Dong, Wei</t>
  </si>
  <si>
    <t>Analysis and Comparison of Automatic Code Generation and Transformation Techniques on Low-Code Platforms</t>
  </si>
  <si>
    <t>Uyan\ik, Burak and Sayar, Ahmet</t>
  </si>
  <si>
    <t>Liao, Lei and Wang, Junjie and Xu, Zhensheng and Mu, Fangwen and Yang, Yukun</t>
  </si>
  <si>
    <t>Design and Implementation of a Low-Code Platform in the Power Sector</t>
  </si>
  <si>
    <t>Wang, Xinchen and Wang, Peng and Hu, Jian and Wang, Xiang and Zhao, Yuxiao and Wang, Shaolei and Diao, Liujian and Zhou, Shijie</t>
  </si>
  <si>
    <t>Design and application of a web front-end development course training platform based on generative artificial intelligence and low code development</t>
  </si>
  <si>
    <t>Shan, Qiang</t>
  </si>
  <si>
    <t>Using a Low-Code Environment to Teach Programming in the Era of LLMs</t>
  </si>
  <si>
    <t>Potriasaeva, Anna and Dzialets, Katsiaryna and Golubev, Yaroslav and Birillo, Anastasiia</t>
  </si>
  <si>
    <t>Low-code and No-code Technologies Adoption: A Gray Literature Review</t>
  </si>
  <si>
    <t>Silva, Juci\^e Xavier and Lopes, Mikael and Avelino, Guilherme and Santos, Pedro</t>
  </si>
  <si>
    <t>Designing and Operating a Low-Code Template for Class Delivery and Administration: Lessons Learned</t>
  </si>
  <si>
    <t>Frank, Ian</t>
  </si>
  <si>
    <t>Bocciarelli, Paolo and D'Ambrogio, Andrea</t>
  </si>
  <si>
    <t>Using Node-RED as a Low-Code Approach to Model Interaction Logic of Machine-Learning-Supported eHMIs for the Virtual Driving Simulator Carla</t>
  </si>
  <si>
    <t>Winkelmann, Sven and B\"uttner, Max and Deivasihamani, Dharani and von Hoffmann, Alexander and Flohr, Fabian</t>
  </si>
  <si>
    <t>Personalized Action Suggestions in Low-Code Automation Platforms</t>
  </si>
  <si>
    <t>Gupta, Saksham and Verbruggen, Gust and Singh, Mukul and Gulwani, Sumit and Le, Vu</t>
  </si>
  <si>
    <t>Digital Public Goods Interoperability: A Low-Code Middleware Approach</t>
  </si>
  <si>
    <t>Musoke, Andrew Amstrong and Nishimirwe, Jean Paul and Lawal, Nafiu and Gueye, Assane</t>
  </si>
  <si>
    <t>Research on The Crawler Technology with Low-Code for Image Data in Electric Utility</t>
  </si>
  <si>
    <t>Guo, Fanglin and Wang, Hua and Zhao, Linxiang and Kou, Xiaoxia and Jia, Erfei and Wang, Zhijun and Long, Hongyu</t>
  </si>
  <si>
    <t>Lei\ssau, Madlene and Laroque, Christoph</t>
  </si>
  <si>
    <t>Routine, Twisty, and Queer: Pasts and Futures of Games Programming Pedagogy with No and Low Code Tools</t>
  </si>
  <si>
    <t>Cox, Daniel and Murray, John and Salter, Anastasia</t>
  </si>
  <si>
    <t>Enhanced Test Case Expression for End-User Developers</t>
  </si>
  <si>
    <t>Design Goals for End-User Development of Robot-Assisted Physical Training Activities: A Participatory Design Study</t>
  </si>
  <si>
    <t>De La Rosa Gutierrez, Jose Pablo and Silva, Thiago Rocha and Dittrich, Yvonne and S⊘rensen, Anders Stengaard</t>
  </si>
  <si>
    <t>Developing and Implementing Teacher-Created AI Tools for Cultural Expression: A Mixed-Methods Study of EFL Students' Learning of Traditional Chinese Culture</t>
  </si>
  <si>
    <t>Qi, Shanshan and Qiu, Hongye</t>
  </si>
  <si>
    <t>Development and trend of service security management under big data technology</t>
  </si>
  <si>
    <t>Wang, Yuhui and Xu, Sining and Ma, Chao and Yang, Qianjun and Dong, Yiyuan</t>
  </si>
  <si>
    <t>Using No-code Platform to Accelerate Digital Transformation – The Study for Feasibility Analysis and Solution Development of Performance Visualization Cloud-computing Management System (PVCMS)</t>
  </si>
  <si>
    <t>Hsu, Shun-Fa and Lee, Yi-In and Hsu, Ching-Tzu and Hsu, Ching-Yin</t>
  </si>
  <si>
    <t>DReM: Efficiently Generating Domain-Specific Requirements Modeling Tool</t>
  </si>
  <si>
    <t>Geng, Ruixin and Weng, Jiahao and Ge, Ning and Li, Jingyao and Hu, Chunming</t>
  </si>
  <si>
    <t>Research and Application of MSC Integrated Intelligent Platform for Software Development and Operation in Large-scale Software Engineering</t>
  </si>
  <si>
    <t>Gao, Jinming and Zhu, Pingfei and Xiong, Genxin and Shu, Yanfei</t>
  </si>
  <si>
    <t>Cognitive Patterns for Developer Experience</t>
  </si>
  <si>
    <t>Pinho, Daniel and Aguiar, Ademar and Amaral, Vasco</t>
  </si>
  <si>
    <t>Methods for Application Development by Non-Programmers: A Systematic Literature Review</t>
  </si>
  <si>
    <t>Azmy, Imran Harith and Azmi, Azri and Kama, Nazri and Mohd Rusli, Hazlifah and Chuprat, Suriayati and Anuar, Asyraf Wahi</t>
  </si>
  <si>
    <t>Issues and Their Causes in WebAssembly Applications: An Empirical Study</t>
  </si>
  <si>
    <t>Waseem, Muhammad and Das, Teerath and Ahmad, Aakash and Liang, Peng and Mikkonen, Tommi</t>
  </si>
  <si>
    <t>Industrial Metaverse in Supply Chain Management: Applications, Concepts, and Open Research Paths</t>
  </si>
  <si>
    <t>van der Valk, Hendrik and Kunert, Julia and Harke, Niklas and Langenbach, Katharina</t>
  </si>
  <si>
    <t>Conceptual Framework Introducing the Success Factors for Implementing Intelligent Automation-A Qualitative Multiple Case Study</t>
  </si>
  <si>
    <t>Dirnberger-Wild, Johannes and Roth, Maximilian</t>
  </si>
  <si>
    <t>Design Considerations for a Multi-user General-purpose Flow-based Visual Programming Environment</t>
  </si>
  <si>
    <t>Brandst\"atter, Ulrich and Schenkenfelder, Bernhard and Hohensinger, Doris and Kirchtag, Harald</t>
  </si>
  <si>
    <t>Tilbot: A Visual Design Platform to Facilitate Open Science Research into Conversational User Interfaces</t>
  </si>
  <si>
    <t>de Wit, Jan and Braggaar, Anouck</t>
  </si>
  <si>
    <t>Research and Practice on the Localisation Adaptation of the Power Enterprise Information System Development Platform Xinchuang (localization)</t>
  </si>
  <si>
    <t>Ji, Ya and Liu, Jiali and Zhang, Wei and Du, Lanna and Li, Qi and Jia, Ning</t>
  </si>
  <si>
    <t>Towards stability, predictability, and quality of intelligent automation services: ECIT product journey from on-premise to as-a-service</t>
  </si>
  <si>
    <t>Kedziora, Damian and Siemon, Dominik and Elshan, Edona and So\'nta, Monika</t>
  </si>
  <si>
    <t>Research on Accurate Academic Guidance of College Students Based on Big Data Portrait Analysis</t>
  </si>
  <si>
    <t>Liang, Yuan and Di, Kui and Zheng, Zhijia</t>
  </si>
  <si>
    <t>Xu, Jia and Du, Weilin and Liu, Xiao and Li, Xuejun</t>
  </si>
  <si>
    <t>AutomotiveUI '24: Proceedings of the 16th International Conference on Automotive User Interfaces and Interactive Vehicular Applications</t>
  </si>
  <si>
    <t/>
  </si>
  <si>
    <t>Smart Regions in the Age of the Citizen Developer: A Service-Oriented Engineering Approach</t>
  </si>
  <si>
    <t>Kormann-Hainzl, Gerhard and Ruiz-Torrubiano, Ruben</t>
  </si>
  <si>
    <t>ElderMind: A Mobile Application for Cognitive Stimulation and User Engagement</t>
  </si>
  <si>
    <t>Reis, Ars\'enio and Barroso, Jo\~ao and Rocha, T\^ania</t>
  </si>
  <si>
    <t>An Empirical Study on the Relationship Between Defects and Source Code’s Unnaturalness</t>
  </si>
  <si>
    <t>Jiang, Yanjie and Liu, Hui and Liu, Jinyan and Zhang, Yuxia and Ji, Weixing and Zhong, Hao and Zhang, Lu</t>
  </si>
  <si>
    <t>Interface Definition Language and Graphical Programming - Based Approach for Quick Shellcode Generation</t>
  </si>
  <si>
    <t>Liu, Guoan and Dong, Weiyu and Lin, Jian and Liu, Jiaan and Liu, Tieming</t>
  </si>
  <si>
    <t>LLMDroid: Enhancing Automated Mobile App GUI Testing Coverage with Large Language Model Guidance</t>
  </si>
  <si>
    <t>Wang, Chenxu and Liu, Tianming and Zhao, Yanjie and Yang, Minghui and Wang, Haoyu</t>
  </si>
  <si>
    <t>Prompt Engineering an LLM into Roleplaying a Management Coach: a Short Guide by and for Non-NLP Experts</t>
  </si>
  <si>
    <t>Guyre, Melissa and Holland, Liz and Shah, Nirva and Divekar, Rahul R.</t>
  </si>
  <si>
    <t>Robotic Process Automation in Latin American Organizations: Survey and Evaluation of the Current State of Technology Adoption</t>
  </si>
  <si>
    <t>Sganderla, Rachele Bianchi and Fantinato, Marcelo and Thom, Lucineia Heloisa</t>
  </si>
  <si>
    <t>AutomotiveUI '23 Adjunct: Adjunct Proceedings of the 15th International Conference on Automotive User Interfaces and Interactive Vehicular Applications</t>
  </si>
  <si>
    <t>The Age of Snippet Programming: Toward Understanding Developer Communities in Stack Overflow and Reddit</t>
  </si>
  <si>
    <t>Antelmi, Alessia and Cordasco, Gennaro and De Vinco, Daniele and Spagnuolo, Carmine</t>
  </si>
  <si>
    <t>Using Grammar Masking to Ensure Syntactic Validity in LLM-based Modeling Tasks</t>
  </si>
  <si>
    <t>Netz, Lukas and Reimer, Jan and Rumpe, Bernhard</t>
  </si>
  <si>
    <t>IUI '25: Proceedings of the 30th International Conference on Intelligent User Interfaces</t>
  </si>
  <si>
    <t>Research on the Technology and Industrial Development of Integrated Machine for Large Models</t>
  </si>
  <si>
    <t>Dong, Hao</t>
  </si>
  <si>
    <t>VisionAPI: An API for Offline and Online Segmentation and Identification of Hand-Sketched Graphical User Interfaces</t>
  </si>
  <si>
    <t>Brie, Paul and Burny, Nicolas and Vanderdonckt, Jean</t>
  </si>
  <si>
    <t>PromptDeck: A No-Code Platform for Modular Prompt Engineering</t>
  </si>
  <si>
    <t>Bucchiarone, Antonio and Panciera, Marco and Cicchetti, Antonio and Mana, Nadia and Castelluccio, Carlotta and Stott, Lee</t>
  </si>
  <si>
    <t>Enhancing Model Management with Automated REST API Generation</t>
  </si>
  <si>
    <t>Tuyishime, Adiel and Basciani, Francesco and Canovas Izquierdo, Javier Luis and Iovino, Ludovico</t>
  </si>
  <si>
    <t>Practice and Innovation of Digital Application of Overseas Human Resource Management Based on Artificial Intelligence</t>
  </si>
  <si>
    <t>Qi, Nairu and Song, Pengfei and Mei, Tao</t>
  </si>
  <si>
    <t>FrameKit: A Tool for Authoring Adaptive UIs Using Keyframes</t>
  </si>
  <si>
    <t>Wu, Jason and Todi, Kashyap and Chan, Joannes and Myers, Brad A and Lafreniere, Ben</t>
  </si>
  <si>
    <t>An AI-native application assemble platform for easy-integrating of AIGC based services</t>
  </si>
  <si>
    <t>Jin, Wei and Chen, Hongzhi and Wang, Xiaoyan and Gong, Benru and Lin, Xiufeng</t>
  </si>
  <si>
    <t>A Mutation-Guided Assessment of Acceleration Approaches for Continuous Integration: An Empirical Study of YourBase</t>
  </si>
  <si>
    <t>Zeng, Zhili and Xiao, Tao and Lamothe, Maxime and Hata, Hideaki and Mcintosh, Shane</t>
  </si>
  <si>
    <t>A Platform-Independent Software-Intensive Workflow Modeling Language And An Open-Source Visual Programming Tool: A Bottom-Up Approach Using Ontology Integration Of Industrial Workflow Engines</t>
  </si>
  <si>
    <t>Shin, Yong-Jun and Utz, Wilfrid</t>
  </si>
  <si>
    <t>Cloud Infrastructure Management in the Age of AI Agents</t>
  </si>
  <si>
    <t>Yang, Zhenning and Bhatnagar, Archit and Qiu, Yiming and Miao, Tongyuan and Tser Jern Kon, Patrick and Xiao, Yunming and Huang, Yibo and Casado, Martin and Chen, Ang</t>
  </si>
  <si>
    <t>Diversity’s Double-Edged Sword: Analyzing Race’s Effect on Remote Pair Programming Interactions</t>
  </si>
  <si>
    <t>Mason, Shandler A. and Kuttal, Sandeep Kaur</t>
  </si>
  <si>
    <t>Scalable Spreadsheet-Driven End-User Applications with Incremental Computation</t>
  </si>
  <si>
    <t>Hadar, Sean and Itzhaky, Shachar</t>
  </si>
  <si>
    <t>Prompt Sapper: A LLM-Empowered Production Tool for Building AI Chains</t>
  </si>
  <si>
    <t>Cheng, Yu and Chen, Jieshan and Huang, Qing and Xing, Zhenchang and Xu, Xiwei and Lu, Qinghua</t>
  </si>
  <si>
    <t>Should Computers Be Easy To Use? Questioning the Doctrine of Simplicity in User Interface Design</t>
  </si>
  <si>
    <t>Sarkar, Advait</t>
  </si>
  <si>
    <t>Transforming Ideas into Code: Visual Sketching for ML Development</t>
  </si>
  <si>
    <t>Gomes, Lu\'\is</t>
  </si>
  <si>
    <t>CUI '24: Proceedings of the 6th ACM Conference on Conversational User Interfaces</t>
  </si>
  <si>
    <t>Industry Academia and Government Collaboration to Reduce Gaps in Software Engineering: Applications for Students and Professionals in Career Transition</t>
  </si>
  <si>
    <t>Marques, Denis and Rocha, Richard and Santos, Bruna and Pacheco, Felipe and Rodrigues, Cleyton Mario de Oliveira and Santos, Wylliams Barbosa</t>
  </si>
  <si>
    <t>On-device Online Learning and Semantic Management of TinyML Systems</t>
  </si>
  <si>
    <t>Ren, Haoyu and Anicic, Darko and Li, Xue and Runkler, Thomas</t>
  </si>
  <si>
    <t>ScriptAR: No-Code Development of Augmented Reality Educational Games</t>
  </si>
  <si>
    <t>Holford, Robert and Wales, Michaelah and Kelly, Lindsey J. and Bednarski, Steven and Bullock, Alison and Harrap, Robin and MacDonald, Zack and Graham, T.C. Nicholas</t>
  </si>
  <si>
    <t>Experiences in Developing Configurable Digital Twin-assisted xR Applications for Industrial Environments</t>
  </si>
  <si>
    <t>May, Richard and Adler, Simon</t>
  </si>
  <si>
    <t>Developing and implementing a superconnector of producers in the printing industry to facilitate book historical research: Enabling digitalization of research processes by consolidating data from multiple sources</t>
  </si>
  <si>
    <t>Thys, Guido</t>
  </si>
  <si>
    <t>SensorPublisher: Applying Software Product Lines to the development of IoT dashboards</t>
  </si>
  <si>
    <t>Corti\~nas, Alejandro and Lamas, Victor and R. Luaces, Miguel</t>
  </si>
  <si>
    <t>UIST '23: Proceedings of the 36th Annual ACM Symposium on User Interface Software and Technology</t>
  </si>
  <si>
    <t>IUI '24: Proceedings of the 29th International Conference on Intelligent User Interfaces</t>
  </si>
  <si>
    <t>Analyzing the Resource Usage Overhead of Mobile App Development Frameworks</t>
  </si>
  <si>
    <t>Oliveira, Wellington and Moraes, Bernardo and Castor, Fernando and Fernandes, Jo\~ao Paulo</t>
  </si>
  <si>
    <t>Merlin-A: A tool to engineer adaptive modelling languages</t>
  </si>
  <si>
    <t>Guerra, Esther and de Lara, Juan</t>
  </si>
  <si>
    <t>Characterizing Toolkits for Platform Independent Chatbot Development</t>
  </si>
  <si>
    <t>Leifheit, Bhruno Roan and Basso, F\'abio Paulo and Silva, Williamson</t>
  </si>
  <si>
    <t>Developing a Twitter Clone by Using a No-Code Software Platform</t>
  </si>
  <si>
    <t>Ergin, Huseyin</t>
  </si>
  <si>
    <t>Bridging Incremental Programming and Complex Software Development Environments</t>
  </si>
  <si>
    <t>Boksem, Max and van Binsbergen, L. Thomas</t>
  </si>
  <si>
    <t>Practical design and implementation of an augmented reality based digital twin</t>
  </si>
  <si>
    <t>Protin, Lionel and Aggoune-Mtalaa, Wassila and Kavka, Carlos</t>
  </si>
  <si>
    <t>An Industry Case Study on Adoption of AI-based Programming Assistants</t>
  </si>
  <si>
    <t>Davila, Nicole and Wiese, Igor and Steinmacher, Igor and Lucio da Silva, Lucas and Kawamoto, Andre and Favaro, Gilson Jose Peres and Nunes, Ingrid</t>
  </si>
  <si>
    <t>The Effect of Gamification Mechanics on User Experiences of AdventureLEARN: A Self-Driven Learning Platform</t>
  </si>
  <si>
    <t>Tan, Chek Tien and Devilly, Oran Zane and Lim, Sok Mui and Divo, Bavani and Kok, Xiao-Feng Kenan and Jasin, Jamil and Seaw, Ker Boon and Htein, Lin Aung</t>
  </si>
  <si>
    <t>Interaction Proxy Manager: Semantic Model Generation and Run-time Support for Reconstructing Ubiquitous User Interfaces of Mobile Services</t>
  </si>
  <si>
    <t>Huang, Tian and Yu, Chun and Shi, Weinan and Wang, Bowen and Yang, David and Zhu, Yihao and Li, Zhaoheng and Shi, Yuanchun</t>
  </si>
  <si>
    <t>Could No-Code Be Code? Toward a No-Code Programming Language for Citizen Developers</t>
  </si>
  <si>
    <t>Avishahar-Zeira, Assaf and Lorenz, David H.</t>
  </si>
  <si>
    <t>CUI '23: Proceedings of the 5th International Conference on Conversational User Interfaces</t>
  </si>
  <si>
    <t>Design and Optimization of Intelligent Manufacturing System in Cigarette Factory</t>
  </si>
  <si>
    <t>Tang, Xuechao and Zhou, Leting and Yuan, Hongyu and Wang, Peichen and Huang, Wenchao and Zhao, Wenkun and Sun, Xiaorui</t>
  </si>
  <si>
    <t>AutoRestTest: A Tool for Automated REST API Testing Using LLMs and MARL</t>
  </si>
  <si>
    <t>Stennett, Tyler and Kim, Myeongsoo and Sinha, Saurabh and Orso, Alessandro</t>
  </si>
  <si>
    <t>Participatory Design for Whom? Designing Conversational User Interfaces for Sensitive Settings and Vulnerable Populations</t>
  </si>
  <si>
    <t>Houben, Maarten and van As, Nena and Sawhney, Nitin and Unbehaun, David and Lee, Minha</t>
  </si>
  <si>
    <t>Comparative Analysis of Rule-Based Chatbot Development Tools for Education Orientation: A RAD Approach</t>
  </si>
  <si>
    <t>Silkhi, Hassan and Bakkas, Brahim and Housni, Khalid</t>
  </si>
  <si>
    <t>Students' Perceptions and Use of Generative AI Tools for Programming Across Different Computing Courses</t>
  </si>
  <si>
    <t>Keuning, Hieke and Alpizar-Chacon, Isaac and Lykourentzou, Ioanna and Beehler, Lauren and K\"oppe, Christian and de Jong, Imke and Sosnovsky, Sergey</t>
  </si>
  <si>
    <t>From Awareness to Action: Exploring End-User Empowerment Interventions for Dark Patterns in UX</t>
  </si>
  <si>
    <t>Lu, Yuwen and Zhang, Chao and Yang, Yuewen and Yao, Yaxing and Li, Toby Jia-Jun</t>
  </si>
  <si>
    <t>Advancing Technical Debt Management in Software Systems with a Comprehensive TD Indicator and Question Catalog</t>
  </si>
  <si>
    <t>\cCa\uglayan, Dilek and \"Ozcan-Top, \"Ozden</t>
  </si>
  <si>
    <t>Prototyping Deep Learning Applications with Non-Experts: An Assistant Proposition</t>
  </si>
  <si>
    <t>Rodrigues dos Reis, Gustavo and Mos, Adrian and Cortes-Cornax, Mario and Labb\'e, Cyril</t>
  </si>
  <si>
    <t>MakeDevice: Evolving Devices Beyond the Prototype with Jacdac</t>
  </si>
  <si>
    <t>Hartley, Kobi and Finney, Joe and Hodges, Steve and De Halleux, Peli and Devine, James and D'Amone, Gabriele</t>
  </si>
  <si>
    <t>Research and implementation of the rapid choreography method based on atomic service</t>
  </si>
  <si>
    <t>Liu, Xinyi and Chen, Gang and Liu, Yaqi and Gao, Ying and Sun, Lu</t>
  </si>
  <si>
    <t>ICIIS '25: Proceedings of the 2025 2nd International Conference on Innovation Management and Information System</t>
  </si>
  <si>
    <t>Human-Centric Hybrid-AI for No-Code Development</t>
  </si>
  <si>
    <t>Silva, Thiago Rocha and Hildebrandt, Thomas Troels</t>
  </si>
  <si>
    <t>ICSIM '25: Proceedings of the 2025 8th International Conference on Software Engineering and Information Management</t>
  </si>
  <si>
    <t>IWSiB '24: Proceedings of the 7th ACM/IEEE International Workshop on Software-intensive Business</t>
  </si>
  <si>
    <t>InstructPipe: Generating Visual Blocks Pipelines with Human Instructions and LLMs</t>
  </si>
  <si>
    <t>Zhou, Zhongyi and Jin, Jing and Phadnis, Vrushank and Yuan, Xiuxiu and Jiang, Jun and Qian, Xun and Wright, Kristen and Sherwood, Mark and Mayes, Jason and Zhou, Jingtao and Huang, Yiyi and Xu, Zheng and Zhang, Yinda and Lee, Johnny and Olwal, Alex and Kim, David and Iyengar, Ram and Li, Na and Du, Ruofei</t>
  </si>
  <si>
    <t>‘Talking with your Car’: Design of Human-Centered Conversational AI in Autonomous Vehicles</t>
  </si>
  <si>
    <t>Rege, Akshay and Currano, Rebecca and Sirkin, David and Kim, Euiyoung</t>
  </si>
  <si>
    <t>RACEME: Embedded Intelligence for Correlation-driven Predictive Energy-harvesting Management in LoRa Networks</t>
  </si>
  <si>
    <t>Jewsakul, Sukanya and Ngai, Edith C. H.</t>
  </si>
  <si>
    <t>Model-Driven Development Towards Distributed Intelligent Systems</t>
  </si>
  <si>
    <t>Barriga, Arturo and Barriga, Jos\'e A. and P\'erez-Toledano, Miguel A. and Clemente, Pedro J.</t>
  </si>
  <si>
    <t>Automating the Development of Task-oriented LLM-based Chatbots</t>
  </si>
  <si>
    <t>S\'anchez Cuadrado, Jes\'us and P\'erez-Soler, Sara and Guerra, Esther and De Lara, Juan</t>
  </si>
  <si>
    <t>Responsive innovation of Information System on Manufacturing as Enabler: A Case Study</t>
  </si>
  <si>
    <t>Handoko, Ridho and Lubis, Muharman and Rahmad, Basuki</t>
  </si>
  <si>
    <t>SIGMOD '24: Companion of the 2024 International Conference on Management of Data</t>
  </si>
  <si>
    <t>The Hidden Program State Hurts Everyone</t>
  </si>
  <si>
    <t>Thorgeirsson, Sverrir and Graf, Oliver and Su, Zhendong</t>
  </si>
  <si>
    <t>Driving Intelligent Manufacturing: An Application Study on Digital Twin in Factory Digitalization</t>
  </si>
  <si>
    <t>Xie, Haiqin and Xiao, Lin and Ming, Xinguo and Tan, Sheng and Bao, Yuguang</t>
  </si>
  <si>
    <t>DMIT '25: Proceedings of the 2025 International Conference on Digital Management and Information Technology</t>
  </si>
  <si>
    <t>Jarvis: Zero-code Prototyping of IoT Applications with Composable Hardware-Software Abstractions</t>
  </si>
  <si>
    <t>Wang, Weilong and Li, Borui and Wang, Shuai and He, Tian</t>
  </si>
  <si>
    <t>IUI '23: Proceedings of the 28th International Conference on Intelligent User Interfaces</t>
  </si>
  <si>
    <t>CodeNoCode Predictive Modeling: Co-Development with LLMs for Transparency and Inclusivity</t>
  </si>
  <si>
    <t>Dobslaw, Felix and Sundberg, Leif</t>
  </si>
  <si>
    <t>Engineering Digital Systems for Humanity: A Research Roadmap</t>
  </si>
  <si>
    <t>Autili, Marco and De Sanctis, Martina and Inverardi, Paola and Pelliccione, Patrizio</t>
  </si>
  <si>
    <t>Design and Implementation of Content Management System Based on Cloud Service and Cloud Storage</t>
  </si>
  <si>
    <t>Xue, Xianwei and Peng, Xiangyan</t>
  </si>
  <si>
    <t>How to Support ML End-User Programmers through a Conversational Agent</t>
  </si>
  <si>
    <t>Arteaga Garcia, Emily Judith and Nicolaci Pimentel, Jo\~ao Felipe and Feng, Zixuan and Gerosa, Marco and Steinmacher, Igor and Sarma, Anita</t>
  </si>
  <si>
    <t>ICBAR '24: Proceedings of the 2024 4th International Conference on Big Data, Artificial Intelligence and Risk Management</t>
  </si>
  <si>
    <t>Robotic process automation of calculating investments in a business project</t>
  </si>
  <si>
    <t>Hafenscherer, Michael and Mezhuyev, Vitaliy and Tschandl, Martin</t>
  </si>
  <si>
    <t>Is Fault Localization Effective on Industrial Software? A Case Study on Computer-Aided Engineering Projects</t>
  </si>
  <si>
    <t>Ren, Zhilei and Ma, Yue and Li, Xiaochen and Guo, Shikai and Jiang, He</t>
  </si>
  <si>
    <t>Thinking Strategies Training to Support the Development of Machine Learning Understanding. A study targeting fifth-grade children</t>
  </si>
  <si>
    <t>Baldoni, Matteo and Baroglio, Cristina and Bucciarelli, Monica and Micalizio, Roberto and Gandolfi, Elena and Iani, Francesco and Marengo, Elisa and Capecchi, Sara</t>
  </si>
  <si>
    <t>TableTalk: Scaffolding Spreadsheet Development with a Language Agent</t>
  </si>
  <si>
    <t>Liang, Jenny T. and Kumar, Aayush and Bajpai, Yasharth and Gulwani, Sumit and Le, Vu and Parnin, Chris and Radhakrishna, Arjun and Tiwari, Ashish and Murphy-Hill, Emerson and Soares, Gustavo</t>
  </si>
  <si>
    <t>Agile Practices and their Role in Enhancing Productivity in Student-Run Software Development Projects</t>
  </si>
  <si>
    <t>Mitra, Sandeep and Rosenhein, Eric</t>
  </si>
  <si>
    <t>DSAI '24: Proceedings of the 11th International Conference on Software Development and Technologies for Enhancing Accessibility and Fighting Info-exclusion</t>
  </si>
  <si>
    <t>ScavengeAR: From Licensing Fees to Free — Rebuilding Mobile AR with Unity-Native Tools</t>
  </si>
  <si>
    <t>Leung, Victor Vo</t>
  </si>
  <si>
    <t>EASE '24: Proceedings of the 28th International Conference on Evaluation and Assessment in Software Engineering</t>
  </si>
  <si>
    <t>IWSiB '22: Proceedings of the 5th International Workshop on Software-intensive Business: Towards Sustainable Software Business</t>
  </si>
  <si>
    <t>“What if everyone is able to program?” – Exploring the Role of Software Development in Science Fiction</t>
  </si>
  <si>
    <t>Krings, Kevin and Bohn, Nino S. and Hille, Nora Anna Luise and Ludwig, Thomas</t>
  </si>
  <si>
    <t>Towards Dynamic Self-Organizing Wearables for Head and Neck Digital Rehabilitation</t>
  </si>
  <si>
    <t>Buzcu, Berk and Calvaresi, Davide and Anuraj, Banani and Calbimonte, Jean-Paul</t>
  </si>
  <si>
    <t>Awareness, Education, and Adoption of Cloud Computing for Academic Research</t>
  </si>
  <si>
    <t>Payton, Ryan L.</t>
  </si>
  <si>
    <t>The Future Now: The Top Trends in Software Development</t>
  </si>
  <si>
    <t>Tower, Jonathan "J."</t>
  </si>
  <si>
    <t>ConverSearch: Supporting Experts in Human Behavior Analysis of Conversational Videos with a Multimodal Scene Search Tool</t>
  </si>
  <si>
    <t>Arakawa, Riku and Maeda, Kiyosu and Yakura, Hiromu</t>
  </si>
  <si>
    <t>A Conversational Assistant Framework for Automation</t>
  </si>
  <si>
    <t>Duesterwald, Evelyn and Isahagian, Vatche and Jayaram, K. R. and Kumar, Ritesh and Muthusamy, Vinod and Oum, Punleuk and Thomas, Gegi and Venkateswaran, Praveen</t>
  </si>
  <si>
    <t>Harnessing No-Code Blockchain for DeFi: A Microcredit Case Study on AstraKode Blockchain</t>
  </si>
  <si>
    <t>Izzo, Fabiano and D'Amici, Damiano</t>
  </si>
  <si>
    <t>BDEIM '23: Proceedings of the 2023 4th International Conference on Big Data Economy and Information Management</t>
  </si>
  <si>
    <t>LibVQ: A Toolkit for Optimizing Vector Quantization and Efficient Neural Retrieval</t>
  </si>
  <si>
    <t>Li, Chaofan and Liu, Zheng and Xiao, Shitao and Shao, Yingxia and Lian, Defu and Cao, Zhao</t>
  </si>
  <si>
    <t>Innovation and Development of Chinese Language International Education in the Digital Age</t>
  </si>
  <si>
    <t>Yan, Chengmin</t>
  </si>
  <si>
    <t>If [YourName] Can Code, So Can You! End-User Robot Programming For Non-Experts</t>
  </si>
  <si>
    <t>Swaminathan, Manasi and Hsu, Long-Jing and Thant, Min Min and Amon, Kyrie Jig and Kim, Anna S. and Tsui, Katherine M. and Sabanovi\'c, Selma and Crandall, David J. and Khoo, Weslie</t>
  </si>
  <si>
    <t>The “Three-Legged Stool": Designing for Equitable City, Community, and Research Partnerships in Urban Environmental Sensing</t>
  </si>
  <si>
    <t>Daepp, Madeleine I. G. and Cabral, Alex and Werner, Tiffany M and Mansour, Raed and Catlett, Charlie and Roseway, Asta and Needham, Chuck and Udeagbala, Nneka and Counts, Scott</t>
  </si>
  <si>
    <t>Assistance or Disruption? Exploring and Evaluating the Design and Trade-offs of Proactive AI Programming Support</t>
  </si>
  <si>
    <t>Pu, Kevin and Lazaro, Daniel and Arawjo, Ian and Xia, Haijun and Xiao, Ziang and Grossman, Tovi and Chen, Yan</t>
  </si>
  <si>
    <t>Model Driven Engineering, Artificial Intelligence, and DevOps for Software and Systems Engineering: A Systematic Mapping Study of Synergies and Challenges</t>
  </si>
  <si>
    <t>Berardinelli, Luca and Muttillo, Vittoriano and Eramo, Romina and Bruneliere, Hugo and Rahimi, Abbas and Cicchetti, Antonio and Giner-Miguelez, Joan and G\'omez, Abel and Potena, Pasqualina and Saadatmand, Mehrdad</t>
  </si>
  <si>
    <t>Koli Calling '24: Proceedings of the 24th Koli Calling International Conference on Computing Education Research</t>
  </si>
  <si>
    <t>sGuard+: Machine Learning Guided Rule-Based Automated Vulnerability Repair on Smart Contracts</t>
  </si>
  <si>
    <t>Gao, Cuifeng and Yang, Wenzhang and Ye, Jiaming and Xue, Yinxing and Sun, Jun</t>
  </si>
  <si>
    <t>Modular Verification of Secure and Leakage-Free Systems: From Application Specification to Circuit-Level Implementation</t>
  </si>
  <si>
    <t>Athalye, Anish and Corrigan-Gibbs, Henry and Kaashoek, Frans and Tassarotti, Joseph and Zeldovich, Nickolai</t>
  </si>
  <si>
    <t>Code on Demand: A Comparative Analysis of the Efficiency Understandability and Self-Correction Capability of Copilot ChatGPT and Gemini</t>
  </si>
  <si>
    <t>Batista, Samuel Silvestre and Branco, Bruno and Castro, Ot\'avio and Avelino, Guilherme</t>
  </si>
  <si>
    <t>Exploring Efficient Optimization Techniques in Online Retrieval-Augmented Generation Application</t>
  </si>
  <si>
    <t>Zhang, Yining and Peng, Yinan and Tu, Chengying and Zhang, Zherui and Yan, Hongfei and Chen, Chong and Ma, Hao and Yang, Jia and Zhang, Yan and Liao, Rikun</t>
  </si>
  <si>
    <t>Continuous process model refinement from business vision to event simulation and software automation: bridging gaps between stakeholder communities, practices, notations, and tools</t>
  </si>
  <si>
    <t>Zimmermann, Olaf and Luban, Katharina and Stocker, Mirko and Bernard, Giuliano</t>
  </si>
  <si>
    <t>Optimizing Service Efficiency: Incoming Call Forecasting Utilizing Smart City Open Data – A Case Study</t>
  </si>
  <si>
    <t>Davrazos, Gregory and Raftopoulos, George and Kostopoulos, Georgios and Kotsiantis, Sotiris</t>
  </si>
  <si>
    <t>"It's like a rubber duck that talks back": Understanding Generative AI-Assisted Data Analysis Workflows through a Participatory Prompting Study</t>
  </si>
  <si>
    <t>Drosos, Ian and Sarkar, Advait and Xu, Xiaotong and Negreanu, Carina and Rintel, Sean and Tankelevitch, Lev</t>
  </si>
  <si>
    <t>Designing Fault-tolerant Modern Data Engineering Solutions with Reliability Theory as The Driving Force</t>
  </si>
  <si>
    <t>Virmani, Ankit and Kuppam, Manoj</t>
  </si>
  <si>
    <t>RAID '24: Proceedings of the 27th International Symposium on Research in Attacks, Intrusions and Defenses</t>
  </si>
  <si>
    <t>Intelligent Healthcare Applications Based on GraphModo: A Comparative Study of Deep Learning Models for Lung Anomaly Detection</t>
  </si>
  <si>
    <t>Yang, Peng and Zhou, Yanyang and Liu, Yiliang and Zeng, Zhifeng</t>
  </si>
  <si>
    <t>An Ethnographic Study on the CI of A Large Scale Project</t>
  </si>
  <si>
    <t>Wang, Zikuan and Liu, Bohan and Zhan, Zeye and Zhang, He and Li, Gongyuan</t>
  </si>
  <si>
    <t>PEARC '24: Practice and Experience in Advanced Research Computing 2024: Human Powered Computing</t>
  </si>
  <si>
    <t>DataExplorer - Computer Vision data management, exploration, curation, and modeling at scale</t>
  </si>
  <si>
    <t>Vadarevu, Sabarish and Battaje, Ajith Kumar and Berkovich, Alexander</t>
  </si>
  <si>
    <t>Evaluation of IoT self-healing mechanisms using fault-injection in message brokers</t>
  </si>
  <si>
    <t>Duarte, Miguel and Dias, Jo\~ao Pedro and Ferreira, Hugo Sereno and Restivo, Andr\'e</t>
  </si>
  <si>
    <t>ICSED '23: Proceedings of the 2023 5th International Conference on Software Engineering and Development</t>
  </si>
  <si>
    <t>A Model-Driven Approach to Design, Generation, and Deployment of GUI Component Libraries</t>
  </si>
  <si>
    <t>Gerasimov, Arkadii and Jansen, Nico and Michael, Judith and Rumpe, Bernhard and Will, Sebastian</t>
  </si>
  <si>
    <t>DSL-MoLab: supporting model-based development of TDL-specific systems enabled by DSL</t>
  </si>
  <si>
    <t>Hu, Jie and Zhang, Yaozhong and Qin, Xiujuan and Wei, Lvlun and Chen, Fangwe and Tyszberowicz, Shmuel and Zhang, Mingyue and Liu, Bo</t>
  </si>
  <si>
    <t>Toss a Fault to BpfChecker: Revealing Implementation Flaws for eBPF runtimes with Differential Fuzzing</t>
  </si>
  <si>
    <t>Peng, Chaoyuan and Jiang, Muhui and Wu, Lei and Zhou, Yajin</t>
  </si>
  <si>
    <t>Dynamic Toolchains: Software Infrastructure for Digital Fabrication Workflows</t>
  </si>
  <si>
    <t>Twigg-Smith, Hannah and Peek, Nadya</t>
  </si>
  <si>
    <t>Beatrice: A Chatbot for Collecting Psychoecological Data and Providing QA Capabilities</t>
  </si>
  <si>
    <t>Ni, Yeming and Chen, Yuqing and Ding, Ruyi and Ni, Shiguang</t>
  </si>
  <si>
    <t>Broadening Access to Simulations for End-Users via Large Language Models: Challenges and Opportunities</t>
  </si>
  <si>
    <t>Giabbanelli, Philippe J. and Padilla, Jose J. and Agrawal, Ameeta</t>
  </si>
  <si>
    <t>DynaVis: Dynamically Synthesized UI Widgets for Visualization Editing</t>
  </si>
  <si>
    <t>Vaithilingam, Priyan and Glassman, Elena L. and Inala, Jeevana Priya and Wang, Chenglong</t>
  </si>
  <si>
    <t>Can LLMs Recommend More Responsible Prompts?</t>
  </si>
  <si>
    <t>Santana, Vagner Figueredo de and Berger, Sara and Machado, Tiago and de Macedo, Maysa Malfiza Garcia and Sanctos, Cassia Sampaio and Williams, Lemara and Wu, Zhaoqing</t>
  </si>
  <si>
    <t>Composable Prompting Workspaces for Creative Writing: Exploration and Iteration Using Dynamic Widgets</t>
  </si>
  <si>
    <t>Amin, Rifat Mehreen and K\"uhle, Oliver Hans and Buschek, Daniel and Butz, Andreas</t>
  </si>
  <si>
    <t>QUPER-MAn: Benchmark-Guided Target Setting for Maintainability Requirements</t>
  </si>
  <si>
    <t>Borg, Markus and Larsson, Martin and Breid, Philip and Hagatulah, Nadim</t>
  </si>
  <si>
    <t>Experiencing InstructPipe: Building Multi-modal AI Pipelines via Prompting LLMs and Visual Programming</t>
  </si>
  <si>
    <t>Zhou, Zhongyi and Jin, Jing and Phadnis, Vrushank and Yuan, Xiuxiu and Jiang, Jun and Qian, Xun and Zhou, Jingtao and Huang, Yiyi and Xu, Zheng and Zhang, Yinda and Wright, Kristen and Mayes, Jason and Sherwood, Mark and Lee, Johnny and Olwal, Alex and Kim, David and Iyengar, Ram and Li, Na and Du, Ruofei</t>
  </si>
  <si>
    <t>dg.o '24: Proceedings of the 25th Annual International Conference on Digital Government Research</t>
  </si>
  <si>
    <t>On the Utility of Domain Modeling Assistance with Large Language Models</t>
  </si>
  <si>
    <t>Ben Chaaben, Meriem and Burgue\~no, Lola and David, Istvan and Sahraoui, Houari</t>
  </si>
  <si>
    <t>WaDec: Decompiling WebAssembly Using Large Language Model</t>
  </si>
  <si>
    <t>She, Xinyu and Zhao, Yanjie and Wang, Haoyu</t>
  </si>
  <si>
    <t>From VizBlocks to the Data-Driven Actor: Reimagining an open-ended data physicalisation prototype with a creative business</t>
  </si>
  <si>
    <t>Lechelt, Susan and Morgan, Evan and Duffy, Clare and Murray-Rust, Dave and Nissen, Bettina</t>
  </si>
  <si>
    <t>Research and Exploration on the Teaching Mode and Key Technologies of Comprehensive Project Practical Courses Based on Cloud Classroom</t>
  </si>
  <si>
    <t>Zeng, Wenying</t>
  </si>
  <si>
    <t>EASE '23: Proceedings of the 27th International Conference on Evaluation and Assessment in Software Engineering</t>
  </si>
  <si>
    <t>WaitGPT: Monitoring and Steering Conversational LLM Agent in Data Analysis with On-the-Fly Code Visualization</t>
  </si>
  <si>
    <t>Xie, Liwenhan and Zheng, Chengbo and Xia, Haijun and Qu, Huamin and Zhu-Tian, Chen</t>
  </si>
  <si>
    <t>Dash: An Easy-to-Use Framework for Building Web Applications and Dashboards</t>
  </si>
  <si>
    <t>Manley, Eric D.</t>
  </si>
  <si>
    <t>A study of large language model Q&amp;amp;A based on LoRA Fine-Tuning and prompt engineering</t>
  </si>
  <si>
    <t>Li, Shuo and Ma, Ning</t>
  </si>
  <si>
    <t>Citizen-centric Design of Consumable Services for Smart Cities</t>
  </si>
  <si>
    <t>Voelz, Alexander and Muck, Christian and Amlashi, Danial M. and Karagiannis, Dimitris</t>
  </si>
  <si>
    <t>WebSheets: A New Privacy-Centric Framework for Web Applications</t>
  </si>
  <si>
    <t>Stoller, Scott D.</t>
  </si>
  <si>
    <t>Poster: Enabling IoT Application Programming in Natural Language with IoTPilot</t>
  </si>
  <si>
    <t>Gong, Kaijie and Dong, Wei and Peng, Yingqi and Wang, Hao and Gao, Yi</t>
  </si>
  <si>
    <t>Design and Implementation of a High-Performance X86 Embedded Real-Time Operating System</t>
  </si>
  <si>
    <t>La, Bingjun and Zhou, Yang</t>
  </si>
  <si>
    <t>Towards Runtime Monitoring for Responsible Machine Learning using Model-driven Engineering</t>
  </si>
  <si>
    <t>Naveed, Hira and Grundy, John and Arora, Chetan and Khalajzadeh, Hourieh and Haggag, Omar</t>
  </si>
  <si>
    <t>A Data Space infrastructure supporting the integration of clinical data nodes and cancer registries to improve personalized medicine</t>
  </si>
  <si>
    <t>Hamiti, Florim and Breidenbach, Martin and Heiba, Naguib and Guluzade, Aynur and Mohamad, Yehya and Velasco, Carlos A</t>
  </si>
  <si>
    <t>ICER '24: Proceedings of the 2024 ACM Conference on International Computing Education Research - Volume 2</t>
  </si>
  <si>
    <t>PAINT '24: Proceedings of the 3rd ACM SIGPLAN International Workshop on Programming Abstractions and Interactive Notations, Tools, and Environments</t>
  </si>
  <si>
    <t>A Comprehensive Overview of Large Language Models</t>
  </si>
  <si>
    <t>Naveed, Humza and Khan, Asad Ullah and Qiu, Shi and Saqib, Muhammad and Anwar, Saeed and Usman, Muhammad and Akhtar, Naveed and Barnes, Nick and Mian, Ajmal</t>
  </si>
  <si>
    <t>Block-based Programming for Two-Armed Robots: A Comparative Study</t>
  </si>
  <si>
    <t>Fronchetti, Felipe and Ritschel, Nico and Schorr, Logan and Barfield, Chandler and Chang, Gabriella and Spinola, Rodrigo and Holmes, Reid and Shepherd, David C.</t>
  </si>
  <si>
    <t>Koli Calling '23: Proceedings of the 23rd Koli Calling International Conference on Computing Education Research</t>
  </si>
  <si>
    <t>Rapid Development of Compositional AI</t>
  </si>
  <si>
    <t>Martie, Lee and Rosenberg, Jessie and Demers, Veronique and Zhang, Gaoyuan and Bhardwaj, Onkar and Henning, John and Prasad, Aditya and Stallone, Matt and Lee, Ja Young and Yip, Lucy and Adesina, Damilola and Paikari, Elahe and Resendiz, Oscar and Shaw, Sarah and Cox, David</t>
  </si>
  <si>
    <t>A Visual Programming Environment for Describing Complex Big Data Functions</t>
  </si>
  <si>
    <t>Karabetian, Andreas and Kiourtis, Athanasios and Mavrogiorgou, Argyro and Kyriazis, Dimosthenis</t>
  </si>
  <si>
    <t>Facilitating Environmental Monitoring for Sustainable Smart Regions by Enabling Citizen Co-Creation</t>
  </si>
  <si>
    <t>Hage, Roger and Kormann-Hainzl, Gerhard and Ruiz-Torrubiano, Ruben</t>
  </si>
  <si>
    <t>CODASPY '24: Proceedings of the Fourteenth ACM Conference on Data and Application Security and Privacy</t>
  </si>
  <si>
    <t>Vertically Autoscaling Monolithic Applications with CaaSPER: Scalable Container-as-a-Service Performance Enhanced Resizing Algorithm for the Cloud</t>
  </si>
  <si>
    <t>Pavlenko, Anna and Cahoon, Joyce and Zhu, Yiwen and Kroth, Brian and Nelson, Michael and Carter, Andrew and Liao, David and Wright, Travis and Camacho-Rodr\'\iguez, Jes\'us and Saur, Karla</t>
  </si>
  <si>
    <t>NetEdit: An Orchestration Platform for eBPF Network Functions at Scale</t>
  </si>
  <si>
    <t>Benson, Theophilus A. and Kannan, Prashanth and Gupta, Prankur and Madhavan, Balasubramanian and Arora, Kumar Saurabh and Meng, Jie and Lau, Martin and Dhamija, Abhishek and Krishnamurthy, Rajiv and Sundaresan, Srikanth and Spring, Neil and Zhang, Ying</t>
  </si>
  <si>
    <t>Responsible Prompting Recommendation: Fostering Responsible AI Practices in Prompting-Time</t>
  </si>
  <si>
    <t>Santana, Vagner Figueredo de and Berger, Sara E and Candello, Heloisa and Machado, Tiago and Sanctos, Cassia Sampaio and Su, Tianyu and Williams, Lemara</t>
  </si>
  <si>
    <t>Towards Trustworthy AI Software Development Assistance</t>
  </si>
  <si>
    <t>Maninger, Daniel and Narasimhan, Krishna and Mezini, Mira</t>
  </si>
  <si>
    <t>Software Engineering by and for Humans in an AI Era</t>
  </si>
  <si>
    <t>Abrah\~ao, Silvia and Grundy, John and Pezz\`e, Mauro and Storey, Margaret-Anne and Tamburri, Damian A.</t>
  </si>
  <si>
    <t>Reengineering legacy document information systems: Challenges and solutions</t>
  </si>
  <si>
    <t>Ramos-Vidal, Delfina</t>
  </si>
  <si>
    <t>Towards Democratizing AI: A Comparative Analysis of AI as a Service Platforms and the Open Space for Machine Learning Approach</t>
  </si>
  <si>
    <t>Rall, Dennis and Bauer, Bernhard and Fraunholz, Thomas</t>
  </si>
  <si>
    <t>Design and implementation of an STMF407-based data transmission method between circuit boards</t>
  </si>
  <si>
    <t>Li, Chao and Zhang, Guoguang and Jiao, Yucheng and Yue, Lei</t>
  </si>
  <si>
    <t>BlockEdge: A Hybrid Blockchain Framework for Secure and Efficient Collaboration in EEC Environments</t>
  </si>
  <si>
    <t>Shen, Wangbo and Lin, Weiwei and Huang, Tiansheng and Hu, Xinyi and Guo, Mian and Wu, Haijie</t>
  </si>
  <si>
    <t>Unseen Horizons: Unveiling the Real Capability of LLM Code Generation Beyond the Familiar</t>
  </si>
  <si>
    <t>Zhang, Yuanliang and Xie, Yifan and Li, Shanshan and Liu, Ke and Wang, Chong and Jia, Zhouyang and Huang, Xiangbing and Song, Jie and Luo, Chaopeng and Zheng, Zhizheng and Xu, Rulin and Liu, Yitong and Zheng, Si and Liao, Xiangke</t>
  </si>
  <si>
    <t>AutoDOViz: Human-Centered Automation for Decision Optimization</t>
  </si>
  <si>
    <t>Weidele, Daniel Karl I. and Afzal, Shazia and Valente, Abel N. and Makuch, Cole and Cornec, Owen and Vu, Long and Subramanian, Dharmashankar and Geyer, Werner and Nair, Rahul and Vejsbjerg, Inge and Marinescu, Radu and Palmes, Paulito and Daly, Elizabeth M. and Franke, Loraine and Haehn, Daniel</t>
  </si>
  <si>
    <t>Recommending With, Not For: Co-Designing Recommender Systems for Social Good</t>
  </si>
  <si>
    <t>Ekstrand, Michael D. and Razi, Afsaneh and Sarcevic, Aleksandra and Pera, Maria Soledad and Burke, Robin and Wright, Katherine Landau</t>
  </si>
  <si>
    <t>PEPM 2023: Proceedings of the 2023 ACM SIGPLAN International Workshop on Partial Evaluation and Program Manipulation</t>
  </si>
  <si>
    <t>Implementing and Deploying an ML Pipeline for IoT Intrusion Detection with Node-RED</t>
  </si>
  <si>
    <t>Zhang, Yimin and Asulba, Barikisu and Schumacher, Nuno and Sousa, Mario and Souto, Pedro and Almeida, Luis and Santos, Pedro and Martins, Nuno and Sousa, Joana</t>
  </si>
  <si>
    <t>Simulating Participant Behavior in Experience Sampling Method Research</t>
  </si>
  <si>
    <t>Khanshan, Alireza and Van Gorp, Pieter and Markopoulos, Panos</t>
  </si>
  <si>
    <t>From Research to Production: Towards Scalable and Sustainable Neural Recommendation Models on Commodity CPU Hardware</t>
  </si>
  <si>
    <t>Shrivastava, Anshumali and Lakshman, Vihan and Medini, Tharun and Meisburger, Nicholas and Engels, Joshua and Torres Ramos, David and Geordie, Benito and Pranav, Pratik and Gupta, Shubh and Adunukota, Yashwanth and Jain, Siddharth</t>
  </si>
  <si>
    <t>Exploring the Use of Software Product Lines for the Combination of Machine Learning Models</t>
  </si>
  <si>
    <t>Gomez-Vazquez, Marcos and Cabot, Jordi</t>
  </si>
  <si>
    <t>CIBDA '25: Proceedings of the 2025 6th International Conference on Computer Information and Big Data Applications</t>
  </si>
  <si>
    <t>BlindSpot: Efficient Single-Node Selective Jamming for LoRaWAN</t>
  </si>
  <si>
    <t>Mechler, Vincenz and Hessel, Frank and Hollick, Matthias and Bloessl, Bastian</t>
  </si>
  <si>
    <t>Beyond Numbers: Creating Analogies to Enhance Data Comprehension and Communication with Generative AI</t>
  </si>
  <si>
    <t>Chen, Qing and Shuai, Wei and Zhang, Jiyao and Sun, Zhida and Cao, Nan</t>
  </si>
  <si>
    <t>Uncovering API-Scope Misalignment in the App-in-App Ecosystem</t>
  </si>
  <si>
    <t>Che, Jiarui and Guo, Chenkai and Dong, Naipeng and Pei, Jiaqi and Fan, Lingling and Mi, Xun and Xie, Xueshuo and Luo, Xiangyang and Liu, Zheli and Cheng, Renhong</t>
  </si>
  <si>
    <t>"It’s Just a Machine that Predicts" - Demystifying Artificial Intelligence / Machine Learning with Teenagers</t>
  </si>
  <si>
    <t>Klemettil\"a, Pauli Aleksi and Sharma, Sumita and Mochiyama, Fumika and Iivari, Netta and Iwata, Megumi and Koivisto, Jussi</t>
  </si>
  <si>
    <t>Research on Adaptive Modulation Coding Technique in VDE-TER Multi-link Mode</t>
  </si>
  <si>
    <t>Zhao, Chen Song and Huai, Shuai Heng and Wang, Yu Chen and Hu, Qing</t>
  </si>
  <si>
    <t>Emerging Technologies in K–12 Education: A Future HCI Research Agenda</t>
  </si>
  <si>
    <t>Van Mechelen, Maarten and Smith, Rachel Charlotte and Schaper, Marie-Monique and Tamashiro, Mariana and Bilstrup, Karl-Emil and Lunding, Mille and Graves Petersen, Marianne and Sejer Iversen, Ole</t>
  </si>
  <si>
    <t>GraphStorm: All-in-one Graph Machine Learning Framework for Industry Applications</t>
  </si>
  <si>
    <t>Zheng, Da and Song, Xiang and Zhu, Qi and Zhang, Jian and Vasiloudis, Theodore and Ma, Runjie and Zhang, Houyu and Wang, Zichen and Adeshina, Soji and Nisa, Israt and Mottini, Alejandro and Cui, Qingjun and Rangwala, Huzefa and Zeng, Belinda and Faloutsos, Christos and Karypis, George</t>
  </si>
  <si>
    <t>Agentic AI for Enterprise: Emerging Applications and Real-world Challenges</t>
  </si>
  <si>
    <t>Xu, Anbang and Du, Min and Yu, Tan and Puvvadi, Meghana and Yu, Tao and Guo, Yufan and Chen, Xinyun and Gottschlich, Justin "Goju"</t>
  </si>
  <si>
    <t>CHI EA '24: Extended Abstracts of the CHI Conference on Human Factors in Computing Systems</t>
  </si>
  <si>
    <t>Trends in Gaming - Views of Industry Professionals and Game Scholars</t>
  </si>
  <si>
    <t>Kultima, Annakaisa</t>
  </si>
  <si>
    <t>Applications and Challenges of Fairness APIs in Machine Learning Software</t>
  </si>
  <si>
    <t>Das, Ajoy and Uddin, Gias and Chowdhury, Shaiful and Akhond, Mostafijur Rahman and Hemmati, Hadi</t>
  </si>
  <si>
    <t>Applying a Self-Extension Mechanism to DSLs for Establishing Model Libraries</t>
  </si>
  <si>
    <t>Gerasimov, Arkadii and Jansen, Nico and Michael, Judith and Rumpe, Bernhard</t>
  </si>
  <si>
    <t>OATs’inside: Retrieving Object Behaviors From Native-based Obfuscated Android Applications</t>
  </si>
  <si>
    <t>Graux, Pierre and Lalande, Jean-Fran\ccois and Viet Triem Tong, Val\'erie and Wilke, Pierre</t>
  </si>
  <si>
    <t>PEARC '23: Practice and Experience in Advanced Research Computing 2023: Computing for the Common Good</t>
  </si>
  <si>
    <t>An Exploratory Study of V-Model in Building ML-Enabled Software: A Systems Engineering Perspective</t>
  </si>
  <si>
    <t>Wu, Jie JW</t>
  </si>
  <si>
    <t>CHI '24: Proceedings of the 2024 CHI Conference on Human Factors in Computing Systems</t>
  </si>
  <si>
    <t>Data Adapter Design for Scalable and Customizable Cloud Services</t>
  </si>
  <si>
    <t>Toshniwal, Rajat Naresh and Mahamuni, Amol Bhaskar and KV, Shankaramurthy and Sondkar, Mahesh</t>
  </si>
  <si>
    <t>FSE 2024: Companion Proceedings of the 32nd ACM International Conference on the Foundations of Software Engineering</t>
  </si>
  <si>
    <t>ElasticFlow: An Elastic Serverless Training Platform for Distributed Deep Learning</t>
  </si>
  <si>
    <t>Gu, Diandian and Zhao, Yihao and Zhong, Yinmin and Xiong, Yifan and Han, Zhenhua and Cheng, Peng and Yang, Fan and Huang, Gang and Jin, Xin and Liu, Xuanzhe</t>
  </si>
  <si>
    <t>Less Is More: On the Importance of Data Quality for Unit Test Generation</t>
  </si>
  <si>
    <t>Zhang, Junwei and Hu, Xing and Gao, Shan and Xia, Xin and Lo, David and Li, Shanping</t>
  </si>
  <si>
    <t>AutoTQA: Towards Autonomous Tabular Question Answering through Multi-Agent Large Language Models</t>
  </si>
  <si>
    <t>Zhu, Jun-Peng and Cai, Peng and Xu, Kai and Li, Li and Sun, Yishen and Zhou, Shuai and Su, Haihuang and Tang, Liu and Liu, Qi</t>
  </si>
  <si>
    <t>On Detecting and Measuring Exploitable JavaScript Functions in Real-world Applications</t>
  </si>
  <si>
    <t>Kluban, Maryna and Mannan, Mohammad and Youssef, Amr</t>
  </si>
  <si>
    <t>Agents for Data Science: From Raw Data to AI-Generated Notebooks using LLMs and Code Execution (Invited Talk)</t>
  </si>
  <si>
    <t>Cai, Jiahao</t>
  </si>
  <si>
    <t>PAINT 2023: Proceedings of the 2nd ACM SIGPLAN International Workshop on Programming Abstractions and Interactive Notations, Tools, and Environments</t>
  </si>
  <si>
    <t>Survey on Quality Assurance of Smart Contracts</t>
  </si>
  <si>
    <t>Wei, Zhiyuan and Sun, Jing and Zhang, Zijian and Zhang, Xianhao and Yang, Xiaoxuan and Zhu, Liehuang</t>
  </si>
  <si>
    <t>RECAST: An Open Source Platform for Item-Specific Capturing of Real Production Processes</t>
  </si>
  <si>
    <t>K\"ohler, Tim and Fraunholz, Thomas and Rall, Dennis and Larsen, Lars and G\"orick, Dominik and Schuster, Alfons</t>
  </si>
  <si>
    <t>Exploring Anthropomorphism in Conversational Agents for Environmental Sustainability</t>
  </si>
  <si>
    <t>Giudici, Mathyas and Scherini, Samuele and Chaussumier, Pascal and Ginocchio, Stefano and Garzotto, Franca</t>
  </si>
  <si>
    <t>ARCTURUS: Full Coverage Binary Similarity Analysis with Reachability-guided Emulation</t>
  </si>
  <si>
    <t>Zhou, Anshunkang and Hu, Yikun and Xu, Xiangzhe and Zhang, Charles</t>
  </si>
  <si>
    <t>Frapp\'e: An Ultra Lightweight Mobile UI Framework for Rapid API-based Prototyping and Environmental Deployment</t>
  </si>
  <si>
    <t>Rahman, Adil and Heo, Seongkook</t>
  </si>
  <si>
    <t>Effective Unit Test Generation for Java Null Pointer Exceptions</t>
  </si>
  <si>
    <t>Lee, Myungho and Bak, Jiseong and Moon, Seokhyeon and Jhi, Yoon-Chan and Oh, Hakjoo</t>
  </si>
  <si>
    <t>Building a Cybertraining program for Climate Scientists in the Pacific to integrate Cyberinfrastructure and Open Science</t>
  </si>
  <si>
    <t>Cleveland, Sean B and Tanaka, Shivani and Dumanlang, Maria and Stokes, Alexander J and Johnson, Philip M and Leigh, Jason and Giambelluca, Thomas W and Turner, Helen and Jacobs, Gwen A.</t>
  </si>
  <si>
    <t>A Tool for Collaborative Consistency Checking During Modeling</t>
  </si>
  <si>
    <t>Marchezan, Luciano and Homolka, Marcel and Blokhin, Andrei and Assun\cc\~ao, Wesley K. G. and Herac, Edvin and Egyed, Alexander</t>
  </si>
  <si>
    <t>SERP4IoT '22: Proceedings of the 4th International Workshop on Software Engineering Research and Practice for the IoT</t>
  </si>
  <si>
    <t>SPLASH 2023: Companion Proceedings of the 2023 ACM SIGPLAN International Conference on Systems, Programming, Languages, and Applications: Software for Humanity</t>
  </si>
  <si>
    <t>Efficient Embedding of Strategic Attribute Grammars via Memoization</t>
  </si>
  <si>
    <t>Macedo, Jos\'e Nuno and Rodrigues, Emanuel and Viera, Marcos and Saraiva, Jo\~ao</t>
  </si>
  <si>
    <t>ESEC/FSE 2023: Proceedings of the 31st ACM Joint European Software Engineering Conference and Symposium on the Foundations of Software Engineering</t>
  </si>
  <si>
    <t>Malicious Account Identification in Social Network Platforms</t>
  </si>
  <si>
    <t>Caruccio, Loredana and Cimino, Gaetano and Cirillo, Stefano and Desiato, Domenico and Polese, Giuseppe and Tortora, Genoveffa</t>
  </si>
  <si>
    <t>Computational Medical XR (CMXR): Pioneering the Future of Healthcare Through Computational Medicine and Extended Reality</t>
  </si>
  <si>
    <t>Papagiannakis, George and Kannape, Oliver</t>
  </si>
  <si>
    <t>Lingua Manga : A Generic Large Language Model Centric System for Data Curation</t>
  </si>
  <si>
    <t>Chen, Zui and Cao, Lei and Madden, Sam</t>
  </si>
  <si>
    <t>Mental Wellbeing at Work: Perspectives of Software Engineers</t>
  </si>
  <si>
    <t>Wong, Novia and Jackson, Victoria and Van Der Hoek, Andr\'e and Ahmed, Iftekhar and Schueller, Stephen M. and Reddy, Madhu</t>
  </si>
  <si>
    <t>Between Principle and Pragmatism: Reflections on Prototyping Computational Media with Webstrates</t>
  </si>
  <si>
    <t>Borowski, Marcel and Fog, Bjarke V. and Griggio, Carla F. and Eagan, James R. and Klokmose, Clemens N.</t>
  </si>
  <si>
    <t>A Performance-Portable SYCL Implementation of CRK-HACC for Exascale</t>
  </si>
  <si>
    <t>Rangel, Esteban Miguel and Pennycook, Simon John and Pope, Adrian and Frontiere, Nicholas and Ma, Zhiqiang and Madananth, Varsha</t>
  </si>
  <si>
    <t>Data-Juicer: A One-Stop Data Processing System for Large Language Models</t>
  </si>
  <si>
    <t>Chen, Daoyuan and Huang, Yilun and Ma, Zhijian and Chen, Hesen and Pan, Xuchen and Ge, Ce and Gao, Dawei and Xie, Yuexiang and Liu, Zhaoyang and Gao, Jinyang and Li, Yaliang and Ding, Bolin and Zhou, Jingren</t>
  </si>
  <si>
    <t>INTERACT: An authoring tool that facilitates the creation of human centric interaction with 3d objects in virtual reality</t>
  </si>
  <si>
    <t>Thandapani, Rama Krishnan Gopal Ramasamy and Capel, Benjamin and Lasnier, Antoine and Chatzigiannakis, Ioannis</t>
  </si>
  <si>
    <t>U Owns the Code That Changes and How Marginal Owners Resolve Issues Slower in Low-Quality Source Code</t>
  </si>
  <si>
    <t>Borg, Markus and Tornhill, Adam and Mones, Enys</t>
  </si>
  <si>
    <t>Physical Computing with Paper Playground: Exploring a Multimodal Platform</t>
  </si>
  <si>
    <t>Ranjan, Krithik and Eisenberg, Ann and Fiedler, Brett L and Greenberg, Jesse and Smith, Taliesin L. and Moore, Emily B.</t>
  </si>
  <si>
    <t>Rise of the Planet of Serverless Computing: A Systematic Review</t>
  </si>
  <si>
    <t>Wen, Jinfeng and Chen, Zhenpeng and Jin, Xin and Liu, Xuanzhe</t>
  </si>
  <si>
    <t>Demystifying the Composition and Code Reuse in Solidity Smart Contracts</t>
  </si>
  <si>
    <t>Sun, Kairan and Xu, Zhengzi and Liu, Chengwei and Li, Kaixuan and Liu, Yang</t>
  </si>
  <si>
    <t>Adapting Agile Games and Processes for Education</t>
  </si>
  <si>
    <t>Ronald, Nicole</t>
  </si>
  <si>
    <t>A Comparative Analysis of Energy Consumption Between Visual Scripting models and C++ in Unreal Engine: Raising Awareness on the importance of Green MDD</t>
  </si>
  <si>
    <t>Ver\'on, Javier and P\'erez, Carlos and Calero, Coral and Moraga, Ma\^Angeles and P\'erez, Francisca and Cetina, Carlos</t>
  </si>
  <si>
    <t>Splendor: Static Detection of Stored XSS in Modern Web Applications</t>
  </si>
  <si>
    <t>Su, He and Li, Feng and Xu, Lili and Hu, Wenbo and Sun, Yujie and Sun, Qing and Chao, Huina and Huo, Wei</t>
  </si>
  <si>
    <t>Assessing IT Project Success: Perception vs. Reality: We would not be in the digital age if it were not for the recurrent success of IT projects.</t>
  </si>
  <si>
    <t>Varaj\~ao, Jo\~ao and Trigo, Ant\'onio</t>
  </si>
  <si>
    <t>Adaptive Multi-Exposure Image Correction via Joint Lightness and Structure Awareness</t>
  </si>
  <si>
    <t>Peng, Bo and Zhang, Jia and Zhang, Zhe and Xu, Liying and Huang, Qingming and Wang, Tao and Lei, Jianjun</t>
  </si>
  <si>
    <t>The Impact of Code Ownership of DevOps Artefacts on the Outcome of DevOps CI Builds</t>
  </si>
  <si>
    <t>Kola-Olawuyi, Ajiromola and Weeraddana, Nimmi Rashinika and Nagappan, Meiyappan</t>
  </si>
  <si>
    <t>AI Competencies for non-computer science students in undergraduate education: Towards a competency framework</t>
  </si>
  <si>
    <t>Ten\'orio, Kamilla and Romeike, Ralf</t>
  </si>
  <si>
    <t>A Model-Driven Framework for Composition-Based Quantum Circuit Design</t>
  </si>
  <si>
    <t>Gemeinhardt, Felix and Garmendia, Antonio and Wimmer, Manuel and Wille, Robert</t>
  </si>
  <si>
    <t>AI for Empowering Women in AI</t>
  </si>
  <si>
    <t>Vestvik, Hanna Meland and Jaccheri, Letizia</t>
  </si>
  <si>
    <t>Rug: Turbo LLM for Rust Unit Test Generation</t>
  </si>
  <si>
    <t>Cheng, Xiang and Sang, Fan and Zhai, Yizhuo and Zhang, Xiaokuan and Kim, Taesoo</t>
  </si>
  <si>
    <t>ICIEAEU '23: Proceedings of the 2023 10th International Conference on Industrial Engineering and Applications</t>
  </si>
  <si>
    <t>A Survey of Ethereum Smart Contract Security: Attacks and Detection</t>
  </si>
  <si>
    <t>Jiao, Tengyun and Xu, Zhiyu and Qi, Minfeng and Wen, Sheng and Xiang, Yang and Nan, Gary</t>
  </si>
  <si>
    <t>Enhancing GUI Exploration Coverage of Android Apps with Deep Link-Integrated Monkey</t>
  </si>
  <si>
    <t>Hu, Han and Wang, Han and Dong, Ruiqi and Chen, Xiao and Chen, Chunyang</t>
  </si>
  <si>
    <t>CHI EA '23: Extended Abstracts of the 2023 CHI Conference on Human Factors in Computing Systems</t>
  </si>
  <si>
    <t>SLE 2023: Proceedings of the 16th ACM SIGPLAN International Conference on Software Language Engineering</t>
  </si>
  <si>
    <t>Requirements and Building Blocks for Manufacturing Dataspaces</t>
  </si>
  <si>
    <t>Deshmukh, Rohit A. and Chala, Sisay Adugna and Lange, Christoph</t>
  </si>
  <si>
    <t>Toward Intelligent Generation of Tailored Graphical Concrete Syntax</t>
  </si>
  <si>
    <t>Ben Chaaben, Meriem and Ben Sghaier, Oussama and Dhaouadi, Mouna and Elrasheed, Nafisa and Darif, Ikram and Jaoua, Imen and Oakes, Bentley and Syriani, Eugene and Hamdaqa, Mohammad</t>
  </si>
  <si>
    <t>laTAPE: Location-Aware Programming and Executing Trigger-Action Rules</t>
  </si>
  <si>
    <t>Deng, Bei and Sun, Bingkun and Shen, Liwei</t>
  </si>
  <si>
    <t>SFtaint: Leveraging Precise Taint Source Recognition to Enhance Efficiency of Static Taint Analysis in Embedded Systems</t>
  </si>
  <si>
    <t>Xing, Fanxiao and Li, Lukai and Li, Xiao and Yang, Qichao</t>
  </si>
  <si>
    <t>AI-Augmented Feature to Edit and Design Mobile Applications</t>
  </si>
  <si>
    <t>Granquist, Ashley M and Kim, David Y.J. and Patton, Evan W</t>
  </si>
  <si>
    <t>Exploring ChatGPT App Ecosystem: Distribution, Deployment and Security</t>
  </si>
  <si>
    <t>Yan, Chuan and Ren, Ruomai and Meng, Mark Huasong and Wan, Liuhuo and Ooi, Tian Yang and Bai, Guangdong</t>
  </si>
  <si>
    <t>Building Students' Digital Footprints with Blockchain in PBL Activities</t>
  </si>
  <si>
    <t>Borovskaya, Marina and Veselov, Gennady and Bondarev, Maksim and Pljonkin, Anton Pavlovich</t>
  </si>
  <si>
    <t>AI-assisted Learning in HCI Education: Opportunities and Dilemmas from a Student Perspective</t>
  </si>
  <si>
    <t>Heyer, Clint and Nilsson, Elisabet M. and Pedersen, Jens</t>
  </si>
  <si>
    <t>SCTAP: Supporting Scenario-Centric Trigger-Action Programming based on Software-Defined Physical Environments</t>
  </si>
  <si>
    <t>Sun, Bingkun and Shen, Liwei and Peng, Xin and Wang, Ziming</t>
  </si>
  <si>
    <t>ICSCA '23: Proceedings of the 2023 12th International Conference on Software and Computer Applications</t>
  </si>
  <si>
    <t>From Prompts to Templates: A Systematic Prompt Template Analysis for Real-world LLMapps</t>
  </si>
  <si>
    <t>Mao, Yuetian and He, Junjie and Chen, Chunyang</t>
  </si>
  <si>
    <t>What you See is What you Get: Exploring the Relation between Code Aesthetics and Code Quality</t>
  </si>
  <si>
    <t>Maikantis, Theodoros and Natsiou, Iliana and Ampatzoglou, Apostolos and Chatzigeorgiou, Alexander and Xinogalos, Stelios and Mittas, Nikolaos</t>
  </si>
  <si>
    <t>Measuring and Clustering Heterogeneous Chatbot Designs</t>
  </si>
  <si>
    <t>Ca\~nizares, Pablo C. and L\'opez-Morales, Jose Mar\'\ia and P\'erez-Soler, Sara and Guerra, Esther and de Lara, Juan</t>
  </si>
  <si>
    <t>Song, Yunpeng and Lv, Yina and Shi, Liang</t>
  </si>
  <si>
    <t>Open Innovation for Digital Transformation: Opportunities and Challenges at the Municipal level</t>
  </si>
  <si>
    <t>Lima-Junior, Joel and Gama, Kiev and Correia-Neto, Jorge</t>
  </si>
  <si>
    <t>Why “Artificial Intelligence” Should Not Be Regulated</t>
  </si>
  <si>
    <t>Braun, Daniel</t>
  </si>
  <si>
    <t>Tempo: Helping Data Scientists and Domain Experts Collaboratively Specify Predictive Modeling Tasks</t>
  </si>
  <si>
    <t>Sivaraman, Venkatesh and Vaishampayan, Anika and Li, Xiaotong and Buck, Brian R and Ma, Ziyong and Boyce, Richard D and Perer, Adam</t>
  </si>
  <si>
    <t>Tracing and Fixing Inconsistencies in Clone-and-Own Tabular Data Models</t>
  </si>
  <si>
    <t>Bounouas, Nassim and Blay-Fornarino, Mireille and Collet, Philippe</t>
  </si>
  <si>
    <t>Lightweight Concolic Testing via Path-Condition Synthesis for Deep Learning Libraries</t>
  </si>
  <si>
    <t>Kim, Sehoon and Kim, Yonghyeon and Park, Dahyeon and Jeon, Yuseok and Yi, Jooyong and Kim, Mijung</t>
  </si>
  <si>
    <t>Can AI Prompt Humans? Multimodal Agents Prompt Players? Game Actions and Show Consequences to Raise Sustainability Awareness</t>
  </si>
  <si>
    <t>Zhang, Qinshi and Wen, Ruoyu and Hendra, Latisha Besariani and Ding, Zijian and LC, Ray</t>
  </si>
  <si>
    <t>CHI '23: Proceedings of the 2023 CHI Conference on Human Factors in Computing Systems</t>
  </si>
  <si>
    <t>ICCTA '24: Proceedings of the 2024 10th International Conference on Computer Technology Applications</t>
  </si>
  <si>
    <t>WWW '25: Companion Proceedings of the ACM on Web Conference 2025</t>
  </si>
  <si>
    <t>Race Against the Machine Learning Courses</t>
  </si>
  <si>
    <t>Deshpande, Riddhi and Mlombwa, Donald and Celi, Leo Anthony and Gallifant, Jack and D’couto, Helen</t>
  </si>
  <si>
    <t>Exploring and Analyzing the Impact of Chatbots in Tourism Industry</t>
  </si>
  <si>
    <t>Ouaddi, Charaf and Benaddi, Lamya and Souha, Adnane and Jakimi, Abeslam and Ouchao, Brahim and Saadane, Rachid</t>
  </si>
  <si>
    <t>MODELS '24: Proceedings of the ACM/IEEE 27th International Conference on Model Driven Engineering Languages and Systems</t>
  </si>
  <si>
    <t>Intervening, Teaming, Delegating: Creating Engaging Automation Experiences</t>
  </si>
  <si>
    <t>Fr\"ohlich, Peter and Baldauf, Matthias and Palanque, Philippe and Roto, Virpi and Patern\`o, Fabio and Ju, Wendy and Tscheligi, Manfred</t>
  </si>
  <si>
    <t>Aircraft Line Maintenance Scheduling Using Simulation and Reinforcement Learning</t>
  </si>
  <si>
    <t>Widmer, Simon and Shaukat, Syed and Wu, Cheng-Lung</t>
  </si>
  <si>
    <t>Speculative Design for the Metaverse: Anti-Experiences in Virtual Retail</t>
  </si>
  <si>
    <t>C\il\izo\uglu, Serra and Han, Jihae and Evren Yantac, Asim</t>
  </si>
  <si>
    <t>Automatic Programming: Large Language Models and Beyond</t>
  </si>
  <si>
    <t>Lyu, Michael R. and Ray, Baishakhi and Roychoudhury, Abhik and Tan, Shin Hwei and Thongtanunam, Patanamon</t>
  </si>
  <si>
    <t>MSR '24: Proceedings of the 21st International Conference on Mining Software Repositories</t>
  </si>
  <si>
    <t>AutoDW: Automatic Data Wrangling Leveraging Large Language Models</t>
  </si>
  <si>
    <t>Liu, Lei and Hasegawa, So and Sampat, Shailaja Keyur and Xenochristou, Maria and Chen, Wei-Peng and Kato, Takashi and Kakibuchi, Taisei and Asai, Tatsuya</t>
  </si>
  <si>
    <t>ResponsibleSE '25: Proceedings of the 1st International Workshop on Responsible Software Engineering</t>
  </si>
  <si>
    <t>Building Domain-Specific Machine Learning Workflows: A Conceptual Framework for the State of the Practice</t>
  </si>
  <si>
    <t>Oakes, Bentley James and Famelis, Michalis and Sahraoui, Houari</t>
  </si>
  <si>
    <t>Recourse, Repair, Reparation, &amp;amp; Prevention: A Stakeholder Analysis of AI Supply Chains</t>
  </si>
  <si>
    <t>Hopkins, Aspen and Struckman, Isabella and Klyman, Kevin and Silbey, Susan S.</t>
  </si>
  <si>
    <t>Do Words Have Power? Understanding and Fostering Civility in Code Review Discussion</t>
  </si>
  <si>
    <t>Rahman, Md Shamimur and Codabux, Zadia and Roy, Chanchal K.</t>
  </si>
  <si>
    <t>Accurate Disassembly of Complex Binaries Without Use of Compiler Metadata</t>
  </si>
  <si>
    <t>Priyadarshan, Soumyakant and Nguyen, Huan and Sekar, R.</t>
  </si>
  <si>
    <t>Designing and Generating Lesson Plans combining Open Educational Content and Generative AI</t>
  </si>
  <si>
    <t>Bucchiarone, Antonio and Cicchetti, Antonio and V\'azquez-Ingelmo, Andrea and Adami, Filippo and Schiavo, Gianluca and Garc\'\ia-Holgado, Alicia and Garc\'\ia-Pe\~nalvo, Francisco Jos\'e</t>
  </si>
  <si>
    <t>Prompting Generative AI with Interaction-Augmented Instructions</t>
  </si>
  <si>
    <t>Shen, Leixian and Li, Haotian and Wang, Yifang and Xie, Xing and Qu, Huamin</t>
  </si>
  <si>
    <t>Transforming an Internal Textual DSL into a Blended Modelling Environment</t>
  </si>
  <si>
    <t>Mifsud, Aleandro and Samaritaki, Georgia and Tikhonova, Ulyana and Stoel, Jouke</t>
  </si>
  <si>
    <t>A Survey of Source Code Search: A 3-Dimensional Perspective</t>
  </si>
  <si>
    <t>Sun, Weisong and Fang, Chunrong and Ge, Yifei and Hu, Yuling and Chen, Yuchen and Zhang, Quanjun and Ge, Xiuting and Liu, Yang and Chen, Zhenyu</t>
  </si>
  <si>
    <t>The Meerkat Vision: Language Support for Live, Scalable, Reactive Web Apps</t>
  </si>
  <si>
    <t>Costa Seco, Jo\~ao and Aldrich, Jonathan</t>
  </si>
  <si>
    <t>CoAIcoder: Examining the Effectiveness of AI-assisted Human-to-Human Collaboration in Qualitative Analysis</t>
  </si>
  <si>
    <t>Gao, Jie and Choo, Kenny Tsu Wei and Cao, Junming and Lee, Roy Ka-Wei and Perrault, Simon</t>
  </si>
  <si>
    <t>RDGFuzz: A directed greybox fuzzing optimization method based on Rich-Branch nodes</t>
  </si>
  <si>
    <t>Wu, Zejun and Lu, Li and Jia, Qiong and Chen, Zhihao</t>
  </si>
  <si>
    <t>Expanding the Capabilities of Robot NAO to Enable Human-Like Communication with Children with Speech and Language Disorders</t>
  </si>
  <si>
    <t>Andreeva, Anna and Lekova, Anna and Tsvetkova, Paulina and Simonska, Miglena</t>
  </si>
  <si>
    <t>tl;dr: Chill, y’all: AI Will Not Devour SE</t>
  </si>
  <si>
    <t>Kang, Eunsuk and Shaw, Mary</t>
  </si>
  <si>
    <t>DIS '25: Proceedings of the 2025 ACM Designing Interactive Systems Conference</t>
  </si>
  <si>
    <t>The Story of AWS Glue</t>
  </si>
  <si>
    <t>Saxena, Mohit and Sowell, Benjamin and Alamgir, Daiyan and Bahadur, Nitin and Bisht, Bijay and Chandrachood, Santosh and Keswani, Chitti and Krishnamoorthy, G2 and Lee, Austin and Li, Bohou and Mitchell, Zach and Porwal, Vaibhav and Chappidi, Maheedhar Reddy and Ross, Brian and Sekiyama, Noritaka and Zaki, Omer and Zhang, Linchi and Shah, Mehul A.</t>
  </si>
  <si>
    <t>Efficient Multimedia Computing: Unleashing the Power of AutoML</t>
  </si>
  <si>
    <t>Datta, Debanjan and Friedland, Gerald</t>
  </si>
  <si>
    <t>Middleware Industrial Track '24: Proceedings of the 25th International Middleware Conference Industrial Track</t>
  </si>
  <si>
    <t>Fairness in Machine Learning: A Survey</t>
  </si>
  <si>
    <t>Caton, Simon and Haas, Christian</t>
  </si>
  <si>
    <t>Cybershuttle: An End-to-End Cyberinfrastructure Continuum to Accelerate Discovery in Science and Engineering</t>
  </si>
  <si>
    <t>Marru, Suresh and Pierce, Marlon and Plale, Beth and Pamidighantam, Sudhakar and Wannipurage, Dimuthu and Christie, Marcus and Ranawaka, Isuru and Abeysinghe, Eroma and Quick, Rob and Tajkhorshid, Emad and Koric, Seid and Basney, Jim and Spivak, Mariano and Isralewitz, Barry and Bernardi, Rafael and Gomes, Diego and Krishnan, Giri and Bazhenov, Maxim and Smallen, Shava and Majumdar, Amit and Arkhipov, Anton and Dai, Kael and Liu, Xiao-Ping and Yoshimoto, Kenneth</t>
  </si>
  <si>
    <t>On the Design of AI-powered Code Assistants for Notebooks</t>
  </si>
  <si>
    <t>Mcnutt, Andrew M and Wang, Chenglong and Deline, Robert A and Drucker, Steven M.</t>
  </si>
  <si>
    <t>EDGELESS: A Software Architecture for Stateful FaaS at the Edge</t>
  </si>
  <si>
    <t>Cicconetti, Claudio and Carlini, Emanuele and Hetzel, Raphael and Mortier, Richard and Paradell, Antonio and Sauer, Markus</t>
  </si>
  <si>
    <t>ParDiff: Practical Static Differential Analysis of Network Protocol Parsers</t>
  </si>
  <si>
    <t>Zheng, Mingwei and Shi, Qingkai and Liu, Xuwei and Xu, Xiangzhe and Yu, Le and Liu, Congyu and Wei, Guannan and Zhang, Xiangyu</t>
  </si>
  <si>
    <t>Enhancing Polar Codes Efficiency on 3D Flash Memory by Exploiting Multiple Error Variations</t>
  </si>
  <si>
    <t>Du, Yajuan and Wang, Ziye and Zhou, Yao and Zhou, Taiyu</t>
  </si>
  <si>
    <t>Kernel-as-a-Service: A Serverless Programming Model for Heterogeneous Hardware Accelerators</t>
  </si>
  <si>
    <t>Pfandzelter, Tobias and Dhakal, Aditya and Frachtenberg, Eitan and Chalamalasetti, Sai Rahul and Emmot, Darel and Hogade, Ninad and Enriquez, Rolando Pablo Hong and Rattihalli, Gourav and Bermbach, David and Milojicic, Dejan</t>
  </si>
  <si>
    <t>BluePrint: Automatic Malware Signature Generation for Internet Scanning</t>
  </si>
  <si>
    <t>Stevens, Kevin and Erdemir, Mert and Zhang, Hang and Kim, Taesoo and Pearce, Paul</t>
  </si>
  <si>
    <t>FinSQL: Model-Agnostic LLMs-based Text-to-SQL Framework for Financial Analysis</t>
  </si>
  <si>
    <t>Zhang, Chao and Mao, Yuren and Fan, Yijiang and Mi, Yu and Gao, Yunjun and Chen, Lu and Lou, Dongfang and Lin, Jinshu</t>
  </si>
  <si>
    <t>Context, Composition, Automation, and Communication: The C2AC Roadmap for Modeling and Simulation</t>
  </si>
  <si>
    <t>Uhrmacher, Adelinde M and Frazier, Peter and H\"ahnle, Reiner and Kl\"ugl, Franziska and Lorig, Fabian and Lud\"ascher, Bertram and Nenzi, Laura and Ruiz-Martin, Cristina and Rumpe, Bernhard and Szabo, Claudia and Wainer, Gabriel and Wilsdorf, Pia</t>
  </si>
  <si>
    <t>VaMoS '25: Proceedings of the 19th International Working Conference on Variability Modelling of Software-Intensive Systems</t>
  </si>
  <si>
    <t>WSSE '23: Proceedings of the 2023 5th World Symposium on Software Engineering</t>
  </si>
  <si>
    <t>It's Never too Early to Learn About Code Quality: A Longitudinal Study of Code Quality in First-year Computer Science Students</t>
  </si>
  <si>
    <t>\"Ostlund, Linus and Wicklund, Niklas and Glassey, Richard</t>
  </si>
  <si>
    <t>Exploring Effective Fuzzing Strategies to Analyze Communication Protocols</t>
  </si>
  <si>
    <t>Chen, Yurong and Mei, Yongsheng and Lan, Tian and Venkataramani, Guru</t>
  </si>
  <si>
    <t>Systematic Literature Review on Project-Based Learning in Computing Education</t>
  </si>
  <si>
    <t>Suleiman, Ahmad D. and Hou, Daqing and Liu, Yu and DeWaters, Jan and Shepherd, David C and de Souza, Juliana G.</t>
  </si>
  <si>
    <t>IEM: A Unified Lifecycle Orchestrator for Multilingual IaC Deployments</t>
  </si>
  <si>
    <t>Diaz-de-Arcaya, Josu and Osaba, Eneko and Benguria, Gorka and Etxaniz, I\~naki and L. Lobo, Jesus and Alonso, Juncal and Torre-Bastida, Ana I. and Almeida, Aitor</t>
  </si>
  <si>
    <t>Decentralized Web3 Non-Fungible Token Community for Societal Prosperity? A Social Capital Perspective</t>
  </si>
  <si>
    <t>Chen, Hongzhou and Zhou, Chenyu and El Saddik, Abdulmotaleb and Cai, Wei</t>
  </si>
  <si>
    <t>Automation in Model-Driven Engineering: A Look Back, and Ahead</t>
  </si>
  <si>
    <t>Burgue\~no, Lola and Di Ruscio, Davide and Sahraoui, Houari and Wimmer, Manuel</t>
  </si>
  <si>
    <t>A Natural Language Interface for IoT Systems Using the Web of Things Abstraction</t>
  </si>
  <si>
    <t>Gui, Zhou and Freund, Michael and Harth, Andreas</t>
  </si>
  <si>
    <t>CCS '24: Proceedings of the 2024 on ACM SIGSAC Conference on Computer and Communications Security</t>
  </si>
  <si>
    <t>Quantum Software Engineering: Roadmap and Challenges Ahead</t>
  </si>
  <si>
    <t>Murillo, Juan Manuel and Garcia-Alonso, Jose and Moguel, Enrique and Barzen, Johanna and Leymann, Frank and Ali, Shaukat and Yue, Tao and Arcaini, Paolo and P\'erez-Castillo, Ricardo and Garc\'\ia-Rodr\'\iguez de Guzm\'an, Ignacio and Piattini, Mario and Ruiz-Cort\'es, Antonio and Brogi, Antonio and Zhao, Jianjun and Miranskyy, Andriy and Wimmer, Manuel</t>
  </si>
  <si>
    <t>AVI '24: Proceedings of the 2024 International Conference on Advanced Visual Interfaces</t>
  </si>
  <si>
    <t>Application of Natural Language Processing Towards Autonomous Software Testing</t>
  </si>
  <si>
    <t>Pham, Khang and Nguyen, Vu and Nguyen, Tien</t>
  </si>
  <si>
    <t>Internet of Things Protocols (IoTp) Literature Review</t>
  </si>
  <si>
    <t>Alamery, Ali and Shehab, Mohanad Abd and Mahmood, Omar Abdulkareem and Hammadi, Yousif I and Aziz, Ahmed and Muthanna, Mohammed Saleh Ali</t>
  </si>
  <si>
    <t>Evaluating Copilot on CS1 Code Writing Problems with Suppressed Specifications</t>
  </si>
  <si>
    <t>Venkatesh, Varshini and Venkatesh, Vaishnavi and Kumar, Viraj</t>
  </si>
  <si>
    <t>A Repair-Efficient Piggybacking Design With Small Number of Substripes</t>
  </si>
  <si>
    <t>Sun, Rong and Fan, Yingjie and Liu, Jingwei</t>
  </si>
  <si>
    <t>ASE '22: Proceedings of the 37th IEEE/ACM International Conference on Automated Software Engineering</t>
  </si>
  <si>
    <t>A large-language model-driven approach to chronic disease follow-up</t>
  </si>
  <si>
    <t>Zhang, Yang and Feng, Sidu and Zhai, Tianzhang and Pan, Rumo and Li, Jian</t>
  </si>
  <si>
    <t>How Knowledge Workers Think Generative AI Will (Not) Transform Their Industries</t>
  </si>
  <si>
    <t>Woodruff, Allison and Shelby, Renee and Kelley, Patrick Gage and Rousso-Schindler, Steven and Smith-Loud, Jamila and Wilcox, Lauren</t>
  </si>
  <si>
    <t>Ecmas: Efficient Circuit Mapping and Scheduling for Surface Code</t>
  </si>
  <si>
    <t>Zhu, Mingzheng and Fu, Hao and Wu, Jun and Zhang, Chi and Xie, Wei and Li, Xiang-Yang</t>
  </si>
  <si>
    <t>PETRA '23: Proceedings of the 16th International Conference on PErvasive Technologies Related to Assistive Environments</t>
  </si>
  <si>
    <t>June: A Type Testability Transformation for Improved ATG Performance</t>
  </si>
  <si>
    <t>Bruce, Dan and Kelly, David and Menendez, Hector and Barr, Earl T. and Clark, David</t>
  </si>
  <si>
    <t>On Estimating the Feasible Solution Space of Multi-objective Testing Resource Allocation</t>
  </si>
  <si>
    <t>Zhang, Guofu and Li, Lei and Su, Zhaopin and Yue, Feng and Chen, Yang and Li, Miqing and Yao, Xin</t>
  </si>
  <si>
    <t>SAC '24: Proceedings of the 39th ACM/SIGAPP Symposium on Applied Computing</t>
  </si>
  <si>
    <t>PETRA '25: Proceedings of the 18th ACM International Conference on PErvasive Technologies Related to Assistive Environments</t>
  </si>
  <si>
    <t>Process-Aware Intrusion Detection in MQTT Networks</t>
  </si>
  <si>
    <t>Empl, Philip and B\"ohm, Fabian and Pernul, G\"unther</t>
  </si>
  <si>
    <t>Heap Memory Vulnerability Detection and Protection in Embedded Real-Time Operating Systems</t>
  </si>
  <si>
    <t>Zhang, Jinyuan and Yao, Rui and Zhang, Yang</t>
  </si>
  <si>
    <t>Onward! '24: Proceedings of the 2024 ACM SIGPLAN International Symposium on New Ideas, New Paradigms, and Reflections on Programming and Software</t>
  </si>
  <si>
    <t>Actionable Data Insights for Machine Learning</t>
  </si>
  <si>
    <t>Wu, Ming-Chuan and B\"ahr, Manuel and Braun, Nils and Honauer, Katrin</t>
  </si>
  <si>
    <t>Design of Software Representation Languages: A Historical Perspective</t>
  </si>
  <si>
    <t>Wasserman, Anthony I.</t>
  </si>
  <si>
    <t>EuroPLoP '24: Proceedings of the 29th European Conference on Pattern Languages of Programs, People, and Practices</t>
  </si>
  <si>
    <t>Turning Robotic Process Automation onto Intelligent Automation with Machine Learning</t>
  </si>
  <si>
    <t>Kedziora, Damian and Hyrynsalmi, Sami</t>
  </si>
  <si>
    <t>EKI '24: Proceedings of the 2nd International Conference on Educational Knowledge and Informatization</t>
  </si>
  <si>
    <t>Agent-based Orchestration on a Swarm of Edge Devices</t>
  </si>
  <si>
    <t>Anuraj, Banani</t>
  </si>
  <si>
    <t>Latent Variables Coding for Perceptual Image Compression</t>
  </si>
  <si>
    <t>He, Yingkai and Zhang, Zhen and Liao, Liang and Xiao, Jing</t>
  </si>
  <si>
    <t>Adaptive Modelling Languages: Abstract Syntax and Model Migration</t>
  </si>
  <si>
    <t>de Lara, Juan and Guerra, Esther</t>
  </si>
  <si>
    <t>Domain Adaptation of Financial Decision Code Generation Framework Based on Contrastive Learning and Dual-Agent Collaboration</t>
  </si>
  <si>
    <t>Fan, Xiaohu and Zhang, Yue and Li, Zhi and Li, Fan and Min, Yibin and Zhang, Shun</t>
  </si>
  <si>
    <t>Finding XPath Bugs in XML Document Processors via Differential Testing</t>
  </si>
  <si>
    <t>Li, Shuxin and Rigger, Manuel</t>
  </si>
  <si>
    <t>Natural Language–Based Conceptual Modelling Frameworks: State of the Art and Future Opportunities</t>
  </si>
  <si>
    <t>Hossain, Bayzid Ashik and Mukta, Md. Saddam Hossain and Islam, Md Adnanul and Zaman, Akib and Schwitter, Rolf</t>
  </si>
  <si>
    <t>C&amp;amp;T '23: Proceedings of the 11th International Conference on Communities and Technologies</t>
  </si>
  <si>
    <t>Speeding Up the Engineering of Interactive Systems with Generative AI</t>
  </si>
  <si>
    <t>Schmidt, Albrecht</t>
  </si>
  <si>
    <t>Modeling Service Choreographies and Collaborative Tasks for Autonomous Mixed-Fleet Systems</t>
  </si>
  <si>
    <t>Wiesmayr, Bianca and Zoitl, Alois and H\"astbacka, David</t>
  </si>
  <si>
    <t>CHCHI '23: Proceedings of the Eleventh International Symposium of Chinese CHI</t>
  </si>
  <si>
    <t>A Prediction System Service</t>
  </si>
  <si>
    <t>Zhang, Zhizhou and Glova, Alvin Oliver and Sherwood, Timothy and Balkind, Jonathan</t>
  </si>
  <si>
    <t>CEEeGov '24: Proceedings of the Central and Eastern European eDem and eGov Days 2024</t>
  </si>
  <si>
    <t>Practical Machine Learning for Liberal Arts Undergraduates</t>
  </si>
  <si>
    <t>Sherman, Mark and Hogan, Alyssa and O'Sullivan, Jamison and Schumacher, Samantha</t>
  </si>
  <si>
    <t>Internetware '24: Proceedings of the 15th Asia-Pacific Symposium on Internetware</t>
  </si>
  <si>
    <t>KDD '25: Proceedings of the 31st ACM SIGKDD Conference on Knowledge Discovery and Data Mining V.2</t>
  </si>
  <si>
    <t>FDG '25: Proceedings of the 20th International Conference on the Foundations of Digital Games</t>
  </si>
  <si>
    <t>TEI '25: Proceedings of the Nineteenth International Conference on Tangible, Embedded, and Embodied Interaction</t>
  </si>
  <si>
    <t>Towards public understanding of software through modeling</t>
  </si>
  <si>
    <t>Jongeling, Robbert</t>
  </si>
  <si>
    <t>LeanBin: Harnessing Lifting and Recompilation to Debloat Binaries</t>
  </si>
  <si>
    <t>Wodiany, Igor and Pop, Antoniu and Luj\'an, Mikel</t>
  </si>
  <si>
    <t>ISSTA 2024: Proceedings of the 33rd ACM SIGSOFT International Symposium on Software Testing and Analysis</t>
  </si>
  <si>
    <t>Prompt Fuzzing for Fuzz Driver Generation</t>
  </si>
  <si>
    <t>Lyu, Yunlong and Xie, Yuxuan and Chen, Peng and Chen, Hao</t>
  </si>
  <si>
    <t>ACMSE '24: Proceedings of the 2024 ACM Southeast Conference</t>
  </si>
  <si>
    <t>ISEC '24: Proceedings of the 17th Innovations in Software Engineering Conference</t>
  </si>
  <si>
    <t>ICCA '24: Proceedings of the 3rd International Conference on Computing Advancements</t>
  </si>
  <si>
    <t>CHIWORK '24: Proceedings of the 3rd Annual Meeting of the Symposium on Human-Computer Interaction for Work</t>
  </si>
  <si>
    <t>DEBS '24: Proceedings of the 18th ACM International Conference on Distributed and Event-based Systems</t>
  </si>
  <si>
    <t>SLE '24: Proceedings of the 17th ACM SIGPLAN International Conference on Software Language Engineering</t>
  </si>
  <si>
    <t>ICISS '24: Proceedings of the 2024 7th International Conference on Information Science and Systems</t>
  </si>
  <si>
    <t>How Memory-Safe is IoT? Assessing the Impact of Memory-Protection Solutions for Securing Wireless Gateways</t>
  </si>
  <si>
    <t>Safronov, Vadim and Bostan, Ionut and Allott, Nicholas and Martin, Andrew</t>
  </si>
  <si>
    <t>The Puzzle Forecast: Tutorial Analytics Predict Trial and Error</t>
  </si>
  <si>
    <t>Vet, Dennis and van Rozen, Riemer</t>
  </si>
  <si>
    <t>SLE '25: Proceedings of the 18th ACM SIGPLAN International Conference on Software Language Engineering</t>
  </si>
  <si>
    <t>C&amp;amp;C '25: Proceedings of the 2025 Conference on Creativity and Cognition</t>
  </si>
  <si>
    <t>Reimagining CS Pathways: High School and Beyond</t>
  </si>
  <si>
    <t>Computer Science Teachers Association and Institute for Advancing Computing Education and Association for Computing Machinery and Code.org and College Board and CSforALL and Expanding Computing Education Pathways Alliance</t>
  </si>
  <si>
    <t>CoWrangler: Recommender System for Data-Wrangling Scripts</t>
  </si>
  <si>
    <t>Chopra, Bhavya and Fariha, Anna and Gulwani, Sumit and Henley, Austin Z. and Perelman, Daniel and Raza, Mohammad and Shi, Sherry and Simmons, Danny and Tiwari, Ashish</t>
  </si>
  <si>
    <t>Onward! 2023: Proceedings of the 2023 ACM SIGPLAN International Symposium on New Ideas, New Paradigms, and Reflections on Programming and Software</t>
  </si>
  <si>
    <t>ICSE-SEIP '24: Proceedings of the 46th International Conference on Software Engineering: Software Engineering in Practice</t>
  </si>
  <si>
    <t>Learning Simulation-Based Digital Twins for Discrete Material Flow Systems: A Review</t>
  </si>
  <si>
    <t>Schwede, Christian and Fischer, Daniel</t>
  </si>
  <si>
    <t>IDC '25: Proceedings of the 24th Interaction Design and Children</t>
  </si>
  <si>
    <t>TechDebt '24: Proceedings of the 7th ACM/IEEE International Conference on Technical Debt</t>
  </si>
  <si>
    <t>A Systematic Approach to Modeling Structured Behavior in Social Robots</t>
  </si>
  <si>
    <t>Bettosi, Carl and Baillie, Lynne and Ross, Martin K and Broz, Frank</t>
  </si>
  <si>
    <t>Tutorial Report on Legacy Software Modernization: A Journey From Non-AI to Generative AI Approaches</t>
  </si>
  <si>
    <t>Agarwal, Shivali and Chimalakonda, Sridhar and Krishnan, Saravanan and Kanvar, Vini and Shah, Samveg</t>
  </si>
  <si>
    <t>Designing with the Solar Internet: Towards Constraint-Based Design for Sustainable Consumption</t>
  </si>
  <si>
    <t>Bakhshoudeh, Fatemeh and Comber, Rob</t>
  </si>
  <si>
    <t>GPCE '24: Proceedings of the 23rd ACM SIGPLAN International Conference on Generative Programming: Concepts and Experiences</t>
  </si>
  <si>
    <t>WUWNET '24: Proceedings of the 18th International Conference on Underwater Networks &amp;amp; Systems</t>
  </si>
  <si>
    <t>A Unified Graph Framework for Storage-Compute Coupled Cluster and High-Density Computing Cluster</t>
  </si>
  <si>
    <t>Lin, Lynsey and Chen, Jamie and Sun, Ricky and Zhang, Jason and Wang, Victor</t>
  </si>
  <si>
    <t>Building recommenders for modelling languages with Droid</t>
  </si>
  <si>
    <t>Almonte, Lissette and Guerra, Esther and Cantador, Iv\'an and De Lara, Juan</t>
  </si>
  <si>
    <t>EITCE '24: Proceedings of the 2024 8th International Conference on Electronic Information Technology and Computer Engineering</t>
  </si>
  <si>
    <t>Call Graph Soundness in Android Static Analysis</t>
  </si>
  <si>
    <t>Samhi, Jordan and Just, Ren\'e and Bissyand\'e, Tegawend\'e F. and Ernst, Michael D. and Klein, Jacques</t>
  </si>
  <si>
    <t>datAR: A Situated Learning Approach for Data Literacy Through Everyday Objects</t>
  </si>
  <si>
    <t>Lopez, Lilian and Xiong, Zeyu and Chau, Kiara and Umbelino, Gustavo and Wu, Zihan and Wang, April</t>
  </si>
  <si>
    <t>HRI '24: Companion of the 2024 ACM/IEEE International Conference on Human-Robot Interaction</t>
  </si>
  <si>
    <t>Report on the Second International Workshop on DataSystems Education (DataEd '23)</t>
  </si>
  <si>
    <t>Miedema, Daphne and Aivaloglou, Efthimia and Amer-Yahia, Sihem and Fletcher, George and Mior, Michael and Taipalus, Toni</t>
  </si>
  <si>
    <t>EduCHI '25: Proceedings of the 7th Annual Symposium on HCI Education</t>
  </si>
  <si>
    <t>Construction and Practice of Smart Teaching System Based on Artificial Intelligence</t>
  </si>
  <si>
    <t>Zhao, Fengmei and Gao, Yuefeng</t>
  </si>
  <si>
    <t>ICCBDC '24: Proceedings of the 2024 8th International Conference on Cloud and Big Data Computing</t>
  </si>
  <si>
    <t>A Bit Error Rate Analysis and Testing System</t>
  </si>
  <si>
    <t>Ren, Lili and Xuan, Ming and Qi, Lili</t>
  </si>
  <si>
    <t>ISSTA 2023: Proceedings of the 32nd ACM SIGSOFT International Symposium on Software Testing and Analysis</t>
  </si>
  <si>
    <t>IoT '24: Proceedings of the 14th International Conference on the Internet of Things</t>
  </si>
  <si>
    <t>Data-I – Interactive Experience of IoT Data: A Practical Tool for IoT Sensor Data in Interdisciplinary Human-Computer Interaction Education</t>
  </si>
  <si>
    <t>Kurze, Albrecht and K\"opferl, Karola and Eibl, Maximilian</t>
  </si>
  <si>
    <t>Revisiting Technical Debt Types and Indicators for Software Systems</t>
  </si>
  <si>
    <t>Caglayan, Dilek and \"Ozcan-Top, \"Ozden</t>
  </si>
  <si>
    <t>FDG '24: Proceedings of the 19th International Conference on the Foundations of Digital Games</t>
  </si>
  <si>
    <t>SC-W '23: Proceedings of the SC '23 Workshops of the International Conference on High Performance Computing, Network, Storage, and Analysis</t>
  </si>
  <si>
    <t>IoTAAI '23: Proceedings of the 2023 5th International Conference on Internet of Things, Automation and Artificial Intelligence</t>
  </si>
  <si>
    <t>CEEeGov '23: Proceedings of the Central and Eastern European eDem and eGov Days 2023</t>
  </si>
  <si>
    <t>AIware 2024: Proceedings of the 1st ACM International Conference on AI-Powered Software</t>
  </si>
  <si>
    <t>ICFNDS '23: Proceedings of the 7th International Conference on Future Networks and Distributed Systems</t>
  </si>
  <si>
    <t>SIGCSE Virtual 2024: Proceedings of the 2024 on ACM Virtual Global Computing Education Conference V. 2</t>
  </si>
  <si>
    <t>M2AR: A Web-based Modeling Environment for the Augmented Reality Workflow Modeling Language</t>
  </si>
  <si>
    <t>Muff, Fabian and Fill, Hans-Georg</t>
  </si>
  <si>
    <t>CAMMIC '25: Proceedings of the 2025 5th International Conference on Applied Mathematics, Modelling and Intelligent Computing</t>
  </si>
  <si>
    <t>ITiCSE 2025: Proceedings of the 30th ACM Conference on Innovation and Technology in Computer Science Education V. 1</t>
  </si>
  <si>
    <t>Boosting the Impact of Extreme and Sustainable Graph Processing for Urgent Societal Challenges in Europe Graph-Massivizer: A Horizon Europe Project</t>
  </si>
  <si>
    <t>de Lama Sanchez, Nuria and Haase, Peter and Roman, Dumitru and Prodan, Radu</t>
  </si>
  <si>
    <t>EuroPLoP '23: Proceedings of the 28th European Conference on Pattern Languages of Programs</t>
  </si>
  <si>
    <t>CompSysTech '24: Proceedings of the International Conference on Computer Systems and Technologies 2024</t>
  </si>
  <si>
    <t>BiDEDE '24: Proceedings of the International Workshop on Big Data in Emergent Distributed Environments</t>
  </si>
  <si>
    <t>AIMLSystems '23: Proceedings of the Third International Conference on AI-ML Systems</t>
  </si>
  <si>
    <t>AIAHPC '24: Proceedings of the 2024 4th International Conference on Artificial Intelligence, Automation and High Performance Computing</t>
  </si>
  <si>
    <t>COMPUTE '23: Proceedings of the 16th Annual ACM India Compute Conference</t>
  </si>
  <si>
    <t>DEIS '25: Proceedings of the 2025 International Conference on Digital Economy and Information Systems</t>
  </si>
  <si>
    <t>BDIOT '24: Proceedings of the 2024 8th International Conference on Big Data and Internet of Things</t>
  </si>
  <si>
    <t>Security and Reliability of Internet of Underwater Things: Architecture, Challenges, and Opportunities</t>
  </si>
  <si>
    <t>Jiang, Bin and Feng, Jiacheng and Cui, Xuerong and Wang, Jian and Liu, Yongxin and Song, Houbing</t>
  </si>
  <si>
    <t>FAccT '25: Proceedings of the 2025 ACM Conference on Fairness, Accountability, and Transparency</t>
  </si>
  <si>
    <t>Explainability-Driven Quality Assessment for Rule-Based Systems</t>
  </si>
  <si>
    <t>Seneviratne, Oshani and Capuzzo, Brendan and Van Woensel, William</t>
  </si>
  <si>
    <t>ICEEL '24: Proceeding of the 2024 8th International Conference on Education and E-Learning</t>
  </si>
  <si>
    <t>ICCBDC '23: Proceedings of the 2023 7th International Conference on Cloud and Big Data Computing</t>
  </si>
  <si>
    <t>PowerPeeler: A Precise and General Dynamic Deobfuscation Method for PowerShell Scripts</t>
  </si>
  <si>
    <t>Li, Ruijie and Zhang, Chenyang and Chai, Huajun and Ying, Lingyun and Duan, Haixin and Tao, Jun</t>
  </si>
  <si>
    <t>Chat2Data: An Interactive Data Analysis System with RAG, Vector Databases and LLMs</t>
  </si>
  <si>
    <t>Zhao, Xinyang and Zhou, Xuanhe and Li, Guoliang</t>
  </si>
  <si>
    <t>sem2vec: Semantics-aware Assembly Tracelet Embedding</t>
  </si>
  <si>
    <t>Wang, Huaijin and Ma, Pingchuan and Wang, Shuai and Tang, Qiyi and Nie, Sen and Wu, Shi</t>
  </si>
  <si>
    <t>ICMLT '24: Proceedings of the 2024 9th International Conference on Machine Learning Technologies</t>
  </si>
  <si>
    <t>IoT '23: Proceedings of the 13th International Conference on the Internet of Things</t>
  </si>
  <si>
    <t>ASPLOS '23: Proceedings of the 28th ACM International Conference on Architectural Support for Programming Languages and Operating Systems, Volume 4</t>
  </si>
  <si>
    <t>Middleware '23: Proceedings of the 24th International Middleware Conference</t>
  </si>
  <si>
    <t>ICISS '23: Proceedings of the 2023 6th International Conference on Information Science and Systems</t>
  </si>
  <si>
    <t>APIT '23: Proceedings of the 2023 5th Asia Pacific Information Technology Conference</t>
  </si>
  <si>
    <t>RecSys '23: Proceedings of the 17th ACM Conference on Recommender Systems</t>
  </si>
  <si>
    <t>ICSE '24: Proceedings of the IEEE/ACM 46th International Conference on Software Engineering</t>
  </si>
  <si>
    <t>ICIEI '24: Proceedings of the 2024 9th International Conference on Information and Education Innovations</t>
  </si>
  <si>
    <t>Design Pattern for Reusing Immutable Methods in Object-Oriented Languages</t>
  </si>
  <si>
    <t>Flageol, William and Gu\'eh\'eneuc, Yann-Ga\"el and Badri, Mourad and Monnier, Stefan</t>
  </si>
  <si>
    <t>CAIN '24: Proceedings of the IEEE/ACM 3rd International Conference on AI Engineering - Software Engineering for AI</t>
  </si>
  <si>
    <t>TAHRI '24: Proceedings of the 2024 International Symposium on Technological Advances in Human-Robot Interaction</t>
  </si>
  <si>
    <t>DEBS '23: Proceedings of the 17th ACM International Conference on Distributed and Event-based Systems</t>
  </si>
  <si>
    <t>GraphCoder: Enhancing Repository-Level Code Completion via Coarse-to-fine Retrieval Based on Code Context Graph</t>
  </si>
  <si>
    <t>Liu, Wei and Yu, Ailun and Zan, Daoguang and Shen, Bo and Zhang, Wei and Zhao, Haiyan and Jin, Zhi and Wang, Qianxiang</t>
  </si>
  <si>
    <t>FuSeBMC v4: Improving Code Coverage with Smart Seeds via BMC, Fuzzing and Static Analysis</t>
  </si>
  <si>
    <t>Alshmrany, Kaled and Aldughaim, Mohannad and Bhayat, Ahmed and Cordeiro, Lucas</t>
  </si>
  <si>
    <t>ICAIES '25: Proceedings of the 2025 International Conference on Artificial Intelligence and Educational Systems</t>
  </si>
  <si>
    <t>SBSI '23: Proceedings of the XIX Brazilian Symposium on Information Systems</t>
  </si>
  <si>
    <t>Teaching IT Software Fundamentals: Strategies and Techniques for Inclusion of Large Language Models: Strategies and Techniques for Inclusion of Large Language Models</t>
  </si>
  <si>
    <t>Gumina, Sharon and Dalton, Travis and Gerdes, John</t>
  </si>
  <si>
    <t>SKnow-LLM Workshop: Structured Knowledge for Large Language Models</t>
  </si>
  <si>
    <t>Zhu, Qi and Chen, Xiusi and Zhang, Yu and Adeshina, Soji and Mavromatis, Costas and Han, Zhen and Ioannidis, Vassilis N. and Akoglu, Leman and Koutra, Danai and Rangwala, Huzefa</t>
  </si>
  <si>
    <t>AIBDF '23: Proceedings of the 2023 3rd Guangdong-Hong Kong-Macao Greater Bay Area Artificial Intelligence and Big Data Forum</t>
  </si>
  <si>
    <t>ACM SIGCOMM '24: Proceedings of the ACM SIGCOMM 2024 Conference</t>
  </si>
  <si>
    <t>ICIEAI '23: Proceedings of the 2023 International Conference on Information Education and Artificial Intelligence</t>
  </si>
  <si>
    <t>EITCE '22: Proceedings of the 2022 6th International Conference on Electronic Information Technology and Computer Engineering</t>
  </si>
  <si>
    <t>SETN '24: Proceedings of the 13th Hellenic Conference on Artificial Intelligence</t>
  </si>
  <si>
    <t>ICIEAI '24: Proceedings of the 2024 2nd International Conference on Information Education and Artificial Intelligence</t>
  </si>
  <si>
    <t>Noise-Coded Illumination for Forensic and Photometric Video Analysis</t>
  </si>
  <si>
    <t>Michael, Peter and Hao, Zekun and Belongie, Serge and Davis, Abe</t>
  </si>
  <si>
    <t>FlashFill++: Scaling Programming by Example by Cutting to the Chase</t>
  </si>
  <si>
    <t>Cambronero, Jos\'e and Gulwani, Sumit and Le, Vu and Perelman, Daniel and Radhakrishna, Arjun and Simon, Clint and Tiwari, Ashish</t>
  </si>
  <si>
    <t>COMPASS '23: Proceedings of the 6th ACM SIGCAS/SIGCHI Conference on Computing and Sustainable Societies</t>
  </si>
  <si>
    <t>AI Rewrites Coding</t>
  </si>
  <si>
    <t>Greengard, Samuel</t>
  </si>
  <si>
    <t>LLMs Still Can't Avoid Instanceof: An Investigation Into GPT-3.5, GPT-4 and Bard's Capacity to Handle Object-Oriented Programming Assignments</t>
  </si>
  <si>
    <t>Cipriano, Bruno Pereira and Alves, Pedro</t>
  </si>
  <si>
    <t>ICSE-SEET '24: Proceedings of the 46th International Conference on Software Engineering: Software Engineering Education and Training</t>
  </si>
  <si>
    <t>A Hybrid Data-flow Visual Programing Language*</t>
  </si>
  <si>
    <t>Wang, Hongxin and Luo, Qiuming and Du, Zheng</t>
  </si>
  <si>
    <t>ICSE '23: Proceedings of the 45th International Conference on Software Engineering: Companion Proceedings</t>
  </si>
  <si>
    <t>How ChatGPT Will Change Software Engineering Education</t>
  </si>
  <si>
    <t>Daun, Marian and Brings, Jennifer</t>
  </si>
  <si>
    <t>IC-BIS '25: Proceedings of the 4th International Conference on Biomedical and Intelligent Systems</t>
  </si>
  <si>
    <t>ICSE-NIER'24: Proceedings of the 2024 ACM/IEEE 44th International Conference on Software Engineering: New Ideas and Emerging Results</t>
  </si>
  <si>
    <t>ICSE-NIER '23: Proceedings of the 45th International Conference on Software Engineering: New Ideas and Emerging Results</t>
  </si>
  <si>
    <t>MMAsia '24: Proceedings of the 6th ACM International Conference on Multimedia in Asia</t>
  </si>
  <si>
    <t>Do Large Language Models Recognize Python Identifier Swaps in Their Generated Code?</t>
  </si>
  <si>
    <t>Chavan, Sagar Bhikan and Mondal, Shouvick</t>
  </si>
  <si>
    <t>PEAI '24: Proceedings of the 2024 International Conference on Power Electronics and Artificial Intelligence</t>
  </si>
  <si>
    <t>DNA Computing-Based Multi-Source Data Storage Model in Digital Twins</t>
  </si>
  <si>
    <t>Wang, Jinxia and Chen, Rui and Lv, Zhihan</t>
  </si>
  <si>
    <t>PSLOG: Pretraining with Search Logs for Document Ranking</t>
  </si>
  <si>
    <t>Su, Zhan and Dou, Zhicheng and Zhou, Yujia and Zhao, Ziyuan and Wen, Ji-Rong</t>
  </si>
  <si>
    <t>Every Thing Under the Sun: How Web of Things and Semantic Data Brings Benefit to Small-Scale Photovoltaic Installations</t>
  </si>
  <si>
    <t>Ramanathan, Ganesh and Marella, Srinivas</t>
  </si>
  <si>
    <t>Optimizing Wireline Formation Testing in Oil Wells: A Data Science approach</t>
  </si>
  <si>
    <t>Abbehusen, Marcelo and Rodrigues, Rodolfo and Oliveira, Lucas and Escovedo, Tatiana and Kalinowski, Marcos</t>
  </si>
  <si>
    <t>WSC '23: Proceedings of the Winter Simulation Conference</t>
  </si>
  <si>
    <t>ICDIS '24: Proceedings of the 2024 International Symposium on Integrated Circuit Design and Integrated Systems</t>
  </si>
  <si>
    <t>EICS '23 Companion: Companion Proceedings of the 2023 ACM SIGCHI Symposium on Engineering Interactive Computing Systems</t>
  </si>
  <si>
    <t>SIGITE '23: Proceedings of the 24th Annual Conference on Information Technology Education</t>
  </si>
  <si>
    <t>HT '23: Proceedings of the 34th ACM Conference on Hypertext and Social Media</t>
  </si>
  <si>
    <t>MobileHCI '23 Companion: Proceedings of the 25th International Conference on Mobile Human-Computer Interaction</t>
  </si>
  <si>
    <t>Fearless Luminance Adaptation: A Macro-Micro-Hierarchical&amp;nbsp;Transformer for Exposure Correction</t>
  </si>
  <si>
    <t>Li, Gehui and Liu, Jinyuan and Ma, Long and Jiang, Zhiying and Fan, Xin and Liu, Risheng</t>
  </si>
  <si>
    <t>Better Than Worst-Case Decoding for Quantum Error Correction</t>
  </si>
  <si>
    <t>Ravi, Gokul Subramanian and Baker, Jonathan M. and Fayyazi, Arash and Lin, Sophia Fuhui and Javadi-Abhari, Ali and Pedram, Massoud and Chong, Frederic T.</t>
  </si>
  <si>
    <t>NISS '24: Proceedings of the 7th International Conference on Networking, Intelligent Systems and Security</t>
  </si>
  <si>
    <t>BIOTC '23: Proceedings of the 2023 5th Blockchain and Internet of Things Conference</t>
  </si>
  <si>
    <t>ISAIMS '24: Proceedings of the 2024 5th International Symposium on Artificial Intelligence for Medicine Science</t>
  </si>
  <si>
    <t>SAC '23: Proceedings of the 38th ACM/SIGAPP Symposium on Applied Computing</t>
  </si>
  <si>
    <t>EduCHI '23: Proceedings of the 5th Annual Symposium on HCI Education</t>
  </si>
  <si>
    <t>ASPLOS 2023: Proceedings of the 28th ACM International Conference on Architectural Support for Programming Languages and Operating Systems, Volume 2</t>
  </si>
  <si>
    <t>ICPP Workshops '22: Workshop Proceedings of the 51st International Conference on Parallel Processing</t>
  </si>
  <si>
    <t>ICDLT '23: Proceedings of the 2023 7th International Conference on Deep Learning Technologies</t>
  </si>
  <si>
    <t>SPCNC '24: Proceedings of the 3rd International Conference on Signal Processing, Computer Networks and Communications</t>
  </si>
  <si>
    <t>Guessing Random Additive Noise Decoding for Underwater Acoustic Communications</t>
  </si>
  <si>
    <t>Li, Zhengnan and Cuji, Diego Andres and Duffy, Ken R and Stojanovic, Milica</t>
  </si>
  <si>
    <t>TEI '23: Proceedings of the Seventeenth International Conference on Tangible, Embedded, and Embodied Interaction</t>
  </si>
  <si>
    <t>ICCIP '23: Proceedings of the 2023 9th International Conference on Communication and Information Processing</t>
  </si>
  <si>
    <t>IoT '22: Proceedings of the 12th International Conference on the Internet of Things</t>
  </si>
  <si>
    <t>ICITEE '22: Proceedings of the 5th International Conference on Information Technologies and Electrical Engineering</t>
  </si>
  <si>
    <t>SIGGRAPH Appy Hour '25: Proceedings of the Special Interest Group on Computer Graphics and Interactive Techniques Conference Appy Hour</t>
  </si>
  <si>
    <t>ASPDAC '23: Proceedings of the 28th Asia and South Pacific Design Automation Conference</t>
  </si>
  <si>
    <t>The Premature Obituary of Programming</t>
  </si>
  <si>
    <t>Yellin, Daniel M.</t>
  </si>
  <si>
    <t>Learning to Restructure Tables Automatically</t>
  </si>
  <si>
    <t>Hellerstein, Joseph M.</t>
  </si>
  <si>
    <t>ICAIP '22: Proceedings of the 6th International Conference on Advances in Image Processing</t>
  </si>
  <si>
    <t>EuroMLSys '23: Proceedings of the 3rd Workshop on Machine Learning and Systems</t>
  </si>
  <si>
    <t>EITCE '23: Proceedings of the 2023 7th International Conference on Electronic Information Technology and Computer Engineering</t>
  </si>
  <si>
    <t>An Improved Defect Detection Algorithm for Industrial Products via Lightweight Convolutional Neural Network</t>
  </si>
  <si>
    <t>Hu, Bo and Zhou, Donghao and Wu, Quhua and Dong, Jinrong and Kuang, Shengcong and Huang, Jie</t>
  </si>
  <si>
    <t>To Draw Is Human: Toward No-Code Subgraph Search</t>
  </si>
  <si>
    <t>Bhowmick, Sourav S. and Choi, Byron</t>
  </si>
  <si>
    <t>The Smallness of Large Language Models</t>
  </si>
  <si>
    <t>Denning, Peter J.</t>
  </si>
  <si>
    <t>CPS-IoT Week '23: Proceedings of Cyber-Physical Systems and Internet of Things Week 2023</t>
  </si>
  <si>
    <t>Who Creates for the Creators?</t>
  </si>
  <si>
    <t>Sturdee, Miriam</t>
  </si>
  <si>
    <t>Proceedings of the ACM/IEEE 27th International Conference on Model Driven Engineering Languages and Systems</t>
  </si>
  <si>
    <t>Proceedings of the 2024 4th International Conference on Signal Processing and Communication Technology</t>
  </si>
  <si>
    <t>J. Comput. Sci. Coll.</t>
  </si>
  <si>
    <t>Proceedings of the XXIII Brazilian Symposium on Software Quality</t>
  </si>
  <si>
    <t>Proceedings of the 2024 ACM Southeast Conference</t>
  </si>
  <si>
    <t>Proceedings of the 33rd ACM International Conference on the Foundations of Software Engineering</t>
  </si>
  <si>
    <t>Proceedings of the 29th International Conference on Intelligent User Interfaces</t>
  </si>
  <si>
    <t>Queue</t>
  </si>
  <si>
    <t>Commun. ACM</t>
  </si>
  <si>
    <t>Proceedings of the 16th ACM SIGPLAN International Conference on Software Language Engineering</t>
  </si>
  <si>
    <t>Proceedings of the Eleventh International Symposium of Chinese CHI</t>
  </si>
  <si>
    <t>Proceedings of the 23rd ACM Conference on Embedded Networked Sensor Systems</t>
  </si>
  <si>
    <t>Proceedings of the 2023 5th International Conference on Internet of Things, Automation and Artificial Intelligence</t>
  </si>
  <si>
    <t>SIGSOFT Softw. Eng. Notes</t>
  </si>
  <si>
    <t>ACM Trans. Internet Technol.</t>
  </si>
  <si>
    <t>Proceedings of the 2023 5th International Conference on Software Engineering and Development</t>
  </si>
  <si>
    <t>Proceedings of the 39th IEEE/ACM International Conference on Automated Software Engineering</t>
  </si>
  <si>
    <t>Proceedings of the 2023 4th International Conference on Big Data Economy and Information Management</t>
  </si>
  <si>
    <t>Proceedings of the 2nd International Conference on Educational Knowledge and Informatization</t>
  </si>
  <si>
    <t>Proceedings of the 2024 ACM Conference on International Computing Education Research - Volume 2</t>
  </si>
  <si>
    <t>Proceedings of the XIX Brazilian Symposium on Information Systems</t>
  </si>
  <si>
    <t>Proceeding of the 2024 8th International Conference on Education and E-Learning</t>
  </si>
  <si>
    <t>Proceedings of the Winter Simulation Conference</t>
  </si>
  <si>
    <t>Adjunct Proceedings of the 15th International Conference on Automotive User Interfaces and Interactive Vehicular Applications</t>
  </si>
  <si>
    <t>Proceedings of the 45th International Conference on Software Engineering: Companion Proceedings</t>
  </si>
  <si>
    <t>Proceedings of the 6th ACM SIGCAS/SIGCHI Conference on Computing and Sustainable Societies</t>
  </si>
  <si>
    <t>Proceedings of the 5th International Conference on Information Technologies and Electrical Engineering</t>
  </si>
  <si>
    <t>Proceedings of the 20th International Conference on the Foundations of Digital Games</t>
  </si>
  <si>
    <t>Proc. ACM Hum.-Comput. Interact.</t>
  </si>
  <si>
    <t>Proceedings of the 2024 2nd International Conference on Information Education and Artificial Intelligence</t>
  </si>
  <si>
    <t>Proceedings of the 2025 2nd International Conference on Innovation Management and Information System</t>
  </si>
  <si>
    <t>Proceedings of the 2023 5th Asia Pacific Information Technology Conference</t>
  </si>
  <si>
    <t>Proceedings of the 2024 International Symposium on Integrated Circuit Design and Integrated Systems</t>
  </si>
  <si>
    <t>Proceedings of the 29th European Conference on Pattern Languages of Programs, People, and Practices</t>
  </si>
  <si>
    <t>Proceedings of the 2023 5th World Symposium on Software Engineering</t>
  </si>
  <si>
    <t>Proceedings of the 28th International Conference on Evaluation and Assessment in Software Engineering</t>
  </si>
  <si>
    <t>Proceedings of the 2024 10th International Conference on Computer Technology Applications</t>
  </si>
  <si>
    <t>Proceedings of the 2024 International Conference on Advanced Visual Interfaces</t>
  </si>
  <si>
    <t>Proceedings of the 5th International Conference on Conversational User Interfaces</t>
  </si>
  <si>
    <t>Proceedings of the 2024 International Conference on Power Electronics and Artificial Intelligence</t>
  </si>
  <si>
    <t>Proceedings of the 7th ACM/IEEE International Workshop on Software-Intensive Business</t>
  </si>
  <si>
    <t>Proceedings of the 2023 International Conference on Information Education and Artificial Intelligence</t>
  </si>
  <si>
    <t>Proceedings of the Central and Eastern European EDem and EGov Days 2023</t>
  </si>
  <si>
    <t>Proceedings of the 18th ACM International Conference on PErvasive Technologies Related to Assistive Environments</t>
  </si>
  <si>
    <t>ACM Trans. Softw. Eng. Methodol.</t>
  </si>
  <si>
    <t>Proceedings of the 2025 International Conference on Digital Management and Information Technology</t>
  </si>
  <si>
    <t>Proc. ACM Softw. Eng.</t>
  </si>
  <si>
    <t>Proceedings of the 6th ACM Conference on Conversational User Interfaces</t>
  </si>
  <si>
    <t>Companion Proceedings of the ACM Web Conference 2023</t>
  </si>
  <si>
    <t>Proceedings of the 2025 International Conference on Digital Economy and Information Systems</t>
  </si>
  <si>
    <t>Companion Proceedings of the 2023 ACM SIGCHI Symposium on Engineering Interactive Computing Systems</t>
  </si>
  <si>
    <t>Proceedings of the 2024 8th International Conference on Big Data and Internet of Things</t>
  </si>
  <si>
    <t>Proceedings of the 2024 4th International Conference on Big Data, Artificial Intelligence and Risk Management</t>
  </si>
  <si>
    <t>Proceedings of the 21st International Conference on Mining Software Repositories</t>
  </si>
  <si>
    <t>Proceedings of the 40th ACM/SIGAPP Symposium on Applied Computing</t>
  </si>
  <si>
    <t>SIGOPS Oper. Syst. Rev.</t>
  </si>
  <si>
    <t>Proceedings of the 2023 ACM SIGPLAN International Symposium on New Ideas, New Paradigms, and Reflections on Programming and Software</t>
  </si>
  <si>
    <t>Extended Abstracts of the 2023 CHI Conference on Human Factors in Computing Systems</t>
  </si>
  <si>
    <t>Companion Proceedings of the 2023 ACM SIGPLAN International Conference on Systems, Programming, Languages, and Applications: Software for Humanity</t>
  </si>
  <si>
    <t>ACM Trans. Embed. Comput. Syst.</t>
  </si>
  <si>
    <t>Proceedings of the 19th International Working Conference on Variability Modelling of Software-Intensive Systems</t>
  </si>
  <si>
    <t>Proceedings of the 34th ACM Conference on Hypertext and Social Media</t>
  </si>
  <si>
    <t>Proceedings of the 28th ACM International Systems and Software Product Line Conference</t>
  </si>
  <si>
    <t>Proceedings of the 27th International Conference on Evaluation and Assessment in Software Engineering</t>
  </si>
  <si>
    <t>Proceedings of the 3rd ACM SIGPLAN International Workshop on Programming Abstractions and Interactive Notations, Tools, and Environments</t>
  </si>
  <si>
    <t>Proceedings of the 46th International Conference on Software Engineering: Software Engineering in Practice</t>
  </si>
  <si>
    <t>Proc. ACM Interact. Mob. Wearable Ubiquitous Technol.</t>
  </si>
  <si>
    <t>Proceedings of the IEEE/ACM 47th International Conference on Software Engineering: Companion Proceedings</t>
  </si>
  <si>
    <t>Proceedings of the 7th International Conference on Networking, Intelligent Systems and Security</t>
  </si>
  <si>
    <t>Proceedings of the 24th Koli Calling International Conference on Computing Education Research</t>
  </si>
  <si>
    <t>SIGAPP Appl. Comput. Rev.</t>
  </si>
  <si>
    <t>Proceedings of the 37th IEEE/ACM International Conference on Automated Software Engineering</t>
  </si>
  <si>
    <t>Proceedings of the Seventeenth International Conference on Tangible, Embedded, and Embodied Interaction</t>
  </si>
  <si>
    <t>Proceedings of the 2024 4th International Conference on Artificial Intelligence, Automation and High Performance Computing</t>
  </si>
  <si>
    <t>Proceedings of the 2025 CHI Conference on Human Factors in Computing Systems</t>
  </si>
  <si>
    <t>Proceedings of the 16th International Conference on Automotive User Interfaces and Interactive Vehicular Applications</t>
  </si>
  <si>
    <t>ACM Trans. Sen. Netw.</t>
  </si>
  <si>
    <t>Proceedings of the 2024 7th International Conference on Information Science and Systems</t>
  </si>
  <si>
    <t>Proceedings of the 2024 ACM SIGPLAN International Symposium on New Ideas, New Paradigms, and Reflections on Programming and Software</t>
  </si>
  <si>
    <t>Proceedings of the 2023 10th International Conference on Industrial Engineering and Applications</t>
  </si>
  <si>
    <t>ACM Trans. Internet Things</t>
  </si>
  <si>
    <t>Proceedings of the 2022 6th International Conference on Electronic Information Technology and Computer Engineering</t>
  </si>
  <si>
    <t>Proceedings of the IEEE/ACM 46th International Conference on Software Engineering</t>
  </si>
  <si>
    <t>Proceedings of the 2023 12th International Conference on Software and Computer Applications</t>
  </si>
  <si>
    <t>Proceedings of the 2024 9th International Conference on Information and Education Innovations</t>
  </si>
  <si>
    <t>ACM Trans. Comput.-Hum. Interact.</t>
  </si>
  <si>
    <t>Proceedings of the Special Interest Group on Computer Graphics and Interactive Techniques Conference Appy Hour</t>
  </si>
  <si>
    <t>Proceedings of the 2023 CHI Conference on Human Factors in Computing Systems</t>
  </si>
  <si>
    <t>Proceedings of the 18th ACM International Conference on Distributed and Event-Based Systems</t>
  </si>
  <si>
    <t>ACM Inroads</t>
  </si>
  <si>
    <t>ACM Trans. Interact. Intell. Syst.</t>
  </si>
  <si>
    <t>Proceedings of the 25th International Middleware Conference Industrial Track</t>
  </si>
  <si>
    <t>Proceedings of the 46th International ACM SIGIR Conference on Research and Development in Information Retrieval</t>
  </si>
  <si>
    <t>Proceedings of the 2025 International Conference on Artificial Intelligence and Educational Systems</t>
  </si>
  <si>
    <t>Companion of the 2024 ACM/IEEE International Conference on Human-Robot Interaction</t>
  </si>
  <si>
    <t>Proceedings of the ACM SIGOPS 30th Symposium on Operating Systems Principles</t>
  </si>
  <si>
    <t>Proceedings of the 24th ACM/IEEE Joint Conference on Digital Libraries</t>
  </si>
  <si>
    <t>Proceedings of the 5th International Workshop on Software-Intensive Business: Towards Sustainable Software Business</t>
  </si>
  <si>
    <t>Proceedings of the 13th Hellenic Conference on Artificial Intelligence</t>
  </si>
  <si>
    <t>Proceedings of the 3rd Annual Meeting of the Symposium on Human-Computer Interaction for Work</t>
  </si>
  <si>
    <t>Proceedings of the 2024 9th International Conference on Machine Learning Technologies</t>
  </si>
  <si>
    <t>Proceedings of the 2024 5th International Symposium on Artificial Intelligence for Medicine Science</t>
  </si>
  <si>
    <t>Proceedings of the Third International Conference on AI-ML Systems</t>
  </si>
  <si>
    <t>Proceedings of the 4th International Workshop on Software Engineering Research and Practice for the IoT</t>
  </si>
  <si>
    <t>Proceedings of the 18th ACM SIGPLAN International Conference on Software Language Engineering</t>
  </si>
  <si>
    <t>Proceedings of the 15th Asia-Pacific Symposium on Internetware</t>
  </si>
  <si>
    <t>Proceedings of the 2024 on ACM SIGSAC Conference on Computer and Communications Security</t>
  </si>
  <si>
    <t>Proceedings of the 36th Annual ACM Symposium on User Interface Software and Technology</t>
  </si>
  <si>
    <t>Proceedings of the 16th International Conference on PErvasive Technologies Related to Assistive Environments</t>
  </si>
  <si>
    <t>Proceedings of the 2024 CHI Conference on Human Factors in Computing Systems</t>
  </si>
  <si>
    <t>Proceedings of the 30th International Conference on Intelligent User Interfaces</t>
  </si>
  <si>
    <t>Proceedings of the Extended Abstracts of the CHI Conference on Human Factors in Computing Systems</t>
  </si>
  <si>
    <t>Proceedings of the 1st International Workshop on Responsible Software Engineering</t>
  </si>
  <si>
    <t>Extended Abstracts of the CHI Conference on Human Factors in Computing Systems</t>
  </si>
  <si>
    <t>Proceedings of the 37th Annual ACM Symposium on User Interface Software and Technology</t>
  </si>
  <si>
    <t>Proceedings of the 2025 5th International Conference on Applied Mathematics, Modelling and Intelligent Computing</t>
  </si>
  <si>
    <t>Digit. Gov.: Res. Pract.</t>
  </si>
  <si>
    <t>Proceedings of the 28th ACM Symposium on Access Control Models and Technologies</t>
  </si>
  <si>
    <t>Proceedings of the 22nd ACM Conference on Embedded Networked Sensor Systems</t>
  </si>
  <si>
    <t>Proceedings of the 2024 8th International Conference on Electronic Information Technology and Computer Engineering</t>
  </si>
  <si>
    <t>Proceedings of the 11th International Conference on Software Development and Technologies for Enhancing Accessibility and Fighting Info-Exclusion</t>
  </si>
  <si>
    <t>ACM Trans. Intell. Syst. Technol.</t>
  </si>
  <si>
    <t>Proceedings of the 45th International Conference on Software Engineering: New Ideas and Emerging Results</t>
  </si>
  <si>
    <t>Proceedings of the 2023 6th International Conference on Information Science and Systems</t>
  </si>
  <si>
    <t>Proceedings of the Central and Eastern European EDem and EGov Days 2024</t>
  </si>
  <si>
    <t>Companion of the 2024 International Conference on Management of Data</t>
  </si>
  <si>
    <t>Proceedings of the ACM SIGCOMM 2024 Conference</t>
  </si>
  <si>
    <t>Proceedings of the 2024 ACM/IEEE 44th International Conference on Software Engineering: New Ideas and Emerging Results</t>
  </si>
  <si>
    <t>Proceedings of the 2023 7th International Conference on Cloud and Big Data Computing</t>
  </si>
  <si>
    <t>Proceedings of the 2023 3rd Guangdong-Hong Kong-Macao Greater Bay Area Artificial Intelligence and Big Data Forum</t>
  </si>
  <si>
    <t>Proceedings of the IEEE/ACM 47th International Conference on Software Engineering</t>
  </si>
  <si>
    <t>Proceedings of the 28th International Conference on Intelligent User Interfaces</t>
  </si>
  <si>
    <t>ACM Trans. Recomm. Syst.</t>
  </si>
  <si>
    <t>Proceedings of Cyber-Physical Systems and Internet of Things Week 2023</t>
  </si>
  <si>
    <t>Proceedings of the 17th ACM Conference on Recommender Systems</t>
  </si>
  <si>
    <t>18th ACM Conference on Security and Privacy in Wireless and Mobile Networks</t>
  </si>
  <si>
    <t>Proceedings of the 24th Interaction Design and Children</t>
  </si>
  <si>
    <t>Proceedings of the 2023 7th International Conference on Deep Learning Technologies</t>
  </si>
  <si>
    <t>Proceedings of the 30th ACM SIGKDD Conference on Knowledge Discovery and Data Mining</t>
  </si>
  <si>
    <t>Proceedings of the 31st ACM SIGKDD Conference on Knowledge Discovery and Data Mining V.2</t>
  </si>
  <si>
    <t>Proceedings of the 23rd ACM SIGPLAN International Conference on Generative Programming: Concepts and Experiences</t>
  </si>
  <si>
    <t>Digital Threats</t>
  </si>
  <si>
    <t>Proceedings of the IEEE/ACM 3rd International Conference on AI Engineering - Software Engineering for AI</t>
  </si>
  <si>
    <t>Proceedings of the 2025 8th International Conference on Software Engineering and Information Management</t>
  </si>
  <si>
    <t>Proceedings of the 28th ACM International Conference on Architectural Support for Programming Languages and Operating Systems, Volume 2</t>
  </si>
  <si>
    <t>Proc. VLDB Endow.</t>
  </si>
  <si>
    <t>ACM Trans. Priv. Secur.</t>
  </si>
  <si>
    <t>Proceedings of the 1st ACM International Conference on AI-Powered Software</t>
  </si>
  <si>
    <t>ACM Comput. Surv.</t>
  </si>
  <si>
    <t>Proceedings of the 2024 8th International Conference on Cloud and Big Data Computing</t>
  </si>
  <si>
    <t>Proceedings of the 2025 ACM Designing Interactive Systems Conference</t>
  </si>
  <si>
    <t>Practice and Experience in Advanced Research Computing 2024: Human Powered Computing</t>
  </si>
  <si>
    <t>Proceedings of the 2023 ACM SIGPLAN International Workshop on Partial Evaluation and Program Manipulation</t>
  </si>
  <si>
    <t>SIGGRAPH Asia 2024 Courses</t>
  </si>
  <si>
    <t>Proceedings of the SC '23 Workshops of the International Conference on High Performance Computing, Network, Storage, and Analysis</t>
  </si>
  <si>
    <t>Proceedings of the 25th International Conference on Mobile Human-Computer Interaction</t>
  </si>
  <si>
    <t>Proceedings of the Nineteenth International Conference on Tangible, Embedded, and Embodied Interaction</t>
  </si>
  <si>
    <t>Proceedings of the 31st ACM Joint European Software Engineering Conference and Symposium on the Foundations of Software Engineering</t>
  </si>
  <si>
    <t>Proceedings of the 2024 on ACM Virtual Global Computing Education Conference V. 2</t>
  </si>
  <si>
    <t>Proceedings of the 32nd ACM SIGSOFT International Symposium on Software Testing and Analysis</t>
  </si>
  <si>
    <t>ACM Trans. Multimedia Comput. Commun. Appl.</t>
  </si>
  <si>
    <t>Proceedings of the 23rd Koli Calling International Conference on Computing Education Research</t>
  </si>
  <si>
    <t>ACM Transactions on Quantum Computing</t>
  </si>
  <si>
    <t>Distrib. Ledger Technol.</t>
  </si>
  <si>
    <t>Proceedings of the 3rd International Conference on Signal Processing, Computer Networks and Communications</t>
  </si>
  <si>
    <t>Proceedings of the 2023 5th Blockchain and Internet of Things Conference</t>
  </si>
  <si>
    <t>Proceedings of the 7th Annual Symposium on HCI Education</t>
  </si>
  <si>
    <t>Proceedings of the ACM Web Conference 2023</t>
  </si>
  <si>
    <t>Proceedings of the 7th ACM/IEEE International Conference on Technical Debt</t>
  </si>
  <si>
    <t>Proceedings of the 28th Asia and South Pacific Design Automation Conference</t>
  </si>
  <si>
    <t>Proceedings of the 25th Annual International Conference on Digital Government Research</t>
  </si>
  <si>
    <t>Proceedings of the 2025 Conference on Creativity and Cognition</t>
  </si>
  <si>
    <t>Proceedings of the 2025 ACM Conference on Fairness, Accountability, and Transparency</t>
  </si>
  <si>
    <t>Proceedings of the 28th ACM International Conference on Architectural Support for Programming Languages and Operating Systems, Volume 4</t>
  </si>
  <si>
    <t>Proceedings of the 2nd ACM SIGPLAN International Workshop on Programming Abstractions and Interactive Notations, Tools, and Environments</t>
  </si>
  <si>
    <t>Proceedings of the International Conference on Computer Systems and Technologies 2024</t>
  </si>
  <si>
    <t>Proceedings of the 31st ACM International Conference on Multimedia</t>
  </si>
  <si>
    <t>Practice and Experience in Advanced Research Computing 2023: Computing for the Common Good</t>
  </si>
  <si>
    <t>Proceedings of the 33rd International Symposium on High-Performance Parallel and Distributed Computing</t>
  </si>
  <si>
    <t>Proc. ACM Program. Lang.</t>
  </si>
  <si>
    <t>Proceedings of the 38th ACM/SIGAPP Symposium on Applied Computing</t>
  </si>
  <si>
    <t>Proceedings of the 24th International Middleware Conference</t>
  </si>
  <si>
    <t>Proceedings of the 27th International Symposium on Research in Attacks, Intrusions and Defenses</t>
  </si>
  <si>
    <t>ACM Trans. Model. Comput. Simul.</t>
  </si>
  <si>
    <t>Proceedings of the 54th ACM Technical Symposium on Computer Science Education V. 1</t>
  </si>
  <si>
    <t>ACM Trans. Comput. Educ.</t>
  </si>
  <si>
    <t>Companion of the 2023 ACM/SPEC International Conference on Performance Engineering</t>
  </si>
  <si>
    <t>Proceedings of the 13th International Conference on the Internet of Things</t>
  </si>
  <si>
    <t>Proceedings of the 7th International Conference on Future Networks and Distributed Systems</t>
  </si>
  <si>
    <t>Proceedings of the 16th Annual ACM India Compute Conference</t>
  </si>
  <si>
    <t>IEEE/ACM Trans. Netw.</t>
  </si>
  <si>
    <t>Proceedings of the 4th International Conference on Biomedical and Intelligent Systems</t>
  </si>
  <si>
    <t>Proceedings of the 2024 IEEE/ACM International Symposium on Code Generation and Optimization</t>
  </si>
  <si>
    <t>Proceedings of the Fourteenth ACM Conference on Data and Application Security and Privacy</t>
  </si>
  <si>
    <t>Proceedings of the 3rd Workshop on Machine Learning and Systems</t>
  </si>
  <si>
    <t>Proceedings of the 17th ACM SIGPLAN International Conference on Software Language Engineering</t>
  </si>
  <si>
    <t>Proceedings of the 11th International Conference on Communities and Technologies</t>
  </si>
  <si>
    <t>Proceedings of the 17th ACM International Conference on Distributed and Event-Based Systems</t>
  </si>
  <si>
    <t>Proceedings of the 6th ACM International Conference on Multimedia in Asia</t>
  </si>
  <si>
    <t>Proceedings of the 2025 6th International Conference on Computer Information and Big Data Applications</t>
  </si>
  <si>
    <t>Proceedings of the 14th International Conference on the Internet of Things</t>
  </si>
  <si>
    <t>Proceedings of the 19th International Conference on the Foundations of Digital Games</t>
  </si>
  <si>
    <t>Companion of the 2023 International Conference on Management of Data</t>
  </si>
  <si>
    <t>Proceedings of the 2024 International Symposium on Technological Advances in Human-Robot Interaction</t>
  </si>
  <si>
    <t>Proceedings of the 17th Innovations in Software Engineering Conference</t>
  </si>
  <si>
    <t>Proceedings of the International Workshop on Big Data in Emergent Distributed Environments</t>
  </si>
  <si>
    <t>Proceedings of the 33rd ACM SIGSOFT International Symposium on Software Testing and Analysis</t>
  </si>
  <si>
    <t>Proceedings of the 30th ACM Conference on Innovation and Technology in Computer Science Education V. 1</t>
  </si>
  <si>
    <t>SIGMOD Rec.</t>
  </si>
  <si>
    <t>Proceedings of the 2023 9th International Conference on Communication and Information Processing</t>
  </si>
  <si>
    <t>Proceedings of the 2023 7th International Conference on Electronic Information Technology and Computer Engineering</t>
  </si>
  <si>
    <t>Proceedings of the 5th Annual Symposium on HCI Education</t>
  </si>
  <si>
    <t>Proceedings of the 39th ACM/SIGAPP Symposium on Applied Computing</t>
  </si>
  <si>
    <t>Companion Proceedings of the ACM on Web Conference 2025</t>
  </si>
  <si>
    <t>Proceedings of the 28th European Conference on Pattern Languages of Programs</t>
  </si>
  <si>
    <t>Form. Asp. Comput.</t>
  </si>
  <si>
    <t>Proceedings of the 24th Annual Conference on Information Technology Education</t>
  </si>
  <si>
    <t>ACM Trans. Graph.</t>
  </si>
  <si>
    <t>Proceedings of the 46th International Conference on Software Engineering: Software Engineering Education and Training</t>
  </si>
  <si>
    <t>Workshop Proceedings of the 51st International Conference on Parallel Processing</t>
  </si>
  <si>
    <t>Proceedings of the 2023 Conference on Innovation and Technology in Computer Science Education V. 1</t>
  </si>
  <si>
    <t>Companion Proceedings of the 32nd ACM International Conference on the Foundations of Software Engineering</t>
  </si>
  <si>
    <t>Proceedings of the 29th ACM SIGKDD Conference on Knowledge Discovery and Data Mining</t>
  </si>
  <si>
    <t>Proceedings of the 12th International Conference on the Internet of Things</t>
  </si>
  <si>
    <t>Proceedings of the 18th International Conference on Underwater Networks &amp;amp; Systems</t>
  </si>
  <si>
    <t>Proceedings of the 6th International Conference on Advances in Image Processing</t>
  </si>
  <si>
    <t>Interactions</t>
  </si>
  <si>
    <t>AD522</t>
  </si>
  <si>
    <t>AD523</t>
  </si>
  <si>
    <t>AD524</t>
  </si>
  <si>
    <t>AD525</t>
  </si>
  <si>
    <t>AD526</t>
  </si>
  <si>
    <t>AD527</t>
  </si>
  <si>
    <t>AD528</t>
  </si>
  <si>
    <t>AD529</t>
  </si>
  <si>
    <t>AD530</t>
  </si>
  <si>
    <t>AD531</t>
  </si>
  <si>
    <t>AD532</t>
  </si>
  <si>
    <t>AD533</t>
  </si>
  <si>
    <t>AD534</t>
  </si>
  <si>
    <t>AD535</t>
  </si>
  <si>
    <t>AD536</t>
  </si>
  <si>
    <t>AD537</t>
  </si>
  <si>
    <t>AD538</t>
  </si>
  <si>
    <t>AD539</t>
  </si>
  <si>
    <t>AD540</t>
  </si>
  <si>
    <t>AD541</t>
  </si>
  <si>
    <t>AD542</t>
  </si>
  <si>
    <t>AD543</t>
  </si>
  <si>
    <t>AD544</t>
  </si>
  <si>
    <t>AD545</t>
  </si>
  <si>
    <t>AD546</t>
  </si>
  <si>
    <t>AD547</t>
  </si>
  <si>
    <t>AD548</t>
  </si>
  <si>
    <t>AD549</t>
  </si>
  <si>
    <t>yes</t>
  </si>
  <si>
    <t>AIS eLibrary</t>
  </si>
  <si>
    <t>AS</t>
  </si>
  <si>
    <t>Lightweight Shackles Still Bind: Lock-In Effects In Low-Code Development</t>
  </si>
  <si>
    <t>Peter Alois François</t>
  </si>
  <si>
    <t>ICIS 2025 Proceedings</t>
  </si>
  <si>
    <t>Towards a Maturity Model for Adopting Low-Code Development Platforms</t>
  </si>
  <si>
    <t>Niculin Prinz, Stephan Zimmermann</t>
  </si>
  <si>
    <t>PACIS 2024 Proceedings</t>
  </si>
  <si>
    <t>A Maturity Model for Managing Low-Code Development Platform Adoption</t>
  </si>
  <si>
    <t>Niculin Prinz, Carsten Felden, Melanie Huber, Christopher Rentrop, Constanze Riedinger, et al.</t>
  </si>
  <si>
    <t>PACIS 2025 Proceedings</t>
  </si>
  <si>
    <t>FASTER, CHEAPER, BETTER? ANALYZING HOW LOW CODE DEVELOPMENT PLATFORMS DRIVE BOTTOM-UP INNOVATION</t>
  </si>
  <si>
    <t>Edona Elshan, Dominic Germann, Ernestine Dickhaut, Mahei Li</t>
  </si>
  <si>
    <t>ECIS 2023 Research-in-Progress Papers</t>
  </si>
  <si>
    <t>Digital Transformation in Small Businesses: Challenges of Citizen Developers and Low-Code Platforms</t>
  </si>
  <si>
    <t>Mahei Manhai Li, Sarah Honigsberg, Hendrik Wache, Berit Gläsel</t>
  </si>
  <si>
    <t>AMCIS 2025 Proceedings</t>
  </si>
  <si>
    <t>A FRAMEWORK TO ASSESS THE SUITABILITY OF LOW-CODE FOR BPM</t>
  </si>
  <si>
    <t>Kirill Sadovnikov, Robbert Sweijen, Jan Martijn van der Werf, Inge van de Weerd</t>
  </si>
  <si>
    <t>ECIS 2023 Research Papers</t>
  </si>
  <si>
    <t>Beyond Citizen Development: Exploring Low-Code Platform Adoption by Professional Software Developers</t>
  </si>
  <si>
    <t>Altus Viljoen, Ege Naz Altın, Andreas Hein, Helmut Krcmar</t>
  </si>
  <si>
    <t>AMCIS 2024 Proceedings</t>
  </si>
  <si>
    <t>Unleash the Power of Citizen Development: Leveraging Organizational Capabilities for Successful Low-Code Development Platform Adoption</t>
  </si>
  <si>
    <t>Niculin Prinz, Melanie Huber, Justus Leonhardt, Constanze Riedinger</t>
  </si>
  <si>
    <t>Hawaii International Conference on System Sciences 2024 (HICSS-57)</t>
  </si>
  <si>
    <t>Balancing Risks and Opportunities in the Governance of Low Code Development Platforms</t>
  </si>
  <si>
    <t>Luca Stegmann, Rebecca Berendorf, Sina Kristin Zimmermann, Andy Weeger</t>
  </si>
  <si>
    <t>ECIS 2024 Proceedings</t>
  </si>
  <si>
    <t>Business &amp; Information Systems Engineering</t>
  </si>
  <si>
    <t>Exploring the Paradoxical Relationship between Citizen and Professional Developers in Low Code Environments</t>
  </si>
  <si>
    <t>Olivia Bruhin, Philipp Ebel, Edona Elshan</t>
  </si>
  <si>
    <t>ICIS 2024 Proceedings</t>
  </si>
  <si>
    <t>Fostering Scalable Citizen Development in Organizations: Towards a Guiding Framework</t>
  </si>
  <si>
    <t>Altus Viljoen, John Nguyen, Martin Kauschinger, Andreas Hein</t>
  </si>
  <si>
    <t>AMCIS 2023 Proceedings</t>
  </si>
  <si>
    <t>Unveiling Challenges and Opportunities in Low Code Development Platforms: A StackOverflow Analysis</t>
  </si>
  <si>
    <t>Edona Elshan, Dominik Siemon, Olivia Bruhin, Damian Kedziora, Niklas Schmidt</t>
  </si>
  <si>
    <t>IT for the People: Driving Digital Innovation with Citizen Development</t>
  </si>
  <si>
    <t>Julia Maria Kraus, Thomas Hess</t>
  </si>
  <si>
    <t>Rui Huang, Yuzhu Li</t>
  </si>
  <si>
    <t>LOW CODE DEVELOPMENT: PROFESSIONALS, TASK-FORCES, AND THE WILD WEST</t>
  </si>
  <si>
    <t>Marcus B. Engelsen, Jacob Nørbjerg, Jeffry Babb</t>
  </si>
  <si>
    <t>Selected Papers of the IRIS, Issue Nr 15 (2024)</t>
  </si>
  <si>
    <t>Rapid Production of Enterprise Applications in a Low-Code Environment: Comparing the Itlingo-ASL and Powerapps Metamodels</t>
  </si>
  <si>
    <t>Patrícia Borges Vilão, Alberto Rodrigues da Silva</t>
  </si>
  <si>
    <t>Proceedings of the International Conference on Information Systems Development (ISD)</t>
  </si>
  <si>
    <t>Promoting Low-Code Development: The Elaboration Likelihood Perspective</t>
  </si>
  <si>
    <t>Yuzhu Li, Rui Huang</t>
  </si>
  <si>
    <t>UNDERSTANDING THE SOCIO-TECHNICAL ASPECTS OF LOW-CODE ADOPTION FOR SOFTWARE DEVELOPMENT</t>
  </si>
  <si>
    <t>Syed Asad Ali Naqvi, Markus Philipp Zimmer, Rehan Syed, Paul Drews</t>
  </si>
  <si>
    <t>How GuideCom Used the Cognigy.AI Low-Code Platform to Develop an AI-Based Smart Assistant</t>
  </si>
  <si>
    <t>Imke Grashoff, Jan Recker</t>
  </si>
  <si>
    <t>MIS Quarterly Executive</t>
  </si>
  <si>
    <t>Low-Coders, No-Coders, and Citizen Developers in Demand: Examining Knowledge, Skills, and Abilities Through a Job Market Analysis</t>
  </si>
  <si>
    <t>Björn Binzer, Till J. Winkler</t>
  </si>
  <si>
    <t>Wirtschaftsinformatik 2023 Proceedings</t>
  </si>
  <si>
    <t>TO COOPERATE OR TO COMPETE? – USING GAMIFIED INFORMATION SYSTEMS TO FOSTER INNOVATIVE BEHAVIOR IN EMPLOYEE-DRIVEN INNOVATION</t>
  </si>
  <si>
    <t>Luca Stegmann, Andy Weeger, Heinz-Theo Wagner</t>
  </si>
  <si>
    <t>ECIS 2025 Proceedings</t>
  </si>
  <si>
    <t>The Promise and Perils of Low-Code AI Platforms</t>
  </si>
  <si>
    <t>Maria Kandaurova, Daniel A. Skog, Petra M. Bosch-Sijtsema</t>
  </si>
  <si>
    <t>The Rise of Generative AI in Low Code Development Platforms – An Analysis and Future Directions.</t>
  </si>
  <si>
    <t>Olivia Bruhin, Ernestine Dickhaut, Edona Elshan, Mahei Li</t>
  </si>
  <si>
    <t>Introduction to the Minitrack on Design, Development, and Evaluation of Collaboration Technologies</t>
  </si>
  <si>
    <t>Philipp Alexander Ebel, Eva Bittner, Sarah Oeste-Reiß, Edona Elshan</t>
  </si>
  <si>
    <t>Low-Code vs. High-Code: Decision Criteria for Developing Business Applications</t>
  </si>
  <si>
    <t>Anna Schaetzle, Sara Jourdan, Timo Sturm, Peter Buxmann</t>
  </si>
  <si>
    <t>The Low-Code Phenomenon: Mapping the Intellectual Structure of Research</t>
  </si>
  <si>
    <t>Syed Asad Ali Naqvi, Markus Zimmer, Paul Drews, Kristina Lemmer, Rahul Basole</t>
  </si>
  <si>
    <t>Fueling Digital Transformation with Citizen Developers and Low-Code Development</t>
  </si>
  <si>
    <t>Ainara Novales, Rubén Mancha</t>
  </si>
  <si>
    <t>Engaging Business Students with “Low-Code” Model Driven Development: Self-Efficacy Beliefs in an Introductory MIS Course</t>
  </si>
  <si>
    <t>Kathie Wright, Yvonne Antonucci, Laura Anderson, Andrene Townsend</t>
  </si>
  <si>
    <t>Hawaii International Conference on System Sciences 2023 (HICSS-56)</t>
  </si>
  <si>
    <t>EXPLORING METACOGNITIVE LEARNING ON LOW-CODE DEVELOPMENT PLATFORMS</t>
  </si>
  <si>
    <t>SAIS 2025 Proceedings</t>
  </si>
  <si>
    <t>An Investigation of Why Low Code Platforms Provide Answers and New Challenges</t>
  </si>
  <si>
    <t>Edona Elshan, Ernestine Dickhaut, Philipp Alexander Ebel</t>
  </si>
  <si>
    <t>Vantagens e Desvantagens do Desenvolvimento de Sistemas de Informação com Tecnologias Low-Code – Uma Revisão de Literatura</t>
  </si>
  <si>
    <t>Fernando Araújo, João Varajão</t>
  </si>
  <si>
    <t>Bridging the Gap: Low-Code Platforms and the Future of ERP Customization</t>
  </si>
  <si>
    <t>Adrian Abendroth, Benedict Bender</t>
  </si>
  <si>
    <t>Establishing a Low-Code/No-Code-Enabled Citizen Development Strategy</t>
  </si>
  <si>
    <t>Björn Binzer, Edona Elshan, Daniel Fürstenau, Till J. Winkler</t>
  </si>
  <si>
    <t>Algorithmic Accountability of Low-Code/No-Code Artificial Intelligence: A Literature Review</t>
  </si>
  <si>
    <t>Paul Somer</t>
  </si>
  <si>
    <t>Governing Citizen Development to Address Low-Code Platform Challenges</t>
  </si>
  <si>
    <t>Altus Viljoen, Marija Radić, Andreas Hein, John Nguyen, Helmut Krcmar</t>
  </si>
  <si>
    <t>Using Five LLMs to Suggest Factors Related to the Extent of Success in IS Usage</t>
  </si>
  <si>
    <t>Steven Alter</t>
  </si>
  <si>
    <t>From Software Users to Software Creators: An Exploration of the Core Characteristics of the Citizen Developer Role and the Related Re- and Upskilling Programs</t>
  </si>
  <si>
    <t>Edona Elshan, Björn Binzer, Till J. Winlöer</t>
  </si>
  <si>
    <t>Data-Driven Decision-Making: Customizing Agile Development Application in ServiceNow for Enhanced Management Insights</t>
  </si>
  <si>
    <t>Ricardo Saenger, Vitor Santos</t>
  </si>
  <si>
    <t>MCIS 2024 Proceedings</t>
  </si>
  <si>
    <t>How Siemens Democratized Artificial Intelligence</t>
  </si>
  <si>
    <t>Benjamin van Giffen, Helmuth Ludwig</t>
  </si>
  <si>
    <t>GOVERNANCE IN IMPLEMENTING WEAKLY STRUCTURED INFORMATION SYSTEMS</t>
  </si>
  <si>
    <t>Maria Kandaurova, Adrian Bumann</t>
  </si>
  <si>
    <t>Empowering the Public Sector: Unveiling the Transformational Potential of Low-Code in Crisis Responses</t>
  </si>
  <si>
    <t>Syed Asad Ali Naqvi, Markus Zimmer, Paul Drews</t>
  </si>
  <si>
    <t>Teaching Tip: Using No-Code AI to Teach Machine Learning in Higher Education</t>
  </si>
  <si>
    <t>Leif Sundberg, Jonny Holmström</t>
  </si>
  <si>
    <t>Journal of Information Systems Education</t>
  </si>
  <si>
    <t>Personalization in Business Intelligence and Analytics Systems: A State-of-the-Art Review and Conceptualization</t>
  </si>
  <si>
    <t>Katharina Jacob, Jonas Gunklach, Alexander Mädche</t>
  </si>
  <si>
    <t>How Shell Fueled Digital Transformation by Establishing DIY Software Development</t>
  </si>
  <si>
    <t>Noel Carroll, Mary Maher</t>
  </si>
  <si>
    <t>Strategies for Managing Citizen Developers and No-Code Tools</t>
  </si>
  <si>
    <t>Olga Biedova, Blake Ives, David Male, Michael Moore</t>
  </si>
  <si>
    <t>Designing Digital Platforms as Generative Systems Through the Lens of Complex Adaptive Systems Theory</t>
  </si>
  <si>
    <t>Lana Kovacevic-Opacic, Olivera Marjanovic</t>
  </si>
  <si>
    <t>LOW-CODE DRIVEN BACKSOURCING: A PHENOMENON-FOCUSED CASE STUDY</t>
  </si>
  <si>
    <t>Johanne Thunes, Alexander Kempton</t>
  </si>
  <si>
    <t>15th Scandinavian Conference on Information Systems</t>
  </si>
  <si>
    <t>Let Employees Train Their Own Chatbots: Design of Generative AI-Enabled Delegation Systems</t>
  </si>
  <si>
    <t>Philipp Reinhard, Mahei Manhai Li, Christoph Peters, Jan Marco Leimeister</t>
  </si>
  <si>
    <t>From Novel Phenomena &amp; Challenges to Insights &amp; Solutions: A Guiding Framework for PhD Knowledge Journeys</t>
  </si>
  <si>
    <t>Stephan Leible, Andreas Drechsler, Jun-Patrick Raabe</t>
  </si>
  <si>
    <t>Co-designing ESG Platform Functionality: A Digital Platform Ecosystem Approach</t>
  </si>
  <si>
    <t>Albert Plugge, Mark De Reuver, Dragos Vieru</t>
  </si>
  <si>
    <t>Generative Artificial Intelligence in Higher Education: Mediating Learning for Literacy Development</t>
  </si>
  <si>
    <t>Sarah Honigsberg, Laura Watkowski, Andreas Drechsler</t>
  </si>
  <si>
    <t>Communications of the Association for Information Systems</t>
  </si>
  <si>
    <t>Supporting Subject Matter Experts as Developers: Towards a Framework for Decentralized Robotic Process Automation Development</t>
  </si>
  <si>
    <t>Julia Eggers, Judith Wewerka, Altus Viljoen, Helmut Krcmar</t>
  </si>
  <si>
    <t>Artificial Intelligence as a Service: Trade-Offs Impacting Service Design and Selection</t>
  </si>
  <si>
    <t>Kathrin Brecker, Sebastian Lins, Manuel Trenz, Ali Sunyaev</t>
  </si>
  <si>
    <t>ICIS 2023 Proceedings</t>
  </si>
  <si>
    <t>Next-generation IS research methods – towards a better understanding of complex and dynamic phenomena … and generative AI as the elephant in the room</t>
  </si>
  <si>
    <t>Ivo Blohm, Shaila Miranda, Shuk Ying Ho, Jan Marco Leimeister</t>
  </si>
  <si>
    <t>Journal of Information Technology</t>
  </si>
  <si>
    <t>Special Issue Editorial: Transforming Business with Low-Code and No-Code</t>
  </si>
  <si>
    <t>Noel Carroll, Jonny Holmström, Sabine Matook</t>
  </si>
  <si>
    <t>Sparking Digital Innovation: A Framework for Employee and Generative AI Involvement</t>
  </si>
  <si>
    <t>Felicitas Kuch, Christina Nicole Lane, Anna Maria Oberländer, Manuel Johannes Sauer</t>
  </si>
  <si>
    <t>Beyond IT Adoption: The Evolving Boundaries of Diffusion Research in the AI Era</t>
  </si>
  <si>
    <t>Saeed Akhlaghpour, Elena Karahanna, Eivor Oborn, Hamed Qahri-Saremi, Azadeh Savoli, et al.</t>
  </si>
  <si>
    <t>GENERATIVE AI AND THE TRANSITION OF ENTERPRISE PLATFORMS: ARCHITECTURE-GOVERNANCE ASSEMBLAGE ADJUSTMENTS</t>
  </si>
  <si>
    <t>Dorsa Safaei, Kazem Haki</t>
  </si>
  <si>
    <t>The adoption of data spaces: Drivers toward federated data sharing</t>
  </si>
  <si>
    <t>Andreas Hutterer, Barbara Krumay</t>
  </si>
  <si>
    <t>Combining Low-Code/No-Code with Noncompliant Workarounds to Overcome a Corporate System’s Limitations</t>
  </si>
  <si>
    <t>Robert M. Davison, Louie H. M. Wong, Steven Alter</t>
  </si>
  <si>
    <t>Data Anonymization as Instrument to manage Knowledge Risks in Supply Chains</t>
  </si>
  <si>
    <t>Johannes Paul Zeiringer, Jürgen Fleiß, Stefan Thalmann</t>
  </si>
  <si>
    <t>What is Business Process Automation Anyway?</t>
  </si>
  <si>
    <t>Hoang Vu, Henrik Leopold, Han Van Der Aa</t>
  </si>
  <si>
    <t>Empowering Domain Experts in Developing AI: Challenges of bottom-up ML development platforms</t>
  </si>
  <si>
    <t>Stefan Thalmann, Vladislav V. Fomin, Isabel Ramos, Thomas Gremsl, Eugene Mourzine</t>
  </si>
  <si>
    <t>Digit 2023 Proceedings</t>
  </si>
  <si>
    <t>Knowledge Sharing in Platform Ecosystems through Sponsored Online Communities: The Influence of User Roles and Media Richness</t>
  </si>
  <si>
    <t>Martin Kauschinger, Christian Münch, Maximilian Schreieck</t>
  </si>
  <si>
    <t>Risk Management of AI in Industry: A Literature Review</t>
  </si>
  <si>
    <t>Paul Somer, Stefan Thalmann</t>
  </si>
  <si>
    <t>MENACIS 2023</t>
  </si>
  <si>
    <t>Influencing Factors and Strategic Archetypes of Citizen Development: A Systematic Literature Review</t>
  </si>
  <si>
    <t>Stephan Leible, Gian-Luca Gücük, Dejan Simic</t>
  </si>
  <si>
    <t>ACIS 2024 Proceedings</t>
  </si>
  <si>
    <t>EMBRACING CONCEPTUAL MODELLING TO ENABLE THE MEDIATION ROLE OF ENTERPRISE INFORMATION SYSTEMS</t>
  </si>
  <si>
    <t>Andrei Chis, Ana-Maria Ghiran</t>
  </si>
  <si>
    <t>Experiential Learning for Citizen Developers</t>
  </si>
  <si>
    <t>Sabine Matook, Yazhu Maggie Wang, Michael Axelsen</t>
  </si>
  <si>
    <t>The Future of Enterprise Information Systems</t>
  </si>
  <si>
    <t>Ali Sunyaev, Tobias Dehling, Susanne Strahringer, Li Xu, Martin Heinig, et al.</t>
  </si>
  <si>
    <t>Industry-based IT Certifications in Higher Education Institutions: A Stakeholder Perspective</t>
  </si>
  <si>
    <t>Jayan Kurian, Zeena Alsamarra’I, Simon Thompson, Luke Nguyen-Hoan, Rosetta Romano</t>
  </si>
  <si>
    <t>Proceedings of the 2023 AIS SIGED International Conference on Information Systems Education and Research</t>
  </si>
  <si>
    <t>Enhancing Project-based Learning through Data-driven Analysis and Visualisation: A Case Study</t>
  </si>
  <si>
    <t>Dejan Simic, Stephan Leible, Dennis Schmitz, Gian-Luca Gücük, Emir Kučević</t>
  </si>
  <si>
    <t>ACIS 2023 Proceedings</t>
  </si>
  <si>
    <t>Empowering Users to Create Augmented Reality-Based Solutions – Deriving Design Principles for No-Code AR Authoring Tools</t>
  </si>
  <si>
    <t>Julia Bräker, Julia Hertel, Martin Semmann</t>
  </si>
  <si>
    <t>Metacognitive skills in low-code app development: Work-integrated learning in information systems development</t>
  </si>
  <si>
    <t>Sabine Matook, Yazhu Maggie Wang, Nuria Koeppel, Simon Guerin</t>
  </si>
  <si>
    <t>Towards Safer Incentive-Based Crowdfunding: A Blockchain-based Approach</t>
  </si>
  <si>
    <t>Anna Lena Hupe, Ulrich Bretschneider</t>
  </si>
  <si>
    <t>Data products, data mesh, and data fabric</t>
  </si>
  <si>
    <t>Ivo Blohm, Felix Wortmann, Christine Legner, Felix Köbler</t>
  </si>
  <si>
    <t>Introduction to the Minitrack on Agile and Lean: Organizations, Products and Development</t>
  </si>
  <si>
    <t>Jeffrey Saltz, Viktoria Stray, Edward Anderson, Alex Sutherland</t>
  </si>
  <si>
    <t>Management of IT Costs in the Digital Age – A Literature Review</t>
  </si>
  <si>
    <t>Constanze Riedinger, Melanie Huber, Niculin Prinz, Christopher Rentrop</t>
  </si>
  <si>
    <t>‘Leanbotics’ Case – Exploring Inclusive Synergies Between Robotic Process Automation (RPA) and Process Improvement</t>
  </si>
  <si>
    <t>Damian Kedziora, Dominik Siemon, Ramesh Sharda</t>
  </si>
  <si>
    <t>Navigating the Utopia and Dystopia Perspectives of Artificial Intelligence</t>
  </si>
  <si>
    <t>Noel Carroll, Jonny Holmström, Bernd C. Stahl, Nicolai E. Fabian</t>
  </si>
  <si>
    <t>Innovation in Operation — Dynamic Transformations in IT Routines</t>
  </si>
  <si>
    <t>Anna Wiedemann, Mario Locher, Gianluca Miscione, Mario Gellrich, Jason B. Thatcher</t>
  </si>
  <si>
    <t>The Employee Perspective in Digital Transformation Research: A Critical Review</t>
  </si>
  <si>
    <t>Anannya Devi, Pauline Weritz, Rashimah Rajah</t>
  </si>
  <si>
    <t>AMCIS2025 Awards Ceremony</t>
  </si>
  <si>
    <t>Guillermo Rodriguez-Abitia, Marie-Claude Boudreau, Jacqueline Corbett, Ashish Gupta</t>
  </si>
  <si>
    <t>AMCIS 2025 Keynote Session</t>
  </si>
  <si>
    <t>Andrew Burton-Jones, Dorothy E. Leidner, Benoit A. Aubert, Jeffrey Parsons, Wynne Chin, et al.</t>
  </si>
  <si>
    <t>How Hortilux Used Low-Code to Develop Its IoT Digital Services</t>
  </si>
  <si>
    <t>Digital Transformation of Non-profit Organizations: A Research Agenda</t>
  </si>
  <si>
    <t>Michele Cipriano, Stefano Za</t>
  </si>
  <si>
    <t>How Are Mittelstand Enterprises Navigating the Digital Transformation Process? An Exploratory Study in Germany</t>
  </si>
  <si>
    <t>Tim Kraft, Linus Lischke, Johann Kranz</t>
  </si>
  <si>
    <t>A Comparative Analysis of Open-Source Business Intelligence Platforms for Integration with a Low-Code Platform</t>
  </si>
  <si>
    <t>David Aveiro, João Mendes, Duarte Pinto, Vítor Freitas</t>
  </si>
  <si>
    <t>Developing Information Systems with the Low Code Method and a Platform</t>
  </si>
  <si>
    <t>Sabine Matook</t>
  </si>
  <si>
    <t>AIS Digital Academy</t>
  </si>
  <si>
    <t>More Than Just Efficiency: Impact of Generative AI on Developer Productivity</t>
  </si>
  <si>
    <t>Mahei Manhai Li, Ernestine Dickhaut, Olivia Bruhin, Hendrik Wache, Pauline Weritz</t>
  </si>
  <si>
    <t>Initiating and expanding data network effects: A longitudinal case study of generativity in the evolution of an AI platform</t>
  </si>
  <si>
    <t>Maria Kandaurova, Daniel A. Skog</t>
  </si>
  <si>
    <t>The Importance of Separation in the Creation and Usage Phases of Augmented Reality Content Using Social Cognitive Theory</t>
  </si>
  <si>
    <t>Kay Hönemann, Björn Konopka, Manuel Wiesche</t>
  </si>
  <si>
    <t>From Accountant to Software Developer – Transforming Employees with Robotic Process Automation (RPA)</t>
  </si>
  <si>
    <t>Dominik Siemon, Damian Kedziora</t>
  </si>
  <si>
    <t>Designing a User-Metaverse Interface for the Industrial-Metaverse</t>
  </si>
  <si>
    <t>Kay Hönemann, Björn Konopka, Jason B. Thatcher, Manuel Wiesche</t>
  </si>
  <si>
    <t>Teaching Real-time Object Detection with an Emphasis on Engagement and Inclusiveness</t>
  </si>
  <si>
    <t>Davit Khachatryan, Salvatore Parise</t>
  </si>
  <si>
    <t>AR-Based Learning in Vocational Training — Evaluation of Learning Outcome Comparing Augmented Reality and Teacher-Instructed Learning Units</t>
  </si>
  <si>
    <t>Tobias Dreesbach, Henning Gösling, Jan Schulte to Brinke, Martin Kasselmann</t>
  </si>
  <si>
    <t>WHO IS DRIVING AI-ENABLED TRANSFORMATION? TOWARDS A TAXONOMY OF CHIEF AI OFFICERS</t>
  </si>
  <si>
    <t>Chikaodi Uba, Tilo Böhmann</t>
  </si>
  <si>
    <t>Teaching Tip: An Example-Based Instructional Method to Develop Students’ Problem-Solving Efficacy in an Introductory Programming Course</t>
  </si>
  <si>
    <t>Pratibha Menon</t>
  </si>
  <si>
    <t>Making Sense of Large Language Model-Based AI Agents</t>
  </si>
  <si>
    <t>Andreas Göldi, Roman Rietsche</t>
  </si>
  <si>
    <t>Green Orientation and Crowdfunding Success of Green Projects : Moderating Role of Project Characteristics</t>
  </si>
  <si>
    <t>Rakesh Pati, Niharika Garud</t>
  </si>
  <si>
    <t>Digital sourcing: A discussion of agential, semiotic, infrastructural, combinatorial, and economic shifts</t>
  </si>
  <si>
    <t>Oliver Krancher, Rajiv Sabherwal, Ilan Oshri, Julia Kotlarsky</t>
  </si>
  <si>
    <t>Teaching Tip: Enhancing Student’s Understanding of Enterprise Systems Using Salesforce</t>
  </si>
  <si>
    <t>Jason Triche, Tianxi Dong, Jacki Landon, Ezekiel Baied</t>
  </si>
  <si>
    <t>Shifting Logic Fights: Implications for Digital Strategy</t>
  </si>
  <si>
    <t>Panagiotis Keramidis, Arisa Shollo</t>
  </si>
  <si>
    <t>Navigating the New Frontier of Information Systems Engineering</t>
  </si>
  <si>
    <t>Christoph Rosenkranz, Viktoria Stray, Manuel Wiesche</t>
  </si>
  <si>
    <t>Generative Artificial Intelligence for Enterprise Platforms</t>
  </si>
  <si>
    <t>Kazem Haki, Dorsa Safaei</t>
  </si>
  <si>
    <t>Digital Transformation Team’s Capabilities for Process Automation</t>
  </si>
  <si>
    <t>Yuzhu Li</t>
  </si>
  <si>
    <t>The Psychological Factor: How Psychological Capital Influences Employee’s Attitudes and Intentions</t>
  </si>
  <si>
    <t>Anna Schaetzle, Miriam Gräf</t>
  </si>
  <si>
    <t>From Algorithmic Management to Data- driven Labour Organising. A trade union approach to workplace datafication</t>
  </si>
  <si>
    <t>Stig Nyman, Olivia Benfeldt, Maren Gierlich-Joas, Christoffer Bagger, Sine Zambach, et al.</t>
  </si>
  <si>
    <t>Scandinavian Journal of Information Systems</t>
  </si>
  <si>
    <t>Challenging the “IS” in ISD: From Software to Sociotechnical Systems Design and Development</t>
  </si>
  <si>
    <t>Magnus Li</t>
  </si>
  <si>
    <t>No-Code Platforms in Startups: Explaining Decisions for Adoption and Abandonment</t>
  </si>
  <si>
    <t>Elizaveta Laevskaya, Syed Asad Ali Naqvi, Paul Drews</t>
  </si>
  <si>
    <t>Who needs XAI in the Energy Sector? A Framework to Upgrade Black Box Explainability</t>
  </si>
  <si>
    <t>Sarah Kristin Lier, Jana Gerlach, Michael H. Breitner</t>
  </si>
  <si>
    <t>Gnosis Freight: Harnessing Data and Low-Code to Shipping Container Visibility and Logistics</t>
  </si>
  <si>
    <t>Olga Biedova, Blake Ives, Iris Junglas</t>
  </si>
  <si>
    <t>LLM-based System Design Automation (LSDA) Using Generative AI: Exploring a Formalized Framework Based on Experiments</t>
  </si>
  <si>
    <t>Akhil Kumar, J. Leon Zhao</t>
  </si>
  <si>
    <t>DEMO Models Based Automatic Smart Contract Generation: A Case in Logistics Using Hyperledger</t>
  </si>
  <si>
    <t>David Aveiro, Leonardo Abreu, Duarte Pinto, Vítor Freitas</t>
  </si>
  <si>
    <t>Digital Adaptivity In Government Organizations</t>
  </si>
  <si>
    <t>16th Scandinavian Conference on Information Systems</t>
  </si>
  <si>
    <t>Data-Driven Micromobility Governance – A Stage Model</t>
  </si>
  <si>
    <t>Felix Niklas Bäßmann, Daniela Gabriela Waßmann, Michael Hans Breitner</t>
  </si>
  <si>
    <t>Wirtschaftsinformatik 2024 Proceedings</t>
  </si>
  <si>
    <t>AIS Teaching Curation Project: The Introductory Course in Information Systems</t>
  </si>
  <si>
    <t>James Burleson, Teagen Nabity-Grover, Karim Jetha</t>
  </si>
  <si>
    <t>AI in Forecasting: A Missing Component in ERP Systems?</t>
  </si>
  <si>
    <t>Sebastian Junghans, Tim Neumann, Tobias Teich</t>
  </si>
  <si>
    <t>Prototyping AI-Powered Social Innovation in an Undergraduate MIS course</t>
  </si>
  <si>
    <t>Yu Chen, Leslie J. Albert, Heather Macias</t>
  </si>
  <si>
    <t>ARCHITECTURE WORK: MODES OF ARCHITECTING IN LARGE-SCALE INFRASTRUCTURES</t>
  </si>
  <si>
    <t>Anne Kristin S. Ajer, Egil Øvrelid</t>
  </si>
  <si>
    <t>What Does it Take to Connect? Unveiling Characteristics of Data Space Connectors</t>
  </si>
  <si>
    <t>Anna Gieß, Marius Hupperz, Thorsten Schoormann, Frederik Möller</t>
  </si>
  <si>
    <t>Leveraging Generative AI in Enterprise Contexts: Towards a Paradox Theory and Organizational Boundary Work Approach</t>
  </si>
  <si>
    <t>Altus Viljoen, Andreas Hein, Panos Constantinides, Helmut Krcmar</t>
  </si>
  <si>
    <t>The Rise and Fall of App Stores: How and Why Product Platforms Pivot</t>
  </si>
  <si>
    <t>Manuel Wlcek, Sebastian Otto, Felix Wortmann</t>
  </si>
  <si>
    <t>The Concept of a Smart Action – Results from Analyzing Information Systems Literature</t>
  </si>
  <si>
    <t>Rocco Xaver Richard Huber, Jannik Lockl, Maximilian Röglinger, Robin Weidlich</t>
  </si>
  <si>
    <t>Reducing the IT Talent Gap by Identifying a Standard for IT Occupations</t>
  </si>
  <si>
    <t>Richard W. Woolridge, Vess L. Johnson, Hossein Mohit, Edgar E. Hassler III</t>
  </si>
  <si>
    <t>ICIS 2024 Conference Paper Awards Session</t>
  </si>
  <si>
    <t>Sven Laumer, Christy M.K Cheung, Jason Bennett Thatcher, Robina Wahid</t>
  </si>
  <si>
    <t>Landscape of Tools for Business Analytics and Data Science – A Tutorial on KNIME</t>
  </si>
  <si>
    <t>Dursun Delen</t>
  </si>
  <si>
    <t>Proceedings of the 2024 Pre-ICIS SIGDSA Symposium</t>
  </si>
  <si>
    <t>How to Design an Engaging Online Crowdsourcing Contest in Organizations? Lessons from a German Sportswear Company</t>
  </si>
  <si>
    <t>Willi Tang, Sandra Zilker, Mohammed Al Ghadban, Benedikt Morschheuser, Martin Matzner</t>
  </si>
  <si>
    <t>Intelligent Tutoring for Law Courses: Design and Evaluation of an LLM-based System</t>
  </si>
  <si>
    <t>Florian Weber, Seyed Parsa Neshaei, Thiemo Wambsganss, Matthias Soellner</t>
  </si>
  <si>
    <t>Policy for Sociotechnical Gen AI Assessment: Leveraging End Users</t>
  </si>
  <si>
    <t>Ju Yeon Jung, Susan J. Winter</t>
  </si>
  <si>
    <t>Journal of the Association for Information Systems</t>
  </si>
  <si>
    <t>A Classification of Boundary Resources for Additive Manufacturing Platforms</t>
  </si>
  <si>
    <t>Dimitri Petrik, Dominik Morar, Simon Hiller, Marius Kurrle, Georg Herzwurm</t>
  </si>
  <si>
    <t>Re-Conceptualizing Information System Usage as Usage by (Increasingly Automated) Work Systems</t>
  </si>
  <si>
    <t>Barriers, Facilitators and Prerequisites for Robotic Process Automation Adoption in Public Administrations: A Systematic Literature Review</t>
  </si>
  <si>
    <t>Norbert Frick</t>
  </si>
  <si>
    <t>How to Convey Resilience: Towards A Taxonomy for Conversational Agent Breakdown Recovery Strategies</t>
  </si>
  <si>
    <t>Shengjia Feng</t>
  </si>
  <si>
    <t>Legitimacy Tradeoffs: Use of Low-Code/No-Code Tools and Digital Start-ups’ Funding</t>
  </si>
  <si>
    <t>Yichen Sun, Shi-Ying Lim, Khim Yong Goh</t>
  </si>
  <si>
    <t>New Trends in Cloud Based Business Intelligence Development in the Management of Business Organizations</t>
  </si>
  <si>
    <t>Damian Dziembek, Leszek Ziora</t>
  </si>
  <si>
    <t>Robotic Process Automation</t>
  </si>
  <si>
    <t>Jeannie Pridmore, Joy Godin, Paige Rutner, Feruzan Irani-Williams</t>
  </si>
  <si>
    <t>SAIS 2023 Proceedings</t>
  </si>
  <si>
    <t>Ambidextrous Scaling through an IoT Platform Ecosystem</t>
  </si>
  <si>
    <t>Dongdi Chen, Carol Hsu, Evelyn Ng, Barney Tan, Jie (Joseph) Yu</t>
  </si>
  <si>
    <t>From Words to Work: Analysis of Gendered Language in IT Job Advertisements with a Focus on Low-Code/No-Code Development Platforms</t>
  </si>
  <si>
    <t>Chijioke Ogbu, Kristina Kusanke, Rizana Joers, Björn Binzer</t>
  </si>
  <si>
    <t>Revolutionizing Crowdworking Campaigns: Conquering Adverse Selection and Moral Hazard with the Help of Smart Contracts</t>
  </si>
  <si>
    <t>Management Information Systems Quarterly</t>
  </si>
  <si>
    <t>Agile Practices for Global Challenges</t>
  </si>
  <si>
    <t>Biswadip Ghosh</t>
  </si>
  <si>
    <t>AMCIS 2023 TREOs</t>
  </si>
  <si>
    <t>Foreword IRIS47: Improving Society For ALL With IS</t>
  </si>
  <si>
    <t>Alexandra Hettich, Esli Soetens</t>
  </si>
  <si>
    <t>Enhancing Decision-Making in Low-Latency Environments: The Community Kinetic Intelligent Complex Adaptive System Model</t>
  </si>
  <si>
    <t>Regan W. Duff, Gabrielle Peko, Johnny Chan, David Sundaram</t>
  </si>
  <si>
    <t>Teaching Tip: Using Text Analytics AI Insights in Microsoft Power BI Desktop to Score Sentiments, Extract Key Phrases, and Discover Unstructured Data Patterns</t>
  </si>
  <si>
    <t>Chang Liu, Charles Downing</t>
  </si>
  <si>
    <t>Cutting through Complexity: Strategic Options for Designing a B2B Innovation Platform</t>
  </si>
  <si>
    <t>Manuel Wlcek, Sven Jung, Felix Wortmann</t>
  </si>
  <si>
    <t>Searching for Product-Market Fit with Externally Developed Components: Effects on Time to Product-Market Fit</t>
  </si>
  <si>
    <t>Emergence of IT Implementation Consequences in Organizations: An Assemblage Approach</t>
  </si>
  <si>
    <t>Abdul Sesay, Elena Karahanna, Marie-Claude Boudreau</t>
  </si>
  <si>
    <t>Indigenizing Curriculum Through Technology: A Socio-Technical Perspective</t>
  </si>
  <si>
    <t>Ree Jordan, Micheal Axelsen, Sabine Matook, Mark Bremhorst, Andrew Burton-Jones, et al.</t>
  </si>
  <si>
    <t>Editors’ Comments: The Quest for an Initial Policy about Generative AI for MIS Quarterly Executive</t>
  </si>
  <si>
    <t>Iris Junglas</t>
  </si>
  <si>
    <t>Innovating With Generative AI at CVPCorp</t>
  </si>
  <si>
    <t>Olga Biedova, Iris Junglas, Eric Villafranca, Blake Ives</t>
  </si>
  <si>
    <t>Introduction to the Minitrack on Business Process Technology</t>
  </si>
  <si>
    <t>Henrik Leopold, Han Van Der Aa, Hajo Alexander Reijers</t>
  </si>
  <si>
    <t>Editors' Comments: Special Issue on the Boards of Directors and the Governance of Technology</t>
  </si>
  <si>
    <t>Thinking Outside the Firm—Extending Digital Transformation Strategies for the Ecosystem Context</t>
  </si>
  <si>
    <t>Pauline Liebert, Simon Paul Engert, Thomas Hess</t>
  </si>
  <si>
    <t>MISQE Insight: On the Inevitability of Citizen Development</t>
  </si>
  <si>
    <t>Thomas H. Davenport</t>
  </si>
  <si>
    <t>Making Health Data Infrastructures: An Infrastructuring Perspective on Data Work</t>
  </si>
  <si>
    <t>Johanne Thunes, Alexander Moltubakk Kempton, Miria Grisot</t>
  </si>
  <si>
    <t>SJIS Preprints (Forthcoming)</t>
  </si>
  <si>
    <t>Pressure and Proximity: Micro-credentials in Higher IS Education</t>
  </si>
  <si>
    <t>KIm Normann Andersen, Mariusz Grabowski, Marius Rohde Johannessen, Lasse Berntzen, Dariusz Put</t>
  </si>
  <si>
    <t>Beyond the Digital Divide: Exploring Immigrants’ Pathways to Digital Citizenship</t>
  </si>
  <si>
    <t>Ilaria Crivellari, Ilias Pappas</t>
  </si>
  <si>
    <t>Workplace Datafication that Serves the Workers</t>
  </si>
  <si>
    <t>Margunn Aanestad</t>
  </si>
  <si>
    <t>Editors’ Comments: Guidance for Research Articles Submitted to MIS Quarterly Executive – Where Research Shapes and is Shaped by Practice</t>
  </si>
  <si>
    <t>Workshop: Building AI Applications with Dify.ai: A Hands-On Workshop</t>
  </si>
  <si>
    <t>Alex Leatherwood, Vic Matta</t>
  </si>
  <si>
    <t>MWAIS 2025 Proceedings</t>
  </si>
  <si>
    <t>The Diversified Roles of Artificial Intelligence (AI) in Software Development Processes: Productivity and Consistency</t>
  </si>
  <si>
    <t>Yorick Sanders, Dipu Shaha, Youngsoo Kim</t>
  </si>
  <si>
    <t>Stabilizing Variable Uses of Flexible Systems: A Rules-Based Perspective</t>
  </si>
  <si>
    <t>TC Eley IV, Kalle Lyytinen</t>
  </si>
  <si>
    <t>Invited Paper: Survey of Technology and Skills in Demand: The 2024 Update</t>
  </si>
  <si>
    <t>Jeff Cummings, Kevin Matthews, Thomas Janicki</t>
  </si>
  <si>
    <t>Invited Paper: Survey of Technology and Skills in Demand: The 2022 Update</t>
  </si>
  <si>
    <t>Jeff Cummings, Thomas Janicki, Kevin Matthews</t>
  </si>
  <si>
    <t>Building a Highway Where Research Shapes and is Shaped by Practice</t>
  </si>
  <si>
    <t>Rumo a um Método para Estabelecer Links de Interoperabilidade em Sistemas de Informação: Um Estudo Qualitativo na Indústria Brasileira</t>
  </si>
  <si>
    <t>Andrey G. França, Rafael Z. Frantz, Valdemar V. Graciano Neto</t>
  </si>
  <si>
    <t>ISLA 2024 Proceedings</t>
  </si>
  <si>
    <t>Introducing a New Genre to MIS Quarterly Executive</t>
  </si>
  <si>
    <t>Automation of Invoice Processing with ERP Integration Using RPA Tools</t>
  </si>
  <si>
    <t>Miguel Santos, Antonio Trigo</t>
  </si>
  <si>
    <t>CAPSI 2023 Proceedings</t>
  </si>
  <si>
    <t>Introduction to the Minitrack on Software Technology and Software Development</t>
  </si>
  <si>
    <t>Tim A. Majchrzak, Tor-Morten Grønli, Hermann Kaindl</t>
  </si>
  <si>
    <t>AS01</t>
  </si>
  <si>
    <t>AS02</t>
  </si>
  <si>
    <t>AS03</t>
  </si>
  <si>
    <t>AS04</t>
  </si>
  <si>
    <t>AS05</t>
  </si>
  <si>
    <t>AS06</t>
  </si>
  <si>
    <t>AS07</t>
  </si>
  <si>
    <t>AS08</t>
  </si>
  <si>
    <t>AS09</t>
  </si>
  <si>
    <t>AS10</t>
  </si>
  <si>
    <t>AS11</t>
  </si>
  <si>
    <t>AS12</t>
  </si>
  <si>
    <t>AS13</t>
  </si>
  <si>
    <t>AS14</t>
  </si>
  <si>
    <t>AS15</t>
  </si>
  <si>
    <t>AS16</t>
  </si>
  <si>
    <t>AS17</t>
  </si>
  <si>
    <t>AS18</t>
  </si>
  <si>
    <t>AS19</t>
  </si>
  <si>
    <t>AS20</t>
  </si>
  <si>
    <t>AS21</t>
  </si>
  <si>
    <t>AS22</t>
  </si>
  <si>
    <t>AS23</t>
  </si>
  <si>
    <t>AS24</t>
  </si>
  <si>
    <t>AS25</t>
  </si>
  <si>
    <t>AS26</t>
  </si>
  <si>
    <t>AS27</t>
  </si>
  <si>
    <t>AS28</t>
  </si>
  <si>
    <t>AS29</t>
  </si>
  <si>
    <t>AS30</t>
  </si>
  <si>
    <t>AS31</t>
  </si>
  <si>
    <t>AS32</t>
  </si>
  <si>
    <t>AS33</t>
  </si>
  <si>
    <t>AS34</t>
  </si>
  <si>
    <t>AS35</t>
  </si>
  <si>
    <t>AS36</t>
  </si>
  <si>
    <t>AS37</t>
  </si>
  <si>
    <t>AS38</t>
  </si>
  <si>
    <t>AS39</t>
  </si>
  <si>
    <t>AS40</t>
  </si>
  <si>
    <t>AS41</t>
  </si>
  <si>
    <t>AS42</t>
  </si>
  <si>
    <t>AS43</t>
  </si>
  <si>
    <t>AS44</t>
  </si>
  <si>
    <t>AS45</t>
  </si>
  <si>
    <t>AS46</t>
  </si>
  <si>
    <t>AS47</t>
  </si>
  <si>
    <t>AS48</t>
  </si>
  <si>
    <t>AS49</t>
  </si>
  <si>
    <t>AS50</t>
  </si>
  <si>
    <t>AS51</t>
  </si>
  <si>
    <t>AS52</t>
  </si>
  <si>
    <t>AS53</t>
  </si>
  <si>
    <t>AS54</t>
  </si>
  <si>
    <t>AS55</t>
  </si>
  <si>
    <t>AS56</t>
  </si>
  <si>
    <t>AS57</t>
  </si>
  <si>
    <t>AS58</t>
  </si>
  <si>
    <t>AS59</t>
  </si>
  <si>
    <t>AS60</t>
  </si>
  <si>
    <t>AS61</t>
  </si>
  <si>
    <t>AS62</t>
  </si>
  <si>
    <t>AS63</t>
  </si>
  <si>
    <t>AS64</t>
  </si>
  <si>
    <t>AS66</t>
  </si>
  <si>
    <t>AS67</t>
  </si>
  <si>
    <t>AS68</t>
  </si>
  <si>
    <t>AS69</t>
  </si>
  <si>
    <t>AS70</t>
  </si>
  <si>
    <t>AS71</t>
  </si>
  <si>
    <t>AS72</t>
  </si>
  <si>
    <t>AS73</t>
  </si>
  <si>
    <t>AS74</t>
  </si>
  <si>
    <t>AS75</t>
  </si>
  <si>
    <t>AS76</t>
  </si>
  <si>
    <t>AS77</t>
  </si>
  <si>
    <t>AS78</t>
  </si>
  <si>
    <t>AS79</t>
  </si>
  <si>
    <t>AS80</t>
  </si>
  <si>
    <t>AS81</t>
  </si>
  <si>
    <t>AS82</t>
  </si>
  <si>
    <t>AS83</t>
  </si>
  <si>
    <t>AS84</t>
  </si>
  <si>
    <t>AS85</t>
  </si>
  <si>
    <t>AS86</t>
  </si>
  <si>
    <t>AS87</t>
  </si>
  <si>
    <t>AS88</t>
  </si>
  <si>
    <t>AS89</t>
  </si>
  <si>
    <t>AS90</t>
  </si>
  <si>
    <t>AS91</t>
  </si>
  <si>
    <t>AS92</t>
  </si>
  <si>
    <t>AS93</t>
  </si>
  <si>
    <t>AS94</t>
  </si>
  <si>
    <t>AS95</t>
  </si>
  <si>
    <t>AS96</t>
  </si>
  <si>
    <t>AS97</t>
  </si>
  <si>
    <t>AS98</t>
  </si>
  <si>
    <t>AS99</t>
  </si>
  <si>
    <t>AS100</t>
  </si>
  <si>
    <t>AS101</t>
  </si>
  <si>
    <t>AS102</t>
  </si>
  <si>
    <t>AS103</t>
  </si>
  <si>
    <t>AS104</t>
  </si>
  <si>
    <t>AS105</t>
  </si>
  <si>
    <t>AS106</t>
  </si>
  <si>
    <t>AS107</t>
  </si>
  <si>
    <t>AS108</t>
  </si>
  <si>
    <t>AS109</t>
  </si>
  <si>
    <t>AS110</t>
  </si>
  <si>
    <t>AS111</t>
  </si>
  <si>
    <t>AS112</t>
  </si>
  <si>
    <t>AS113</t>
  </si>
  <si>
    <t>AS114</t>
  </si>
  <si>
    <t>AS115</t>
  </si>
  <si>
    <t>AS116</t>
  </si>
  <si>
    <t>AS117</t>
  </si>
  <si>
    <t>AS118</t>
  </si>
  <si>
    <t>AS119</t>
  </si>
  <si>
    <t>AS120</t>
  </si>
  <si>
    <t>AS121</t>
  </si>
  <si>
    <t>AS122</t>
  </si>
  <si>
    <t>AS123</t>
  </si>
  <si>
    <t>AS124</t>
  </si>
  <si>
    <t>AS125</t>
  </si>
  <si>
    <t>AS126</t>
  </si>
  <si>
    <t>AS127</t>
  </si>
  <si>
    <t>AS128</t>
  </si>
  <si>
    <t>AS129</t>
  </si>
  <si>
    <t>AS130</t>
  </si>
  <si>
    <t>AS131</t>
  </si>
  <si>
    <t>AS132</t>
  </si>
  <si>
    <t>AS133</t>
  </si>
  <si>
    <t>AS134</t>
  </si>
  <si>
    <t>AS135</t>
  </si>
  <si>
    <t>AS136</t>
  </si>
  <si>
    <t>AS137</t>
  </si>
  <si>
    <t>AS138</t>
  </si>
  <si>
    <t>AS139</t>
  </si>
  <si>
    <t>AS140</t>
  </si>
  <si>
    <t>AS141</t>
  </si>
  <si>
    <t>AS142</t>
  </si>
  <si>
    <t>AS143</t>
  </si>
  <si>
    <t>AS144</t>
  </si>
  <si>
    <t>AS145</t>
  </si>
  <si>
    <t>AS146</t>
  </si>
  <si>
    <t>AS147</t>
  </si>
  <si>
    <t>AS148</t>
  </si>
  <si>
    <t>AS149</t>
  </si>
  <si>
    <t>AS150</t>
  </si>
  <si>
    <t>AS151</t>
  </si>
  <si>
    <t>AS152</t>
  </si>
  <si>
    <t>AS153</t>
  </si>
  <si>
    <t>AS154</t>
  </si>
  <si>
    <t>AS155</t>
  </si>
  <si>
    <t>AS156</t>
  </si>
  <si>
    <t>AS157</t>
  </si>
  <si>
    <t>AS158</t>
  </si>
  <si>
    <t>AS159</t>
  </si>
  <si>
    <t>AS160</t>
  </si>
  <si>
    <t>AS161</t>
  </si>
  <si>
    <t>AS162</t>
  </si>
  <si>
    <t>AS163</t>
  </si>
  <si>
    <t>AS164</t>
  </si>
  <si>
    <t>AS165</t>
  </si>
  <si>
    <t>AS166</t>
  </si>
  <si>
    <t>AS167</t>
  </si>
  <si>
    <t>AS168</t>
  </si>
  <si>
    <t>Optimizing Business Efficiency: The Strategic Potential of Low-Code Tools in Developing Information Management Systems and Their Benefits for Companies.</t>
  </si>
  <si>
    <t>Hyggor Medeiros; Julio Moncayo; Leandro Bezerra; Fernando España; Jefferson Oliveira</t>
  </si>
  <si>
    <t>Unleash the Power of Citizen Development: Leveraging Organizational Capabilities for Successful Low-Code Development Platform Adoption.</t>
  </si>
  <si>
    <t>Niculin Prinz; Melanie Huber; Justus Leonhardt; Constanze Riedinger</t>
  </si>
  <si>
    <t>HICSS</t>
  </si>
  <si>
    <t>Adoption of low-code and no-code development: A systematic literature review and future research agenda.</t>
  </si>
  <si>
    <t>Matthew O. Ajimati; Noel Carroll; Mary Maher</t>
  </si>
  <si>
    <t>Low-Code vs. High-Code: Decision Criteria for Developing Business Applications.</t>
  </si>
  <si>
    <t>Anna Schaetzle; Sara Jourdan; Timo Sturm; Peter Buxmann</t>
  </si>
  <si>
    <t>AMCIS</t>
  </si>
  <si>
    <t>Bridging Business and IT Through Low-Code/No-Code: Insights into Business-IT Collaboration in Enterprise Citizen Developer Programs.</t>
  </si>
  <si>
    <t>Björn Binzer; Daniel Fürstenau; Till J. Winkler</t>
  </si>
  <si>
    <t>https://dblp.org/rec/conf/hicss/BinzerFW25</t>
  </si>
  <si>
    <t>Beyond Citizen Development: Exploring Low-Code Platform Adoption by Professional Software Developers.</t>
  </si>
  <si>
    <t>Altus Viljoen; Ege Naz Altin; Andreas Hein 0002; Helmut Krcmar</t>
  </si>
  <si>
    <t>A Multiple Mini Case Study on the Adoption of Low Code Development Platforms in Work Systems.</t>
  </si>
  <si>
    <t>Sebastian Käss; Susanne Strahringer; Markus Westner</t>
  </si>
  <si>
    <t>https://dblp.org/rec/journals/access/KassSW23a</t>
  </si>
  <si>
    <t>Developer discussion topics on the adoption and barriers of low code software development platforms.</t>
  </si>
  <si>
    <t>Md. Abdullah Al Alamin; Gias Uddin 0001; Sanjay Malakar; Sadia Afroz; Tameem Bin Haider; Anindya Iqbal</t>
  </si>
  <si>
    <t>Analyzing business process management capabilities of low-code development platforms.</t>
  </si>
  <si>
    <t>Apurvanand Sahay; Davide Di Ruscio; Ludovico Iovino; Alfonso Pierantonio</t>
  </si>
  <si>
    <t>Evaluating the Impact of No-Code/Low-Code Backend Services on API Development and Implementation: A Case Study Approach.</t>
  </si>
  <si>
    <t>Pratik Dhoke; Prasad Lokulwar</t>
  </si>
  <si>
    <t>Digital Transformation in Small Businesses: Challenges of Citizen Developers and Low-Code Platforms.</t>
  </si>
  <si>
    <t>Mahei Manhai Li; Sarah Hönigsberg; Hendrik Wache; Berit Gläsel</t>
  </si>
  <si>
    <t>A Maturity Model for Managing Low-Code Development Platform Adoption.</t>
  </si>
  <si>
    <t>Niculin Prinz; Carsten Felden; Melanie Huber; Christopher Rentrop; Constanze Riedinger; Stephan Zimmermann</t>
  </si>
  <si>
    <t>PACIS</t>
  </si>
  <si>
    <t>Citizen Development als Treiber der digitalen Transformation - Aktuelle Ansätze bei der Adoption von Low-Code Development Plattformen.</t>
  </si>
  <si>
    <t>Niculin Prinz; Melanie Huber; Constanze Riedinger; Christopher Rentrop</t>
  </si>
  <si>
    <t>https://dblp.org/rec/journals/hmd/PrinzHRR24</t>
  </si>
  <si>
    <t>Towards LowDevSecOps Framework for Low-Code Development: Integrating Process-Oriented Recommendations for Security Risk Management.</t>
  </si>
  <si>
    <t>Gayane Sedrakyan; Maria-Eugenia Iacob; Jos van Hillegersberg</t>
  </si>
  <si>
    <t>MoDELS</t>
  </si>
  <si>
    <t>Towards a Maturity Model for Adopting Low-Code Development Platforms.</t>
  </si>
  <si>
    <t>Niculin Prinz; Stephan Zimmermann</t>
  </si>
  <si>
    <t>Practitioners&amp;apos; Perceptions on the Adoption of Low Code Development Platforms.</t>
  </si>
  <si>
    <t>https://dblp.org/rec/journals/access/KassSW23</t>
  </si>
  <si>
    <t>EDALoCo: Enhancing the accessibility of blockchains through a low-code approach to the development of event-driven applications for smart contract management.</t>
  </si>
  <si>
    <t>Jesús Rosa-Bilbao; Juan Boubeta-Puig; Adrian Rutle</t>
  </si>
  <si>
    <t>https://dblp.org/rec/journals/csi/Rosa-BilbaoBR23</t>
  </si>
  <si>
    <t>Evaluating the usability of a system implemented on a DEMO based low-code platform.</t>
  </si>
  <si>
    <t>David Aveiro; Vítor Freitas</t>
  </si>
  <si>
    <t>PoEM Companion</t>
  </si>
  <si>
    <t>https://dblp.org/rec/conf/ifip8-1/AveiroF23</t>
  </si>
  <si>
    <t>A Comparative Analysis of Open-Source Business Intelligence Platforms for Integration with a Low-Code Platform.</t>
  </si>
  <si>
    <t>David Aveiro; João Mendes; Duarte Pinto; Vítor Freitas</t>
  </si>
  <si>
    <t>ISD</t>
  </si>
  <si>
    <t>Anomaly Detection and Business Process Orchestration for Low-Code Platform in Power System Based on Deep-Cross Model With Data Balancing.</t>
  </si>
  <si>
    <t>Jin Huang; Ming Sheng Xu; Chang Ming Zhu; Guo An Wang</t>
  </si>
  <si>
    <t>https://dblp.org/rec/journals/access/HuangXZW25</t>
  </si>
  <si>
    <t>Adaptive Sliding Window Decoding of Spatially Coupled Low-Density Parity-Check Codes: Algorithms and Energy Efficient Implementations.</t>
  </si>
  <si>
    <t>Oliver Griebel; Bilal Hammoud; Norbert Wehn</t>
  </si>
  <si>
    <t>https://dblp.org/rec/journals/access/GriebelHW24</t>
  </si>
  <si>
    <t>Extending DEMO Action Rule Specifications&amp;apos; Syntax in a Low Code Platform Based Municipality Hearing System Implementation.</t>
  </si>
  <si>
    <t>David Aveiro; Vítor Freitas; Duarte Pinto; Valentim Caires; Dulce Pacheco</t>
  </si>
  <si>
    <t>KEOD</t>
  </si>
  <si>
    <t>Understanding Low-Code Evolution, Adoption and Ecosystem for Software Development.</t>
  </si>
  <si>
    <t>Syed Asad Ali Naqvi; Paul Drews</t>
  </si>
  <si>
    <t>ICSOB Companion</t>
  </si>
  <si>
    <t>https://dblp.org/rec/conf/icsob/NaqviD24</t>
  </si>
  <si>
    <t>Design and Implementation of a Low-Code Platform in the Power Sector.</t>
  </si>
  <si>
    <t>Xinchen Wang; Peng Wang 0131; Jian Hu; Xiang Wang; Yuxiao Zhao; Shaolei Wang; Liujian Diao; Shijie Zhou 0005</t>
  </si>
  <si>
    <t>BDEIM</t>
  </si>
  <si>
    <t>Understanding the Socio-Technical Aspects of low-Code Adoption for Software Development.</t>
  </si>
  <si>
    <t>Syed Asad Ali Naqvi; Markus Philipp Zimmer; Rehan Syed; Paul Drews</t>
  </si>
  <si>
    <t>ECIS</t>
  </si>
  <si>
    <t>Rapid REST API Management in a DEMO Based Low Code Platform.</t>
  </si>
  <si>
    <t>Valentim Caires; João Vasconcelos; Duarte Pinto; Vítor Freitas; David Aveiro</t>
  </si>
  <si>
    <t>EDEWC</t>
  </si>
  <si>
    <t>Engaging Business Students with &amp;quot;Low-Code&amp;quot; Model Driven Development: Self-Efficacy Beliefs in an Introductory MIS Course.</t>
  </si>
  <si>
    <t>Kathie Wright; Yvonne L. Antonucci; Laura Anderson; Andrene Townsend</t>
  </si>
  <si>
    <t>https://dblp.org/rec/conf/hicss/WrightAAT23</t>
  </si>
  <si>
    <t>Low-code solutions integration for digital process automation - application in management.</t>
  </si>
  <si>
    <t>Liviu Ciucan-Rusu; Mihai Timus; Daniel Stefan; Calin-Adrian Comes; Elena Bunduchi; Maria-Alexandra Poptamas</t>
  </si>
  <si>
    <t>RoEduNet</t>
  </si>
  <si>
    <t>DB</t>
  </si>
  <si>
    <t>Adapted search string*:</t>
  </si>
  <si>
    <t>DBLP*</t>
  </si>
  <si>
    <t>General Search String:</t>
  </si>
  <si>
    <t>(low-code|lcdp|lowcode) (adopt|implement|factor|organization|management|guidance|business) (efficien|developer|capability|develop|applicat|platform|tool|evaluation|usability|research|study|empirical|user)</t>
  </si>
  <si>
    <t>DB01</t>
  </si>
  <si>
    <t>DB02</t>
  </si>
  <si>
    <t>DB03</t>
  </si>
  <si>
    <t>DB04</t>
  </si>
  <si>
    <t>DB05</t>
  </si>
  <si>
    <t>DB06</t>
  </si>
  <si>
    <t>DB07</t>
  </si>
  <si>
    <t>DB08</t>
  </si>
  <si>
    <t>DB09</t>
  </si>
  <si>
    <t>DB10</t>
  </si>
  <si>
    <t>DB11</t>
  </si>
  <si>
    <t>DB12</t>
  </si>
  <si>
    <t>DB13</t>
  </si>
  <si>
    <t>DB14</t>
  </si>
  <si>
    <t>DB15</t>
  </si>
  <si>
    <t>DB16</t>
  </si>
  <si>
    <t>DB17</t>
  </si>
  <si>
    <t>DB18</t>
  </si>
  <si>
    <t>DB19</t>
  </si>
  <si>
    <t>DB20</t>
  </si>
  <si>
    <t>DB21</t>
  </si>
  <si>
    <t>DB22</t>
  </si>
  <si>
    <t>DB23</t>
  </si>
  <si>
    <t>DB24</t>
  </si>
  <si>
    <t>DB25</t>
  </si>
  <si>
    <t>DB26</t>
  </si>
  <si>
    <t>DB27</t>
  </si>
  <si>
    <t>DB28</t>
  </si>
  <si>
    <t>J. Braz. Comput. Soc. Vol. 31</t>
  </si>
  <si>
    <t>J. Syst. Softw. Vol. 222</t>
  </si>
  <si>
    <t>Empir. Softw. Eng. Vol. 28</t>
  </si>
  <si>
    <t>Softw. Pract. Exp. Vol. 53</t>
  </si>
  <si>
    <t>HMD Prax. Wirtsch. Vol. 61</t>
  </si>
  <si>
    <t>Comput. Stand. Interfaces Vol. 84</t>
  </si>
  <si>
    <t>IEEE Access Vol. 13</t>
  </si>
  <si>
    <t>IEEE Access Vol. 12</t>
  </si>
  <si>
    <t xml:space="preserve">("low-code" OR "lcdp" OR "lowcode")
AND
(adopt OR implement OR factor OR organization OR management OR guidance OR business)
AND
(efficien OR developer OR capability OR develop OR applicat OR platform OR tool OR evaluation OR usability OR research OR study OR empirical OR user)
</t>
  </si>
  <si>
    <t>Adapted search string**:</t>
  </si>
  <si>
    <t>GI DL**</t>
  </si>
  <si>
    <t>GI</t>
  </si>
  <si>
    <t>Prinz, Niculin; Huber, Melanie; Riedinger, Constanze; Rentrop, Christopher</t>
  </si>
  <si>
    <t>Citizen Development als Treiber der digitalen Transformation – Aktuelle Ansätze bei der Adoption von Low-Code Development Plattformen</t>
  </si>
  <si>
    <t>HMD Praxis der Wirtschaftsinformatik: Vol. 61, No. 5</t>
  </si>
  <si>
    <t>Binzer, Björn; Winkler, Till J.</t>
  </si>
  <si>
    <t>‘To Code, or Not to Code’: Unpacking the Understanding and Difficulties of Citizen Development Programs</t>
  </si>
  <si>
    <t>INFORMATIK 2024</t>
  </si>
  <si>
    <t>Völz, Alexander; Amlashi, Danial M.; Burzynski, Patrik; Utz, Wilfrid</t>
  </si>
  <si>
    <t>ADOxx: Eine Low-Code-Plattform für die Entwicklung von Modellierungswerkzeugen</t>
  </si>
  <si>
    <t>Israt, Fahmida; Prechelt, Lutz</t>
  </si>
  <si>
    <t>Extra Difficulties of Automated Testing in Low-Code Development</t>
  </si>
  <si>
    <t>Softwaretechnik-Trends Band 45, Heft 3</t>
  </si>
  <si>
    <t>Gücük, Gian-Luca; Simic, Dejan; Leible, Stephan; Lewandowski, Tom; Kučević, Emir</t>
  </si>
  <si>
    <t>Enhancing educational insights: A real-time data analytics stack for project-basedlearning</t>
  </si>
  <si>
    <t>INFORMATIK 2023 - Designing Futures: Zukünfte gestalten</t>
  </si>
  <si>
    <t>Kampmann, Marlon; François, Peter Alois; Plattfaut, Ralf; Coners, André</t>
  </si>
  <si>
    <t>Building BPM Capabilities to Foster Process Automation Initiatives Through Inter-Organizational Training</t>
  </si>
  <si>
    <t>Projektmanagement und Vorgehensmodelle 2024 - Neues Arbeiten in Projekten – Teamarbeit neu interpretiert</t>
  </si>
  <si>
    <t>Abendroth, Adrian; Bender, Benedict</t>
  </si>
  <si>
    <t>Ein Werkzeug zur Analyse von Komplexität von Low-Code und No-Code Add-ons: Ein Design Science Ansatz</t>
  </si>
  <si>
    <t>Konersmann, Marco</t>
  </si>
  <si>
    <t>Challenges of Low Code PAAS Environments for Future Software Reengineering</t>
  </si>
  <si>
    <t>Softwaretechnik-Trends Band 44, Heft 2</t>
  </si>
  <si>
    <t>Juhás, Gabriel; Mladoniczky, Milan; Petrovič, Ľuboš</t>
  </si>
  <si>
    <t>Practical Experience with Petriflow: Enriched Process Models Serving as Implementation</t>
  </si>
  <si>
    <t>Modellierung 2024 Satellite Events</t>
  </si>
  <si>
    <t>Leible, Stephan; Simic, Dejan; Gücük, Gian-Luca; von Brackel-Schmidt, Constantin; Schlager, Steffen</t>
  </si>
  <si>
    <t>Together Forward: Employee-driven Innovation as a Driver for Twin Transformation in Higher Education</t>
  </si>
  <si>
    <t>Leible, Stephan; Simic, Dejan; Gücük, Gian-Luca; von Brackel-Schmidt, Constantin</t>
  </si>
  <si>
    <t>Citizen Developer als Katalysatoren für die Entwicklung mitarbeitergetriebener Innovationen</t>
  </si>
  <si>
    <t>Matook, Sabine; Wang, Yazhu Maggie; Axelsen, Micheal</t>
  </si>
  <si>
    <t>Business &amp; Information Systems Engineering: Vol. 67, No. 1</t>
  </si>
  <si>
    <t>A Use Case and Method for Migrating a Low Code Business Information System to a Custom Three Tier Application</t>
  </si>
  <si>
    <t>Softwaretechnik-Trends Band 45, Heft 2</t>
  </si>
  <si>
    <t>Elshan, Edona; Binzer, Björn</t>
  </si>
  <si>
    <t>Mehr als ein Trend?: Wie Low-Code die digitale Transformation unterstützt</t>
  </si>
  <si>
    <t>Skolik, Alexander; Löhr, Bernd; zur Heiden, Philipp; Bartelheimer, Christian</t>
  </si>
  <si>
    <t>Nutzung von Low- und No-Code-Anwendungen zur Automatisierung von Geschäftsprozessen in regulierten Energiemärkten</t>
  </si>
  <si>
    <t>Bolz, Pascal; Fehling, Dominic; Zdrallek, Markus</t>
  </si>
  <si>
    <t>Immersive Virtual Reality Training for Service Personnel in the Power Distribution Grid with Adaptable Training Environments</t>
  </si>
  <si>
    <t>23. Fachtagung Bildungstechnologien (DELFI 2025)</t>
  </si>
  <si>
    <t>Netz, Lukas; Michael, Judith; Rumpe, Bernhard</t>
  </si>
  <si>
    <t>From Natural Language to Web Applications: Using Large Language Models for Model-Driven Software Engineering</t>
  </si>
  <si>
    <t>Modellierung 2024</t>
  </si>
  <si>
    <t>Software Engineering 2023 - kompletter Tagungsband</t>
  </si>
  <si>
    <t>Software Engineering 2023</t>
  </si>
  <si>
    <t>Schieferdecker, Ina</t>
  </si>
  <si>
    <t>Enhancing Software Testing with Artificial Intelligence: Capabilities, Challenges, and the ai4st Taxonomy</t>
  </si>
  <si>
    <t>Butting, Arvid; Greifenberg, Timo; Hölldobler, Katrin; Kehrer, Timo</t>
  </si>
  <si>
    <t>Visualizing Model and Data Differences with Inline Diff Editors in an Enterprise Low-Code Platform</t>
  </si>
  <si>
    <t>Gißke, Carola; Weiman, Thure Georg; Schlieter, Hannes</t>
  </si>
  <si>
    <t>Advancing Virtual Coaching in Healthcare: Towards A Unified Terminology and Reference Model</t>
  </si>
  <si>
    <t>Fleschutz-Balarezo , Timo; Malzahn, Birte</t>
  </si>
  <si>
    <t>Entwicklung eines anbieterunabhängigen Lehrkonzeptes für Citizen Developer</t>
  </si>
  <si>
    <t>AKWI 2025</t>
  </si>
  <si>
    <t>Kogler, Philipp; Falkner, Andreas; Sperl, Simon</t>
  </si>
  <si>
    <t>Reliable Generation of Formal Specifications using Large Language Models</t>
  </si>
  <si>
    <t>SE 2024 - Companion</t>
  </si>
  <si>
    <t>Eichelberger, Holger; Palmer, Gregory; Niederée, Claudia</t>
  </si>
  <si>
    <t>Developing an AI-enabled Industry 4.0 platform - Performance experiences on deploying AI onto an industrial edge device</t>
  </si>
  <si>
    <t>Softwaretechnik-Trends Band 43, Heft 1</t>
  </si>
  <si>
    <t>Stevenson, Anthony Boyd; Rieck, Julia</t>
  </si>
  <si>
    <t>Retourenverhinderung durch gezielte Rabatte: Entwicklung eines KI-basierten Prototyps mit Low-Code-Technologie für den Kundendienst</t>
  </si>
  <si>
    <t>FA WI-MAW</t>
  </si>
  <si>
    <t>48. WI-MAW-Rundbrief - Komplettheft</t>
  </si>
  <si>
    <t>48. WI-MAW-Rundbrief</t>
  </si>
  <si>
    <t>Baumgarten, Christoph; Endl, Rainer; Stich, Silvan</t>
  </si>
  <si>
    <t>Professionelle Softwareentwicklung mit Low Code optimieren – eine Fallstudie</t>
  </si>
  <si>
    <t>Bano, Dorina; Michael, Judith; Rumpe, Bernhard; Varga, Simon; Weske, Mathias</t>
  </si>
  <si>
    <t>Synthesizing of Process-Aware Digital Twin Cockpits from Event Logs</t>
  </si>
  <si>
    <t>Hennig, Stefan; Schulze, Bruno; Wallisch, Franz; Anke, Jürgen</t>
  </si>
  <si>
    <t>Mit Low-Code vom digitalen Produktpass bis zur Automatisierung ganzer Wertschöpfungsketten</t>
  </si>
  <si>
    <t>Loos, Peter; Proper, Henderik A. </t>
  </si>
  <si>
    <t>Message from the Modellierung’24 Industry-Forum Chairs</t>
  </si>
  <si>
    <t>Call for Papers: International Conference on Software Business (ICSOB) – Software Business in Digital Societies</t>
  </si>
  <si>
    <t>50. WI-MAW-Rundbrief</t>
  </si>
  <si>
    <t>Elshan, Edona; Binzer, Björn; Winkler, Till J.</t>
  </si>
  <si>
    <t>François, Peter A.; Kampmann, Marlon; Plattfaut, Ralf; Coners, André</t>
  </si>
  <si>
    <t>Systematically embedding automation reuse in business process management projects</t>
  </si>
  <si>
    <t>49. WI-MAW-Rundbrief</t>
  </si>
  <si>
    <t>Faragó, David</t>
  </si>
  <si>
    <t>From Vibe to Vise Coding: Addressing the AI-Generated Code Quality Crisis</t>
  </si>
  <si>
    <t>Kogler, Philipp; Chen, Wei; Wallner, Stefan</t>
  </si>
  <si>
    <t>Code Generation for Niche Programming Languages with Large Language Models</t>
  </si>
  <si>
    <t>Software Engineering 2025 – Companion Proceedings</t>
  </si>
  <si>
    <t>Spierling, Detlev</t>
  </si>
  <si>
    <t>Mehr IT-Nachhaltigkeit und Klimaschutz durch Low-Code Development</t>
  </si>
  <si>
    <t>Wirtschaftsinformatik &amp; Management: Vol. 15, No. 2</t>
  </si>
  <si>
    <t>Projektmanagement und Vorgehensmodelle 2023 - Nachhaltige IT-Projekte</t>
  </si>
  <si>
    <t>Scharpf, Dominik; Viljoen, Altus; Hein, Andreas; Krcmar, Helmut</t>
  </si>
  <si>
    <t>Business Unit Development: Vorteile und Herausforderungen für beteiligte Mitarbeiter</t>
  </si>
  <si>
    <t>Die vier Phasen von Citizen Development-Initiativen: Treiber, Herausforderungen und Handlungsempfehlungen</t>
  </si>
  <si>
    <t>Schmietendorf, Andreas; Knuth, Michael</t>
  </si>
  <si>
    <t>Buchhinweis: Veränderungen im Software Engineering durch den Einsatz von „low code“ orientierten Softwareentwicklungsansätzen</t>
  </si>
  <si>
    <t>Dohrn, Finn; Tropmann-Frick, Marina</t>
  </si>
  <si>
    <t>Automatisierte prädiktive Analytik in der Gepäckabfertigung</t>
  </si>
  <si>
    <t>Resch, Alexandra</t>
  </si>
  <si>
    <t>.INF 2024-07 - komplettes Heft</t>
  </si>
  <si>
    <t>.inf: Vol. 2, No. 3</t>
  </si>
  <si>
    <t>Westner, Markus</t>
  </si>
  <si>
    <t>„Low-Code/No-Code: Citizen Developers and the Surprising Future of Business Applications“</t>
  </si>
  <si>
    <t>Sauer, Stefan</t>
  </si>
  <si>
    <t>Nachhaltigkeit im Fokus des Software-Reengineering</t>
  </si>
  <si>
    <t>Stevenson, Anthony Boyd; Meißner, Katherina; Rieck, Julia</t>
  </si>
  <si>
    <t>Nachhaltiges Retourenmanagement im E-Commerce: Entwicklung eines Klassifikationsmodells zur Identifizierung von nicht mehr verwendbaren Retouren</t>
  </si>
  <si>
    <t>GI-Fachgruppe Frauen und Informatik</t>
  </si>
  <si>
    <t>Frauen machen Informatik 2025/49- Komplettes Heft</t>
  </si>
  <si>
    <t>Vol. 49, Nachhaltige IT und Alternativen zu Big Tech</t>
  </si>
  <si>
    <t>Erb, Ulrike</t>
  </si>
  <si>
    <t>Nachhaltige IT und Alternativen zu Big Tech</t>
  </si>
  <si>
    <t>Brem, Melanie; Lienhardt, Max; Beckmann, Helmut</t>
  </si>
  <si>
    <t>"Serviceorientierte Gestaltung der IT-Organisation: Eine systematische Analyse bestehender Konzepte IT-Organisation"</t>
  </si>
  <si>
    <t>Wimmer, Maria A</t>
  </si>
  <si>
    <t>Die Intelligenz der Städte</t>
  </si>
  <si>
    <t>Offen gesagt</t>
  </si>
  <si>
    <t>Quante, Jochen; Konersmann, Marco; Sauer, Stefan; Schilling, Daniela; Schulze, Sandro</t>
  </si>
  <si>
    <t>Vorwort zum 25. Workshop Software-Reengineering und -Evolution (WSRE)</t>
  </si>
  <si>
    <t>Softwaretechnik-Trends Band 43, Heft 2</t>
  </si>
  <si>
    <t>GI01</t>
  </si>
  <si>
    <t>GI02</t>
  </si>
  <si>
    <t>GI03</t>
  </si>
  <si>
    <t>GI04</t>
  </si>
  <si>
    <t>GI05</t>
  </si>
  <si>
    <t>GI06</t>
  </si>
  <si>
    <t>GI07</t>
  </si>
  <si>
    <t>GI08</t>
  </si>
  <si>
    <t>GI09</t>
  </si>
  <si>
    <t>GI10</t>
  </si>
  <si>
    <t>GI11</t>
  </si>
  <si>
    <t>GI12</t>
  </si>
  <si>
    <t>GI13</t>
  </si>
  <si>
    <t>GI14</t>
  </si>
  <si>
    <t>GI15</t>
  </si>
  <si>
    <t>GI16</t>
  </si>
  <si>
    <t>GI17</t>
  </si>
  <si>
    <t>GI18</t>
  </si>
  <si>
    <t>GI19</t>
  </si>
  <si>
    <t>GI20</t>
  </si>
  <si>
    <t>GI21</t>
  </si>
  <si>
    <t>GI22</t>
  </si>
  <si>
    <t>GI23</t>
  </si>
  <si>
    <t>GI24</t>
  </si>
  <si>
    <t>GI25</t>
  </si>
  <si>
    <t>GI26</t>
  </si>
  <si>
    <t>GI27</t>
  </si>
  <si>
    <t>GI28</t>
  </si>
  <si>
    <t>GI29</t>
  </si>
  <si>
    <t>GI30</t>
  </si>
  <si>
    <t>GI31</t>
  </si>
  <si>
    <t>GI32</t>
  </si>
  <si>
    <t>GI33</t>
  </si>
  <si>
    <t>GI34</t>
  </si>
  <si>
    <t>GI35</t>
  </si>
  <si>
    <t>GI36</t>
  </si>
  <si>
    <t>GI37</t>
  </si>
  <si>
    <t>GI38</t>
  </si>
  <si>
    <t>GI39</t>
  </si>
  <si>
    <t>GI40</t>
  </si>
  <si>
    <t>GI41</t>
  </si>
  <si>
    <t>GI42</t>
  </si>
  <si>
    <t>GI43</t>
  </si>
  <si>
    <t>GI44</t>
  </si>
  <si>
    <t>GI45</t>
  </si>
  <si>
    <t>GI46</t>
  </si>
  <si>
    <t>GI47</t>
  </si>
  <si>
    <t>GI48</t>
  </si>
  <si>
    <t>GI49</t>
  </si>
  <si>
    <t>GI50</t>
  </si>
  <si>
    <t>GI51</t>
  </si>
  <si>
    <t>German,English</t>
  </si>
  <si>
    <t>German</t>
  </si>
  <si>
    <t>German;English</t>
  </si>
  <si>
    <t>Highly relevant</t>
  </si>
  <si>
    <t>"As low-code/no-code citizen development programs become more prevalent...a new approach to collaboration between business units and IT units is essential...we conducted a multi-case study involving 18 firms..." (Abstract)</t>
  </si>
  <si>
    <t>"This paper uses a combinatorial approach to research LCDP adoption and presents the results of a multiple mini case study with 36 cases on LCDP adoption...identify three archetypes for LCDP adoption..." (Abstract)</t>
  </si>
  <si>
    <t>"Low-Code Development Platforms (LCDPs) foster digital transformation...This paper therefore provides a holistic picture of the practical understanding and current approaches...analyzed 16 expert interviews..." (Abstract)</t>
  </si>
  <si>
    <t>"We conducted semi-structured interviews and a Delphi study with 17 experts...identified 12 drivers and 19 inhibitors for adopting LCDPs...empirically validates drivers and inhibitors for LCDP adoption..." (Abstract)</t>
  </si>
  <si>
    <t>"we propose a low-code approach, called EDALoCo, that facilitates the development of event-driven applications for smart contract management...graphical flows...user-friendly...open-source Node-RED low-code platform..." (Abstract)</t>
  </si>
  <si>
    <t xml:space="preserve">	"low-code platforms have gained prominence as a popular method for information systems development...DISME (Dynamic Information System Modeller and Executor)...platform’s usability underwent comprehensive assessment..." (Abstract)</t>
  </si>
  <si>
    <t>"This paper presents...an innovative approach to anomaly detection in electric vehicle (EV) charging platforms...deep learning architecture...business process orchestration for low-code platform..." (Abstract)</t>
  </si>
  <si>
    <t>"Given that low-code is an emerging research phenomenon, there is little understanding of its origins, adoption motives and approaches, and its ecosystem...intellectual map of the low-code literature..." (Abstract)</t>
  </si>
  <si>
    <t>Included</t>
  </si>
  <si>
    <t>English, German</t>
  </si>
  <si>
    <t>"Dieser Artikel liefert daher ein umfassendes Bild über das praktische Verständnis und aktuelle Ansätze in verschiedenen Organisationen und leitet daraus Handlungsempfehlungen ab. Dafür wurden 16 Experteninterviews durchgeführt und wissenschaftlich analysiert."</t>
  </si>
  <si>
    <t>No (Conceptual)</t>
  </si>
  <si>
    <t>"Dieser Beitrag präsentiert einen konzeptionellen Low-Code-Ansatz für Open-Source-Metamodellierungsplattformen, der auf Basis von ADOxx prototypisch umgesetzt ist. Hierbei spielen Low-Code-Konzepte wie visuelle Drag-and-Drop-Editoren, Point-and-Click-Interaktionen, sowie das Prinzip der Wiederverwendung eine zentrale Rolle."</t>
  </si>
  <si>
    <t>"Dieses Papier berichtet von industriellen Erfahrungen mit automatisiertem Testen im Kontext der Low-Code Entwicklung auf einer LC-Plattform. Es erklärt die Herausforderungen und mögliche Lösungen bei der Anpassung von TDD und BDD..."</t>
  </si>
  <si>
    <t>"Um die Eignung einer LCP/NCP für spezielle Anwendungsfälle zu bewerten, entwickelt dieser Beitrag ein Messinstrument zur Erfassung der Komplexität von Add-on-Stores unter Anwendung der Design Science Research Methode (DSR)... Die Bewertung basiert auf der Analyse von 1483 Add-ons..."</t>
  </si>
  <si>
    <t>No (Review)</t>
  </si>
  <si>
    <t>"Wir präsentieren einen Industrieeinsatz und unsere Methode zur Transformation eines Low-Code-Informationssystems in eine benutzerdefinierte Drei-Schichten-Architektur."</t>
  </si>
  <si>
    <t>"At the core of the VES is a custom low-code authoring framework that allows power distribution system operators (DSOs) to develop tailored training content..."</t>
  </si>
  <si>
    <t>"We evaluate the usage of Large Language Models (LLMs) to transform natural language into models of a predefined domain-specific language within the context of model-driven software engineering..."</t>
  </si>
  <si>
    <t>"Models of low-code platforms are often of non-textual nature to be suited best for citizen developers as their creators. This poses special challenges for visualizing model differences..."</t>
  </si>
  <si>
    <t>No (Conceptual/model, review-based SLR)</t>
  </si>
  <si>
    <t>"LCNC-Plattformen können Vorteile mit sich bringen wie gesteigerte digitale Kompetenzen und Zufriedenheit...Reduktion von Entwicklungszeiten...Dieser Artikel stellt die Entwicklung eines modularen LCNC-Lehrkonzeptes vor..."</t>
  </si>
  <si>
    <t>"supports flexible AI deployment through employing a highly configurable low-code based approach, where code for tailored platform components and applications is generated..."</t>
  </si>
  <si>
    <t>"Die Hauptkomponente des Prototyps ist ein KI-basiertes Modell...Mit Hilfe der Low-Code-Technologie myCBR konnten der Entwicklungsprozess beschleunigt und die Entwicklungskosten gering gehalten werden..."</t>
  </si>
  <si>
    <t>No (Editorial/issue, not primary research)</t>
  </si>
  <si>
    <t>"Die vorliegende Fallstudie vergleicht zwei mit Low Code durchgeführte Softwareentwicklungsprojekte...welche Einflussfaktoren eine gelungene Realisierung dieser Potenziale in den Projekten sicherstellen."</t>
  </si>
  <si>
    <t>"Anhand eines Herstellers von Maschinenkomponenten wird gezeigt, welche Rolle Low-Code-Ansätze für die digitale Transformation in mittelständischen Unternehmen spielen..."</t>
  </si>
  <si>
    <t>No (Editorial/message)</t>
  </si>
  <si>
    <t>No (CFP/editorial)</t>
  </si>
  <si>
    <t>No (Editorial/short)</t>
  </si>
  <si>
    <t>"Diese Forschungsarbeit untersucht die praktische Implementierung von Business Unit Development Programmen...um Auswirkungen auf beteiligte Mitarbeitende zu identifizieren. ...eine umfassende Einzelfallstudie..."</t>
  </si>
  <si>
    <t>"Dieser Artikel beleuchtet diese Fragestellung basierend auf Interviews mit 21 Verantwortlichen für Citizen Development aus 16 verschiedenen Unternehmen..."</t>
  </si>
  <si>
    <t>No (Book note/overview)</t>
  </si>
  <si>
    <t>No (Issue)</t>
  </si>
  <si>
    <t>No (Overview/editorial)</t>
  </si>
  <si>
    <t>No (Perspective/overview)</t>
  </si>
  <si>
    <t>No (Issue/overview)</t>
  </si>
  <si>
    <t>No (Commentary/discussion)</t>
  </si>
  <si>
    <t>No (Roundtable/discussion)</t>
  </si>
  <si>
    <t>No (Editorial/preface)</t>
  </si>
  <si>
    <t>"Unsere Analyse basiert auf umfassender Literaturrecherche und über 3 Interviews mit Vertretern aus über 2 Unternehmen. Die Ergebnisse verdeutlichen, dass Low-Code-Plattformen nicht nur die Entwicklungszeit und -kosten reduzieren, sondern auch eine Kultur der Innovation und Zusammenarbeit innerhalb der Unternehmen fördern."</t>
  </si>
  <si>
    <t>Not a paper</t>
  </si>
  <si>
    <t>not in time scope</t>
  </si>
  <si>
    <t>Not in english</t>
  </si>
  <si>
    <t>not an article</t>
  </si>
  <si>
    <t>not a paper</t>
  </si>
  <si>
    <t>Spanish</t>
  </si>
  <si>
    <t>Organizations have adopted low-code development platforms as they promise the quick, flexible, and inexpensive automation of processes.</t>
  </si>
  <si>
    <t>This publication aims to provide a starting point of such an approach by developing a maturity model and deriving key consideration for LCDP adoption.</t>
  </si>
  <si>
    <t>Yet, many organizations lack the necessary knowledge and experience to successfully manage LCDP adoption.</t>
  </si>
  <si>
    <t>Using action design research, this study develops a model-based framework of 21 organizational capabilities for successful LCDP adoption.</t>
  </si>
  <si>
    <t>Whereas the idea of end-user development is not new or novel, the low-code context presents a fresh occasion to understand the breadth and depth of IT professionalizing and present implications for IT Governance, training, and the low-code platforms themselves.</t>
  </si>
  <si>
    <t>However, they often use proprietary languages making it challenging to interoperate with other systems or switch to different low-code platforms, resulting in vendor lock-in situations.</t>
  </si>
  <si>
    <t>GuideCom, a medium-sized German software provider, adopted a low-code approach to develop its first AI product.</t>
  </si>
  <si>
    <t>The emergence of low-code/no-code (LCNC) platform technologies and the resulting increase in citizen development programs are facilitating the democratization of the design, development, and deployment of digital solutions.</t>
  </si>
  <si>
    <t>To address this gap, we studied the effect of cooperative and competitive gamification designs on low-code development platforms.</t>
  </si>
  <si>
    <t>As organizations embrace artificial intelligence (AI) for business process automation, they face challenges with its adoption.</t>
  </si>
  <si>
    <t>The term low-code has been closely associated with simplifying and accelerating software development.</t>
  </si>
  <si>
    <t>“Low-code/no-code” (LC/NC) platforms are designed to empower non-IT business professionals to use model driven development to rapidly create sophisticated applications.</t>
  </si>
  <si>
    <t>Emerging technologies and innovations have profoundly changed the skillsets required from knowledge workers as organizations increasingly rely on low-code development platforms to support citizen development of business applications.</t>
  </si>
  <si>
    <t>To provide a coherent understanding of the phenomenon low code in SMEs, we review extant literature and conduct interviews, identifying potential application domains and conceptualizing the benefits and challenges of low code from a holistic perspective.</t>
  </si>
  <si>
    <t>Low-code/no-code platforms are powerful tools that enable “citizen developers”— employees with little or no IT background—to quickly create digital solutions.</t>
  </si>
  <si>
    <t>Here, we present an approach to address this challenge by using no-code AI in a course for university students with diverse educational backgrounds.</t>
  </si>
  <si>
    <t>No-code and low-code development tools promise faster development and productivity gains by circumventing the traditional IT bottleneck.</t>
  </si>
  <si>
    <t>In this paper, we conceptualize and investigate the emerging phenomenon of low-code driven backsourcing.</t>
  </si>
  <si>
    <t>Firms seize RPA for fast and cost-efficient low-code process automation implemented and maintained decentrally in the business units by subject matter experts (SMEs) without IT development experience.</t>
  </si>
  <si>
    <t>This Special Issue is dedicated to the study of LCNC in contemporary organizations.</t>
  </si>
  <si>
    <t>We explore a novel context where employees engage in low-code no-code work, enabled by software-based workarounds that don’t comply with organizational norms and aren’t endorsed by corporate management, yet are essential to organizational success.</t>
  </si>
  <si>
    <t>No- and low-code AI tools empower domain experts to develop AI and thus foster organizational innovation.</t>
  </si>
  <si>
    <t>Citizen developers and low-code platforms considerably change how software is created because the development of business applications transgresses the boundaries of organizational IT departments.</t>
  </si>
  <si>
    <t>By applying a case study in an Australian university, we explore the challenges and potential of IBC to create value (social, functional, and emotional) to stakeholders in the ecosystem.</t>
  </si>
  <si>
    <t>In a low-code WIL course, the focus is on the practical development experiences and the delivery of a business application based on client’s requirements.</t>
  </si>
  <si>
    <t>This paper’s main contributions are the comparative analysis of open source business intelligence platforms, having as background aim, the selection of the most appropriate one for its integration in an open source low-code platform we are developing.</t>
  </si>
  <si>
    <t>Organizations and their sourcing practices have been undergoing significant shifts in the digital era, involving not only human but also technology agency (e.g., artificial intelligence), malleable digital assets that can be flexibly recombined (e.g., in platform ecosystems and low-code development), and digital technology that attenuates bounded rationality (e.g., generative artificial intelligence).</t>
  </si>
  <si>
    <t>One established method for enriching the learning experience involves the adoption of a visual, workflow-type, no-code software platform.</t>
  </si>
  <si>
    <t>These employees use low-code and no-code platforms such as Mendix, UIPath, and many more to create specialized technical solutions.</t>
  </si>
  <si>
    <t>Results from a short survey administered to these students showed that the students, using the no-code Power BI, were able to accomplish their text analytics tasks in a shorter period, and with less overall effort, as compared to using traditional code-rich text analytics methods.</t>
  </si>
  <si>
    <t>This hands-on workshop introduces participants to Dify.ai, an open-source, low-code platform for building AI-powered agents.</t>
  </si>
  <si>
    <t>Maybe/Unknown</t>
  </si>
  <si>
    <t>Towards Integrating Low-Code in View-based Development | VENUE: Proceedings of the ACM/IEEE 27th International Conference on Model Driven Engineering Languages and Systems | ABSTRACT: In recent years, low-code development has been established as an innovative method for software development.</t>
  </si>
  <si>
    <t>Automated Implementation Scheme for Low-Code Development Based on Large Language Models | VENUE: Proceedings of the 2024 4th International Conference on Signal Processing and Communication Technology | ABSTRACT: This paper presents an implementation scheme that integrates low-code platforms with artificial intelligence (AI) technology to enhance the development process.</t>
  </si>
  <si>
    <t>Low-Code Quality Metrics for Agile Software Development | VENUE: Proceedings of the XXIII Brazilian Symposium on Software Quality | ABSTRACT: We present a quality metrics monitoring and analysis platform, which has been developed to support the main goal of delivering customer value at competitive costs without sacrificing quality in the context of fast digital transformation using a low-code platform and agile development methods.</t>
  </si>
  <si>
    <t>Turning Low-Code Development Platforms into True No-Code with LLMs | VENUE: Proceedings of the ACM/IEEE 27th International Conference on Model Driven Engineering Languages and Systems | ABSTRACT: The relevance of low-code / no-code development has grown substantially in research and practice over the years to allow nontechnical users to create applications and, therefore, democratise software development.</t>
  </si>
  <si>
    <t>MANILA: A Low-Code Application to Benchmark Machine Learning Models and Fairness-Enhancing Methods | VENUE: Proceedings of the 33rd ACM International Conference on the Foundations of Software Engineering | ABSTRACT: This paper presents MANILA, a web-based low-code application to benchmark machine learning models and fairness-enhancing methods and select the one achieving the best fairness and effectiveness trade-off.</t>
  </si>
  <si>
    <t>AI for Low-Code for AI | VENUE: Proceedings of the 29th International Conference on Intelligent User Interfaces | ABSTRACT: Low-code programming allows citizen developers to create programs with minimal coding effort, typically via visual (e.</t>
  </si>
  <si>
    <t>Arvisan: an Interactive Tool for Visualisation and Analysis of Low-Code Architecture Landscapes | VENUE: Proceedings of the ACM/IEEE 27th International Conference on Model Driven Engineering Languages and Systems | ABSTRACT: This paper introduces Arvisan, an interactive tool for visualization and analysis of low-code architecture landscapes.</t>
  </si>
  <si>
    <t>White-box LLM-supported Low-code Engineering: A Vision and First Insights | VENUE: Proceedings of the ACM/IEEE 27th International Conference on Model Driven Engineering Languages and Systems | ABSTRACT: Low-code development (LCD) platforms promise to empower citizen developers to define core domain models and rules for business applications.</t>
  </si>
  <si>
    <t>Poster Abstract: ST AIoT Craft - A No-Code / Low-Code Cloud Solution for Edge AI Management in Smart Sensors | VENUE: Proceedings of the 23rd ACM Conference on Embedded Networked Sensor Systems | ABSTRACT: Current sensor-gateway-cloud solutions for machine learning (ML) life cycle development require extensive coding, hardware, and software expertise.</t>
  </si>
  <si>
    <t>Design and Implementation of a Low-Code Platform in the Power Sector | VENUE: Proceedings of the 2023 4th International Conference on Big Data Economy and Information Management | ABSTRACT: With the continuous development of electric power technology and the ongoing digital transformation of the power grid, improving the efficiency of business processing on the basis of existing information levels has become an important measure to enhance management effectiveness.</t>
  </si>
  <si>
    <t>Low-code and No-code Technologies Adoption: A Gray Literature Review | VENUE: Proceedings of the XIX Brazilian Symposium on Information Systems | ABSTRACT: Context: In the last years, the software demand has been growing fast.</t>
  </si>
  <si>
    <t>A Low-Code Approach for Simulation-Based Analysis of Process Collaborations | VENUE: Proceedings of the Winter Simulation Conference | ABSTRACT: The simulation-based analysis of process collaborations introduces significant challenges, such as the ability to focus on the interchange of information and data without disclosing any internal details of collaboration participants' processes.</t>
  </si>
  <si>
    <t>Using Node-RED as a Low-Code Approach to Model Interaction Logic of Machine-Learning-Supported eHMIs for the Virtual Driving Simulator Carla | VENUE: Adjunct Proceedings of the 15th International Conference on Automotive User Interfaces and Interactive Vehicular Applications | ABSTRACT: External Human-Machine Interfaces&amp;nbsp;(eHMI) enable interaction between vehicles and Vulnerable Road Users&amp;nbsp;(VRU), for example, to warn VRUs of the car’s presence.</t>
  </si>
  <si>
    <t>Breaking Barriers in Semiconductor Simulations: An Automated Low-Code Framework for Model-Structure Synchronisation and Large-Scale Simulation Studies | VENUE: Proceedings of the Winter Simulation Conference | ABSTRACT: The paradigm shift towards Industry 4.</t>
  </si>
  <si>
    <t>Enhanced Test Case Expression for End-User Developers | VENUE: Proceedings of the 2024 ACM Southeast Conference | ABSTRACT: Low-Code Development Platforms (LCDPs) have significantly transformed the field of software development, offering streamlined solutions for application creation.</t>
  </si>
  <si>
    <t>Developing and Implementing Teacher-Created AI Tools for Cultural Expression: A Mixed-Methods Study of EFL Students' Learning of Traditional Chinese Culture | VENUE: Proceedings of the 2024 2nd International Conference on Information Education and Artificial Intelligence | ABSTRACT: This study focused on the design and application of AI tools developed by teachers to enable EFL students to express themselves in English within the context of traditional Chinese culture.</t>
  </si>
  <si>
    <t>This study focuses on the application of big data technology in service security management, analyzes the "4V" characteristics of big data technology and key technologies such as stream computing and knowledge mapping, elaborates in detail on the definition and process of service security management and its integration mode with big data technology, and constructs a closed-loop model of "perception-analysis-decision-making-feedback".</t>
  </si>
  <si>
    <t>Using No-code Platform to Accelerate Digital Transformation – The Study for Feasibility Analysis and Solution Development of Performance Visualization Cloud-computing Management System (PVCMS) | VENUE: Proceedings of the 2023 5th Asia Pacific Information Technology Conference | ABSTRACT: This study is based on government's digital transformation policy and the industry's digital development trend.</t>
  </si>
  <si>
    <t>To overcome this challenge, we integrate Model-Driven Engineering (MDE) and low-code development principles to introduce DReM, a tool for efficiently generating requirements modeling tools.</t>
  </si>
  <si>
    <t>The advent and evolution of Rapid Application Development (RAD) methodologies has facilitated the empowerment of non-programmers, particularly those with extensive business process expertise, to develop software, thus giving rise to the term 'Citizen Developers'.</t>
  </si>
  <si>
    <t>Research and Practice on the Localisation Adaptation of the Power Enterprise Information System Development Platform Xinchuang (localization) | VENUE: Proceedings of the 2024 International Conference on Power Electronics and Artificial Intelligence | ABSTRACT: The market size of low-code is rising year by year, and under the wave of enterprise digital transformation, super huge new business scenarios are needed for applications.</t>
  </si>
  <si>
    <t>Towards stability, predictability, and quality of intelligent automation services: ECIT product journey from on-premise to as-a-service | VENUE: Proceedings of the 7th ACM/IEEE International Workshop on Software-Intensive Business | ABSTRACT: The intensive transformations of software products have been widely discussed in academia and business from various perspectives, yet with limited reference to low-code technologies, such as robotic process automation (RPA).</t>
  </si>
  <si>
    <t>To address these issues, we propose a new approach combining Interface Definition Language (IDL) and graphical programming to create low-code Shellcode based on the universal Shellcode generation technology.</t>
  </si>
  <si>
    <t>Using Grammar Masking to Ensure Syntactic Validity in LLM-based Modeling Tasks | VENUE: Proceedings of the ACM/IEEE 27th International Conference on Model Driven Engineering Languages and Systems | ABSTRACT: Low-code development platforms (LCDPs) are becoming increasingly important in industry, which confronts us in academic teaching with the challenge of educating students in the basic principles, critical engagement, and evaluation of LCDPs.</t>
  </si>
  <si>
    <t>It has also been suggested as a model for lightweight, low-code development of small-scale personal and collaborative applications for managing data.</t>
  </si>
  <si>
    <t>We also develop a no-code integrated development environment, , which embodies these AI chain engineering principles and patterns naturally in the process of building AI chains, thereby improving the performance and quality of AI chains.</t>
  </si>
  <si>
    <t>This approach empowers developers and ML practitioners to translate hand-drawn sketches into functional code with enhanced accuracy and usability.</t>
  </si>
  <si>
    <t>This paper presents an intuitive low-code development system (called SensorPublisher), based on a software product line (SPL) and a domain-specific language (DSL), that speeds up the creation of data warehousing applications for geographic sensor data.</t>
  </si>
  <si>
    <t>In response, we present MakeDevice : a web-based tool that leverages an existing modular hardware prototyping platform, Jacdac, to enable low-complexity route to generate a custom ‘carrier’ PCB upon which modules can be mounted and electrically connected.</t>
  </si>
  <si>
    <t>InstructPipe: Generating Visual Blocks Pipelines with Human Instructions and LLMs | VENUE: Proceedings of the 2025 CHI Conference on Human Factors in Computing Systems | ABSTRACT: Visual programming has the potential of providing novice programmers with a low-code experience to build customized processing pipelines.</t>
  </si>
  <si>
    <t>Current low-code and zero-code development approaches fail to address the tight coupling between hardware and software as well as the performance of the generated application, limiting their applicability.</t>
  </si>
  <si>
    <t>In this study, we developed a no-code end-user robot programming interface, with the goal of our interface being to empower individuals with no programming background to easily create social robot interactions with older adults using natural language.</t>
  </si>
  <si>
    <t>Designing Fault-tolerant Modern Data Engineering Solutions with Reliability Theory as The Driving Force | VENUE: Proceedings of the 2024 9th International Conference on Machine Learning Technologies | ABSTRACT: This study has been undertaken to amalgamate the principles of Site Reliability Engineering and Data Engineering to effectively measure, monitor and manage the reliability of petabyte-scale data engineering process from collection at source to processing, analyzing, and distributing the data for appropriate decision making to improve business outcomes and system performance.</t>
  </si>
  <si>
    <t>Beatrice is a low-code interactive dialogue agent that can be seamlessly integrated into various software platforms and abstracts psychological scales.</t>
  </si>
  <si>
    <t>js, though because of the low-code design approach, no knowledge of these is necessary; and very little code is needed to get up and running.</t>
  </si>
  <si>
    <t>These observations inspired the design of WebSheets, a no-code/low-code web application development framework that provides novel support for security and privacy.</t>
  </si>
  <si>
    <t>Facilitating Environmental Monitoring for Sustainable Smart Regions by Enabling Citizen Co-Creation | VENUE: Proceedings of the Central and Eastern European EDem and EGov Days 2024 | ABSTRACT: In this paper, a conceptual framework designed to transform citizens in sustainable and smart regions from passive users and consumers into active co-creating citizen developers through a Low-Code and No-Code (LCNC) Smart Service Manager is presented.</t>
  </si>
  <si>
    <t>Trends in Gaming - Views of Industry Professionals and Game Scholars | VENUE: Proceedings of the 20th International Conference on the Foundations of Digital Games | ABSTRACT: This paper presents findings from a three-year survey study (2022 –2024) examining evolving trends in the game industry, drawing insights from professionals across industry roles and academia.</t>
  </si>
  <si>
    <t>Queries range from high-level (low-code) or highly technical (high-code).</t>
  </si>
  <si>
    <t>The course is low-code, exploring concepts and applications through a collection of visual tools.</t>
  </si>
  <si>
    <t>*</t>
  </si>
  <si>
    <t>TITLE: Lowcaf: A Low-Code Protocol Analysis Framework | Abstract: Evaluating a communication protocol’s design in terms of compliance and security is a very complex and time-consuming task. It requires the configuration of suitable test environments and test scenarios as well as the evaluation of procedures and handling of network traffic. A plethora of tools and frameworks exist that tackle individual problems of low-level networking but they usually presume robust programming skills and lack visualization. In contrast we propose an approach, derived from node-based processing systems, that conveys a clear logical picture that is still flexible and extensible enough to be adaptable to real-time processing or simulation of arbitrary networking components. In this paper, we present the concept for a visually programmable low-code communication protocol analysis framework (Lowcaf) that can be used either stand-alone to simulate network components or be used together with arbitrary backends. We also showcase our prototypical implementation of this framework and how it can be combined with the popular deterministic network simulator ns-3. | Keywords: network analysis;protocol analysis;low-code;scapy;ns-3 Visualization;Protocols;Telecommunication traffic;Programming;Real-time systems;Security | DOI: 10.23919/CNSM62983.2024.10814380 Venue: CNSM</t>
  </si>
  <si>
    <t>incl. Venue</t>
  </si>
  <si>
    <t>TITLE: Gutek: Intelligent Revision Algorithms | Abstract: This paper introduces Gutek, a novel open-source framework designed to optimize the learning process through intelligent revision algorithms. Gutek is built on a low-code architecture that facilitates rapid customization and extension with minimal alterations to the core codebase. By leveraging the Spring Framework, the system automates essential processes such as dependency injection, component management, and database operations via Spring Data JPA, while employing reflection to dynamically integrate new revision algorithms, charts, and custom card types. The framework supports bidirectional revision interfaces, offering both conventional and reverse revision modes to enhance memory retention and accommodate diverse learning strategies. Comparative evaluations with established open-source systems, including Anki, Mnemosyne, and OpenCards, reveal that Gutek maintains lower code complexity and superior maintainability, as demonstrated by comprehensive software quality metrics and user-based extensibility assessments. Specifically, Gutek exhibits up to 80% fewer lines of code compared to Anki and Mnemosyne and achieves the lowest number of critical issues reported in SonarQube analysis. These results indicate that Gutek provides extensive customization capabilities with minimal coding effort, making it especially suitable for educators, developers, and practitioners seeking a flexible yet robust learning tool. | Keywords: Customizable algorithms;intelligent revision;learning optimization;spaced repetition;two-way memory training;educational software Java;Software;Codes;Software algorithms;Complexity theory;Graphical user interfaces;Software development management;Optimization;Databases;Computer architecture | DOI: 10.1109/ACCESS.2025.3570624 Venue: IEEE Access</t>
  </si>
  <si>
    <t>TITLE: Low-Code Languages in IT Education: Integrating Theory and Practice | Abstract: Programming is basically about humans telling computers what to do in programming languages that computers understand but humans do not as much. Because of that, education in IT focuses on teaching students principles of programming together with concrete programming languages needed to develop different parts of applications. For example, to develop web enterprise applications, such as e-commerce applications, using standard technology stack, students first need to learn principles of databases and database languages, such as entity-relationship diagrams and SQL, principles of programming application layer such as object-oriented programming and related languages, such as Java, and programming languages used in presentation layer such as HTML and JavaScript. Only then are students able to develop web applications. Low-code languages’ objective is to offer a tool that both computers and humans understand. When using a suitable low-code language, such as Petriflow based on object-centric processes, by learning principles of object-centric processes and just one language, students can quickly learn how to develop web process-based applications. We illustrate such application development using low code language on practical examples. | Keywords:  Computers;Structured Query Language;Java;Electronic learning;Databases;Education;Electronic commerce | DOI: 10.1109/ICETA61311.2023.10343807 Venue: 2023 21st International Conference on Emerging eLearning Technologies and Applications (ICETA)</t>
  </si>
  <si>
    <t>TITLE: Data Analytics Environment: Combining Visual Programming and MLOps for AI workflow creation | Abstract: In the Industry 4.0 scene, Artificial Intelligence (AI) is sought after as a new way of getting a competitive advantage from other market competitors. This technology can support not only in-line production status assessment processes, which enable a better control over the quality of the final product, but also to identify potential bottlenecks and other inefficiencies that can exist or occur in production processes. However, this technology has some obstacles that make its access difficult for businesses that do not have the necessary resources for implementing AI solutions, whether due to the intrinsic difficulty to handle such technologies, which require specialists (engineers, data scientists) that are not normally part of industrial human resources, or due to the integration and management of these technologies with already established processes and environments. To approach these technological accessibility challenges, some concepts are being applied, such as in the case of no code/low code solutions, i.e., the reduction or complete removal of programming requirements while using these technologies, and Machine Learning Operations (MLOps), where the integration and life cycle management of these solutions use the same approach as DevOps but applied and adapted to AI technologies. This paper presents an innovative, open-source and scalable approach towards AI pipeline creation, integration, and life cycle management in Industry 4.0 scenarios, in which these no code/low code and MLOps concepts are used, as well as a real-life application in the manufacturing industry. | Keywords: MLOps;AI workflows;No-code/Low-code platforms;Industry 4.0 Visualization;Technological innovation;Codes;Pipelines;Process control;Production;Programming;User experience;Fourth Industrial Revolution;Artificial intelligence | DOI: 10.1109/ICE/ITMC61926.2024.10794244 Venue: 2024 IEEE International Conference on Engineering, Technology, and Innovation (ICE/ITMC)</t>
  </si>
  <si>
    <t>TITLE: WhatsNext: Guidance-enriched Exploratory Data Analysis with Interactive, Low-Code Notebooks | Abstract: Computational notebooks such as Jupyter are popular for exploratory data analysis and insight finding. Despite the module-based structure, notebooks visually appear as a single thread of interleaved cells containing text, code, visualizations, and tables, which can be unorganized and obscure users' data analysis workflow. Furthermore, users with limited coding expertise may struggle to quickly engage in the analysis process. In this work, we design and implement an interactive notebook framework, WhatsNext, with the goal of supporting low-code visual data exploration with insight-based user guidance. In particular, we (1) re-design a standard notebook cell to include a recommendation panel that suggests possible next-step exploration questions or analysis actions to take, and (2) create an interactive, dynamic tree visualization that reflects the analytic dependencies between notebook cells to make it easy for users to see the structure of the data exploration threads and trace back to previous steps. | Keywords: Visual analytics;Interactive systems and tools Visualization;Data analysis;Codes;Navigation;Instruction sets;Data visualization;Encoding | DOI: 10.1109/VL-HCC57772.2023.00033 Venue: 2023 IEEE Symposium on Visual Languages and Human-Centric Computing (VL/HCC)</t>
  </si>
  <si>
    <t xml:space="preserve">TITLE: Deep Learning in Fuzzing: A Literature Survey | Abstract: Fuzzing is one of the most popular vulnerability discovery techniques today. Traditional fuzzing is faced with many drawbacks such as poor efficiencies and low code coverage, and expert experience largely determines the effect of fuzzing. Deep learning, which has made remarkable achievements in a variety of artificial intelligence(AI) research areas, provides promising ways for the development of fuzzing. This paper provides a comprehensive review of fuzzing techniques based on deep learning methods. First, we give an introduction to fuzzing and deep learning. Then, we introduce the application research of deep learning methods in fuzzing from the perspective of test cases and program analysis in the fuzzing process. Finally, we conclude the limitations and challenges faced in the current research of fuzzing techniques based on deep learning methods and discuss new trends and potential directions for the future development of this field. | Keywords: fuzzing;software security;vulnerability discovery;deep learning Deep learning;Codes;Automation;Conferences;Organizations;Fuzzing;Market research | DOI: 10.1109/ICETCI55101.2022.9832143 Venue: </t>
  </si>
  <si>
    <t xml:space="preserve">TITLE: Email Ingestion Using Robotic Process Automation for Online Travel Agency | Abstract: Robotic Process Automation is blooming technology. RPA is a low code platform that is used to automate the software task. RPA is being used to automate the frontend and backend of business processes to increase the efficiency and reduce the manpower. The RPA is mainly used for copy, paste, moving and scrapping data from various sources such as websites, app, email and excel sheets. The RPA is considered the most efficient technology for performing the repetitive tasks. In this research we have proposed a design for extracting the data from the email and storing the data automatically using RPA. | Keywords: Workflow Automation;Power Automate;Email;SharePoint List;Email Ingestion Productivity;Industries;Codes;Organizations;Market research;Software;Reliability | DOI: 10.1109/ICRITO51393.2021.9596472 Venue: </t>
  </si>
  <si>
    <t>TITLE: AI-Enhanced IoT Systems in Operations Centers: Advancing Sustainable Development and Social Responsibility | Abstract: In organizations adopting Internet of Things (IoT) solutions, managing diverse systems with incompatible APIs poses significant challenges to sustainability and social responsibility. To address this, we introduce AUtalk, an artificial intelligence (AI)-enhanced integrated operations center (IOC) framework for centralized management of heterogeneous IoT systems. AUtalk offers a low-code, no-code environment for seamless IoT integration, enabling applications that support sustainable development goals (SDGs). Deployed in smart campuses, it optimizes resources, conserves energy, and reduces waste through AI-driven insights. Its predictive capabilities enhance maintenance efficiency and minimize resource consumption (SDG 12). Beyond sustainability, AUtalk enhances social responsibility by improving workplace safety, system transparency, and accountability. Its advanced analytics ensure over 99% message delivery accuracy, reducing downtime and resource waste. A case study of an AUtalk-managed IOC with two IoT systems highlights its effectiveness in promoting sustainability and responsible IoT operations. | Keywords: Artificial intelligence (AI);AI-enhanced Internet of Things (IoT);integrated operations center (IOC);IoT;social responsibility;sustainable development Internet of Things;Sustainable development;Smart buildings;Security;Monitoring;Codes;Asia;Artificial intelligence;Software architecture;Hospitals | DOI: 10.1109/TCSS.2025.3563549 Venue: IEEE Transactions on Computational Social Systems</t>
  </si>
  <si>
    <t>TITLE: CiRA CORE: A Low Code Platform that Makes AI Work for Industry 4.0 | Abstract: CiRA CORE is a central hub designed to connect AI technology creation with practical application, making it easier to work with ROS (Robot Operating System) and link different systems through a user-friendly drag-and-drop interface. This approach removes the need for extensive coding, making the platform accessible to those with minimal programming experience. CiRA CORE offers a comprehensive suite of features for AI development and robot control, including algorithm creation, AI model training, and device integration commonly used in industrial settings. It supports tasks like image recognition and facilitates data storage, labeling, and integration with other systems for data-driven AI development. Overall, CiRA CORE aims to democratize AI development and robot control, simplifying AI development for Industry 4.0 applications, and leading to increased efficiency, reduced costs, and improved safety in industrial processes. This paper reports the progress of the CiRA CORE training modules funded by the SMCS TEAM Program Award. The project has completed the design of a 6-axis robot 3D training kit and simulation models for CiRA CORE training modules. The next steps involve developing 3D-printed robots and training materials. The main goal is to democratize advanced robotics and AI by simplifying integration through a visual, node-based programming interface. This approach reduces the need for complex coding, making these technologies accessible to users with limited programming experience. This initiative aims to foster widespread adoption in business and industrial settings, aligning with IEEE SMC's mission to promote professional growth and innovation in robotics and AI. | Keywords: Human-Machine Interaction;Human-Machine Interface;Information Visualization Training;Visualization;Technological innovation;Solid modeling;Service robots;Robot control;Three-dimensional printing;Fourth Industrial Revolution;Artificial intelligence;Programming profession | DOI: 10.1109/SMC54092.2024.10831625 Venue: 2024 IEEE International Conference on Systems, Man, and Cybernetics (SMC)</t>
  </si>
  <si>
    <t xml:space="preserve">TITLE: Research and Application of the Mapping Process from Excel Sheet to Dynamic Form | Abstract: In the current of software development process, users’ requirements for forms are becoming more and more complicated, making manual coding development methods encounter problems such as low code reuse rate and low development efficiency. Therefore, in order to automatically generate the form page required by the developer. the process of mapping and combining the extraction and analysis technology of the Excel table with the dynamic form technology is proposed. Engineering practice has proved that the application of this method can realize the rapid development of form pages, and the code error rate can be reduced by 12%. | Keywords: Excel;dynamic form;Mapping process;Automatic generated Information science;Codes;Error analysis;Databases;Manuals;Inspection;Software | DOI: 10.1109/CTISC52352.2021.00045 Venue: </t>
  </si>
  <si>
    <t>TITLE: Optimizing Small-Scale Commercial Automation: Introducing WOS, a Low-Code Solution for Robotic Arms Integration | Abstract: Amidst escalating labor costs and the imperative for workplace safety, automation has become a crucial trend. Yet, the substantial expenses and technical complexities of robotic systems, demanding significant time and expertise for design and deployment, limit their adoption in small enterprises. To tackle this, we present the WinGs Operating Studio (WOS) - a novel low-code platform for robotic arm operations. WOS stands out by effortlessly integrating with a wide range of robotic arms and accessories, including various sensors and end effectors, through flowchart programming and versatile APIs. This facilitates straightforward implementation of advanced features like multi-robot cooperation and external system interactions. The paper delves into WOS’s design, capabilities, and architecture, highlighting its role in lowering technical barriers and operational costs. Performance evaluations on ARM-based Single-Board Computers and real-world scenarios, such as automated coffee making with dual robotic arms and VR controlled spray painting, underscore WOS’s potential to empower small businesses with robotic automation. | Keywords:  Flowcharts;Automation;Costs;Service robots;Programming;Robot sensing systems;Hardware | DOI: 10.1109/AIM55361.2024.10637104 Venue: 2024 IEEE International Conference on Advanced Intelligent Mechatronics (AIM)</t>
  </si>
  <si>
    <t>TITLE: Implementing Federated Learning via IoTtalk: A Smart Home Case Study | Abstract: The Internet of Things (IoT) has enabled many emerging applications through the integration of sensing and communication technologies. Furthermore, with the rapid development of artificial intelligence (AI) in recent years, AI has also been incorporated into IoT systems, giving rise to the concept of Artificial Intelligence of Things (AIoT). AIoT typically includes at least one AI model that assists applications in making intelligent decisions. Users generally need to prepare sufficient data to train these AI models. However, certain IoT applications, such as those in smart homes, have privacy requirements, and users are often unwilling to risk data leakage for the sake of model training. Federated Learning (FL) addresses this issue by offering a distributed learning approach in which clients do not need to upload their raw data. Instead, they upload only the parameters of their local models. The central server then aggregates these parameters to construct a global model, thereby improving overall performance. Nonetheless, implementing a federated learning application requires significant effort from system developers. To reduce this burden and facilitate the rapid development of federated learning applications, we were inspired by the "low-code or no-code (LCNC)" principles promoted by the IoTtalk platform and proposed FLtalk. We implemented a smart home application as a case study to demonstrate the feasibility of FLtalk. | Keywords: Internet of Things (IoT);Artificial Intelligence of Things (AIoT);Federated Learning (FL);Privacy-Preserving;IoTtalk Wireless communication;Training;Philosophical considerations;Federated learning;Smart homes;Data models;Sensors;Internet of Things;Servers;Artificial intelligence | DOI: 10.1109/APWCS67981.2025.11151953 Venue: 2025 IEEE VTS Asia Pacific Wireless Communications Symposium (APWCS)</t>
  </si>
  <si>
    <t>TITLE: Architecture Design of TBCare: Mhealth for Drug Adherence Intervention in Tuberculosis Patients | Abstract: The effectiveness of anti-tuberculosis drugs is related to adherence. Monitoring patient medication activity with digital medication monitoring tools is used to improve success rates. Subjective feelings of improvement drive the reason patients discontinue their tuberculosis treatment before treatment evaluation or the adverse effects of anti-tuberculosis drugs that lead to decreased patient motivation to complete the treatment. The TBCare mobile health application is designed to address the problem of tuberculosis adherence. Features such as reminders, push notifications, an explore page and a list of informative videos are implemented to intervene in patient medication adherence. We use Gemini AI to deliver information on the explore page to overcome cognitive barriers to treatment issues. We consider implementing the feature behavior change technique based on our intervention goals to help improve patient adherence to tuberculosis treatment with action planning, prompt/cues, self-monitoring, shaping knowledge, and information about health consequences. We propose a TBCare design with a service-oriented architecture by a 3-layer canvas using a low code development platform. This study aims to build the TBCare application and design research methods to test the impact of using TBCare on the stage of change of adherence to TB medication. Future research will investigate the causal relationship between mhealth interventions and adherence to medical treatment. The impact of TBCare on adherence will be measured with the transtheoretical model using the stage of change questionnaire, where the process of change intervenes in the decision balance scale and self-efficacy. | Keywords: behavioral change technique;drug adherence;mobile health;transtheoretical model Drugs;Codes;Tuberculosis;Design methodology;Medical treatment;Drives;Service-oriented architecture;Planning;Monitoring;Videos | DOI: 10.1109/ICICYTA64807.2024.10912993 Venue: 2024 International Conference on Intelligent Cybernetics Technology &amp; Applications (ICICyTA)</t>
  </si>
  <si>
    <t>TITLE: Moving from Cloud to Fog/Edge: The Smart Agriculture Experience | Abstract: Integrating cloud with fog/edge is a main trend in networking. Many cloud computing applications have been shifted to the edge/fog domain. Such paradigm shift offers new opportunities for pervasive computing. An example is AgriTalk, an Internet of Things (IoT) application development platform for smart agriculture. By integrating cloud with edge/fog, this article describes how AgriTalk addresses six issues for developing edge/fog agriculture applications. These issues include device domain development, application generation and bug detection, sensor failure detection and calibration, big data management, Artificial Intelligence (AI) provisioning, and data privacy. We show how AgriTalk integrates fog/edge applications and use rice blast detection and piglet crushing mitigation as two examples to demonstrate that fog/edge computing is a better solution than cloud computing. Compared with cloud computing, fog/edge computing reduces the delays by 50 percent in AgriTalk. Through the low-code no-code approach, AgriTalk allows the farmers to create and maintain fog/edge agriculture applications by themselves. | Keywords:  Internet of Things;Graphical user interfaces;Artificial intelligence;Cloud computing;Codes;Agriculture;Actuators;Edge computing;Cloud computing | DOI: 10.1109/MCOM.001.2200633 Venue: IEEE Communications Magazine</t>
  </si>
  <si>
    <t>TITLE: Direct-to-Satellite Connectivity for IoT: Overview and Potential of Reduced Capability (RedCap) | Abstract: The satellite internet-of-things (SloT) is growing at an impressive speed and promises to offer ubiquitous wireless coverage for applications in remote regions. The recent developments confirm some 3rd Generation Partnership Project (3GPP) and non-3GPP radio access technologies (RATs) could potentially support SloT services. Among the non-3GPP technologies, Long Range (LoRa) is one of the prominent and proven RAT for SloT services. The real flight-test experiments confirmed the feasibility of direct communication between terrestrial LoRa end device and low Earth orbit (LEO) satellite enabling Direct-to-Satellite (DtS) connectivity. However, the state-of-art publications extensively investigate the LoRa DtS scalability and revealed that the communication performance degrades due to co-channel interference. To overcome this challenge, the new variant of LoRa, namely Long Range-Frequency Hopping Spread Spectrum (LR-FHSS) implies frequency hopping, header diversity, and low code rates that make it highly robust against co-channel interfer-ence and noise. Similarly, Eutelsat satellite operator is working on Sigfox for SloT services. In 3GPP scope, the narrowband loT (NB- loT) is another potential candidate for implementing DtS connectivity. MediaTek and Inmarsat have conducted field test experiments that confirmed the feasibility of NB- loT DtS connectivity. More recently, Reduced Capability (RedCap) was introduced in 3GPP Release 17 for 5G new radio (NR). The RedCap features the functionalities between the NB-IoT, Sigfox, LoRa, and 5G NR user equipment (UE). As of today, we are not aware of any work discussing the practicalities of RedCap D$t$S. In this paper, we present a technical overview of satellites in 3GPP, and RedCap technology and identify and highlight the relevant challenges associated with RedCap DtS connectivity. We also mention several research directions to further investigate RedCap DtS connectivity. | Keywords: LoRa;LR-FHSS;LoRaWAN;NB-IoT;RedCap Performance evaluation;5G mobile communication;Scalability;Satellite broadcasting;Low earth orbit satellites;Spread spectrum communication;Rats | DOI: 10.1109/WF-IoT58464.2023.10539387 Venue: 2023 IEEE 9th World Forum on Internet of Things (WF-IoT)</t>
  </si>
  <si>
    <t>TITLE: Interoperable Tools for Deploying Non-Destructive Inspection Solutions | Abstract: The current paper addresses an event-driven application to compile the information required to deploy smart contracts in Hyperledger fabric blockchain for monetisation purposes. The communication between non-destructive inspection solutions installed on-premise in the customer facilities and the Marketplace is achieved through an opensource low-code platform. The application, named Traceability Gateway App, allows the non-destructive inspection solution to interact with the smart contract deployed in the blockchain. This integration layer is a key enabler to sustain an Inspection as a Service business model. The paper also presents a case study successfully carried out for the thermal inspection of the refrigerator's inner body parts manufactured by a thermoforming process. This allows the monitoring and continuous registration of the number of non-destructive inspections carried out by the solution, storing the uses in a private blockchain network and making them immutable and traceable for all smart contract users. The proposed framework enables the integration of non-destructive solutions with the smart contract deployed in a blockchain and linked with the Marketplace for monetisation purposes by employing lightweight event-driven applications. | Keywords: Interoperable;inspection;services;nondestructive;smart contract Technological innovation;Quality assurance;Scalability;Smart contracts;Supply chains;Thermoforming;Inspection;Logic gates;Blockchains;Interoperability | DOI: 10.1109/ICE/ITMC65658.2025.11106583 Venue: 2025 IEEE International Conference on Engineering, Technology, and Innovation (ICE/ITMC)</t>
  </si>
  <si>
    <t>TITLE: The construction of the museum audience data system based on big data technology | Abstract: As the public’s demand for cultural services grows, the surge in museum audience data offers opportunities for a deeper understanding of visitor needs. However, traditional management methods are faced with issues such as data dispersion and low analysis efficiency. This paper analyzes the application of big data technology in museums and points out the shortcomings of existing technologies, such as limitations in technical resources, insufficient real-time data processing capabilities, and the need for improvement in the data service system. Taking the Palace Museum as a case study, the paper demonstrates how a lightweight big data construction plan addresses the technical selection, funding, and professionalism issues in data construction. Through the “cloud data platform &amp; low-code user interaction” approach, the Palace Museum has achieved efficient management and utilization of data. The article also discusses the construction of a audience big data system, data security and privacy protection, data analysis, and the application of digital twin technology in enhancing museum management efficiency and visitor experience. | Keywords: The Palace Museum;big data;digital twin Surge protection;Big Data;Strategic planning;Museums;Real-time systems;Digital twins;Environmental monitoring | DOI: 10.1109/CoST64302.2024.00041 Venue: 2024 International Conference on Culture-Oriented Science &amp; Technology (CoST)</t>
  </si>
  <si>
    <t>TITLE: Bridging Workflow Automation Tools and EMF Modeling Ecosystems | Abstract: A workflow specification is a detailed description of the steps, activities, and tasks that need to be completed in an automated way to achieve a specific goal. The advent of cloud-based infrastructure has enabled new possibilities, including adopting low-code approaches for service integration. Indeed, low-code development platforms (LCDPs) have recently gained prominence as they permit unskilled people to produce applications with little or no coding. Among LCDPs, integration platforms, such as Zapier, IFTTT, and Make.com, emerged for their cost-effectiveness and to reduce the tediousness of implementing service integrations. In such a context, existing platforms for building workflow automation (i.e., Workflow Automation Tools, WATs) offer pre-built integrations or create connectors to any service with REST APIs for data manipulation. WATs are primarily visual and offer no-code or low-code functionalities to build services. Model-Driven Engineering (MDE), on the other hand, is often compared to the low-code movement, and recent studies highlighted the substantial potential for cross-pollination. We experimented with a motivating example of how a WAT, called N8N, and pure MDE ecosystems built in the context of EMF Epsilon can share similarities and offer food for thought in implementing the same workflow scenario. Both approaches maintain pros and cons and show similarities and opportunities. For this reason, as a future direction, we propose a bridging mechanism between WATs and EMF ecosystems. | Keywords: Workflow Automation Tools;Bridging;Modeling ecosystems;Low-code Connectors;Visualization;Automation;Ecosystems;Buildings;Model driven engineering;Encoding | DOI: 10.1109/MODELS-C59198.2023.00140 Venue: 2023 ACM/IEEE International Conference on Model Driven Engineering Languages and Systems Companion (MODELS-C)</t>
  </si>
  <si>
    <t>TITLE: Industrial DevOps Soft: A New Framework for Enhancing Industry 4.0 Efficiency | Abstract: In the context of Industry 4.0, integrating IoT, AI, and big data introduces complexity in industrial systems, often worsened by a lack of focus on management aspects, resulting in operational silos and inefficient decision-making. This paper presents the ‘Industrial DevOps Soft’ framework, structured in layers, which exploits DevOps methodologies into industrial environments to enhance collaboration between IT infrastructure and production systems. By promoting continuous automation, data-driven processes, and effective project execution through CI/CD pipelines and low-code platforms, the framework aims to streamline operations and enhance strategic decision-making. Ultimately, it provides a structured approach for organizations to achieve operational excellence and adapt to future shifts, including Industry 5.0. | Keywords: Industrial DevOps;DevOps;Industry 4.0;Cyber-physical systems;Framework;Productivity enhancement;Real-time monitoring;Automation;Continuous improvement Productivity;Production systems;DevOps;Decision making;Pipelines;Organizations;Real-time systems;Fourth Industrial Revolution;Artificial intelligence;Fifth Industrial Revolution | DOI: 10.1109/CSDGAIS64098.2024.11064768 Venue: 2024 International Conference on Smart-Digital-Green Technologies and Artificial Intelligence Sciences (CSDGAIS)</t>
  </si>
  <si>
    <t>TITLE: LoCoML: A Framework for Real-World ML Inference Pipelines | Abstract: The widespread adoption of machine learning (ML) has brought forth diverse models with varying architectures, data requirements, introducing new challenges in integrating these systems into real-world applications. Traditional solutions often struggle to manage the complexities of connecting heterogeneous models, especially when dealing with varied technical specifications. These limitations are amplified in large-scale, collaborative projects where stakeholders contribute models with different technical specifications. To address these challenges, we developed LoCoML, a low-code framework designed to simplify the integration of diverse ML models within the context of the Bhashini Project - a large-scale initiative aimed at integrating AI-driven language technologies such as automatic speech recognition, machine translation, text-to-speech, and optical character recognition to support seamless communication across more than 20 languages. Initial evaluations show that LoCoML adds only a small amount of computational load, making it efficient and effective for large-scale ML integration. Our practical insights show that a low-code approach can be a practical solution for connecting multiple ML models in a collaborative environment. | Keywords: Low Code for ML systems;Inference Pipelines;Low Code Pipelines;MDE4ML;Low Code Codes;Computational modeling;Pipelines;Optical character recognition;Collaboration;Machine learning;Text to speech;Stakeholders;Machine translation;Software engineering | DOI: 10.1109/CAIN66642.2025.00017 Venue: 2025 IEEE/ACM 4th International Conference on AI Engineering – Software Engineering for AI (CAIN)</t>
  </si>
  <si>
    <t>TITLE: Conception, Approval and First Evaluation of a New Master’s Program Engineering Technology: Software Systems (Informatics) in Belgium | Abstract: The demand for skilled software engineers continues to outweigh the number of new graduates by far. Although trends such as AI-based code generation and low-code software development might seem to lessen the need for software engineers, the digital transformation of our society is expected to speed up because of these trends, requiring engineers with fitting proficiencies. This paper highlights the crucial steps in the development and governmental accreditation process of a new curriculum in software systems, and describes the lessons learned after a first generation of graduates. Based on interviews with and studies from diverse actors (e.g., trade unions, local government, EU, and professional organizations such as ACM and IEEE) and in response to top-of-mind concerns from regional industry leaders, we designed and deployed an engineering program that meets the identified needs and aims to educate a new generation of software engineers for the forthcoming digital society. The program educates systems thinkers who engineer this digital society by designing and implementing resilient, intelligent, user-centered solutions that integrate with existing processes and enable new, innovative processes. Our master’s program is a unique joint effort of two Flemish universities, Hasselt University and KU Leuven, and resides in the faculty of Engineering Technology. | Keywords: curriculum development;systems thinking;engineering the digital society;software systems;informatics Industries;Local government;Industrial relations;Fitting;Organizations;Software systems;Market research | DOI: 10.1109/MIPRO60963.2024.10569167 Venue: 2024 47th MIPRO ICT and Electronics Convention (MIPRO)</t>
  </si>
  <si>
    <t xml:space="preserve">TITLE: Towards Scalable Validation of Low-Code System Models: Mapping EVL to VIATRA Patterns | Abstract: Adoption of low-code engineering in complex enterprise applications also increases the size of the underlying models. In such cases, the increasing complexity of the applications and the growing size of the underlying artefacts, various scalability challenges might arise for low-code platforms. Task-specific programming languages, such as OCL and EOL, are tailored to manage the underlying models. Existing model management languages have significant performance impact when it comes to complex queries operating over large-scale models reaching magnitudes of millions of elements in size. We propose an approach for automatically mapping expressions in Epsilon validation programs to VIATRA graph patterns to make the validation of large-scale low-code system models scalable by leveraging the incremental execution engine of VIATRA. Finally, we evaluate the performance of the proposed approach on large Java models of the Eclipse source code. Our results show performance speed-up up to 1481x compared to the sequential execution in Epsilon. | Keywords: static analysis;model querying;scalability;graph patterns Analytical models;Java;Computer languages;Codes;Scalability;Model driven engineering;Complexity theory | DOI: 10.1109/MODELS-C53483.2021.00019 Venue: </t>
  </si>
  <si>
    <t xml:space="preserve">TITLE: Multi-Cell IDMA NOMA Performance in NR Deployment | Abstract: Non-Orthogonal Multiple Access (NOMA) is being considered for the Fifth Generation (5G) of mobile communications systems, also known as New Radio (NR). Schemes based on low code rate implementation, such as Interleave Division Multiple Access (IDMA) are among the studied schemes for NOMA transmission in NR. It has been shown that NOMA schemes based on low code rate implementation are poised to offer a robust performance in highly interfered scenarios. The performance of NOMA in single cell deployment has been well studied; however, most studies on NOMA have not considered the performance in a practical multi-cell NR deployment. In this paper, we present our system-level performance evaluation results of an IDMA-based NOMA transmission in a typical NR deployment intended for use in massive Machine Type Communication (mMTC) scenarios. In our evaluation, we evaluate the packet dropping rate of the system to demonstrate the multiplexing capability of NOMA in the presence of multi-cell interference. | Keywords:  NOMA;Receivers;Multiplexing;Interference;5G mobile communication;Complexity theory;Encoding | DOI: 10.1109/ICCW.2019.8756860 Venue: </t>
  </si>
  <si>
    <t>TITLE: Data-Driven Simulation-Based Analysis of Collaborative Business Processes in Distributed Environments | Abstract: This paper proposes a novel approach to the predictive analysis of business processes in distributed and collaborative environments. The work introduces the joint use of Process Mining approaches and Distributed Simulation techniques to support the analysis of business process collaborations, which are complex and distributed flows of activities enacted by cooperating participants to achieve a common objective. Specifically, the proposed method enables each participant to build a simulation model which describes the process collaboration from its specific point of view. The method also uses a low-code development paradigm to build an independent simulator, starting from the simulation model. The various simulators are then deployed and executed in a federated and distributed simulation to analyze the collaborative scenario addressed. The method is finally applied to a concrete case to highlight the potential benefits of the proposed approach. | Keywords: Predictive Process Mining;Distributed Simulation;Model Transformations;Business Processes;BPM) Process mining;Adaptation models;Collaboration;Prototypes;Xenon;Predictive models;Real-time systems;Usability;Predictive analytics;Business | DOI:  Venue: 2025 Annual Modeling and Simulation Conference (ANNSIM)</t>
  </si>
  <si>
    <t xml:space="preserve">TITLE: Performance of IDMA-Based NOMA with NR-Based Realistic Channel Estimation | Abstract: Non-orthogonal multiple access (NOMA) is among new features considered for the fifth generation (5G) of mobile communications systems, also known as New Radio (NR). Schemes based on low code rate implementation, such as interleave division multiple access (IDMA) are among the candidate schemes for NOMA transmission in NR. It has been shown that NOMA schemes based on low code rate implementation are poised to offer a robust performance in highly interfered scenarios. However, since in most studies, an ideal channel estimation has been assumed, the sensitivity of the multiplexing performance to channel estimation errors has not been widely investigated. In this paper, we present our performance evaluation results of an IDMA-based transmission with imperfect channel estimation. The channel estimation is based on the recently designed NR R-15 demodulation reference signal (DMRS). In our evaluation, we consider various overloading, interference scenarios and channel estimation assumptions to demonstrate the multiplexing capability of IDMA. Also, we investigate the performance of an error model for channel estimation to show its accuracy and reliability for NOMA evaluation scenarios with more than 12 users, which is not supported by the current R-15 DMRS design. | Keywords: Wireless;5G;NR;Non-orthogonal multiple access;NOMA;interleave division multiple access;IDMA;low code rate;DMRS;channel estimation NOMA;Channel estimation;Interference;Receivers;5G mobile communication;Uplink;Multiplexing | DOI: 10.1109/VTCFall.2018.8691015 Venue: </t>
  </si>
  <si>
    <t xml:space="preserve">TITLE: Research on Performance of Orthogonal Convolutional Codes with Ultra-low Code Rate in Spread Spectrum Communication | Abstract: For the spread spectrum communication system with ultra-low bit rate, the convolutional code and the spread spectrum system are cascaded to improve the performance. Based on the high computational complexity of traditional orthogonal convolutional codes, the system uses fast Walsh transform optimization to speed up the decoding speed and tail biting mechanism to improve the transmission efficiency. The results show that the bit error rate (BER) performance is improved as the increasing of the constraint length. When the constraint length is 10 relative to 5, the demodulation gain is 2.5dB at the BER of 10-4; Compared with the direct sequence spread spectrum system, when the orthogonal convolutional code length is 8, the demodulation gains are 3.5dB, 4.75dB, and 5.5dB at the BER of 10-2, 10-3, and 10-5. | Keywords: spread spectrum communication;orthogonal convolutional code;Walsh transform;BER Convolutional codes;Viterbi algorithm;Bit error rate;Spread spectrum communication;Transforms;Decoding;Error correction codes | DOI: 10.1109/IMCEC51613.2021.9482375 Venue: </t>
  </si>
  <si>
    <t>TITLE: Research and Application of Lightweight GIS Components in Power Grid Dispatching System - Taking the Application of New Energy Panoramic Monitoring System as an Example | Abstract: With the construction of a new power system, the existing power system will evolve to an energy Internet system, and the system operation is increasingly affected by external factors such as primary energy, meteorological environment, etc. At the same time, the access of a large number of distributed new energy and new aggregate loads makes the application scenario of the power grid dispatching, control, operation and monitoring system based on GIS components more complex, especially putting forward higher requirements for the ease of use and flexibility of GIS components. Based on this requirement, this article designs a desktop lightweight GIS component suitable for the new power grid dispatch system. The three major technologies of front-end and back-end separation based on microservices, WebGIS map engine, and low code are introduced into the GIS component, making the lightweight GIS component have the characteristics of high interaction efficiency, good display consistency, fast tracking of new technologies, and easy deployment and maintenance, meeting the requirements of the new power grid dispatch system for lightweight GIS components. Finally, taking the new energy panoramic monitoring system as an example, typical application scenarios of lightweight GIS components are presented. | Keywords: New power grid dispatching system;Lightweight GIS components;Panoramic visualization monitoring;WebGIS Codes;Target tracking;Systems operation;Data visualization;Power grids;Dispatching;Vectors;Maintenance;Monitoring;Engines | DOI: 10.1109/ICPEE64457.2024.10949978 Venue: 2024 8th International Conference on Power and Energy Engineering (ICPEE)</t>
  </si>
  <si>
    <t xml:space="preserve">TITLE: Beyond Low-Code Development: Marrying Requirements Models and Knowledge Representations | Abstract: Typical Low-Code Development platforms enable model-driven generation of web applications from high-level visual notations. They normally express the UI and the application logic, which allows generating the frontend and basic CRUD operations. However, more complex domain logic (data processing) operations still necessitate the use of traditional programming. This paper presents a visual language, called RSL-DL, to represent domain knowledge with complex domain rules aligned with requirements models. The language synthesises and extends approaches found in knowledge representation (ontologies) and software modelling language engineering. Its purpose is to enable a fully automatic generation of domain logic code by reasoning over and reusing domain knowledge. The language’s abstract syntax is defined using a meta-model expressed in MOF. Its semantics is expressed with several translational rules that map RSL-DL models onto typical programming language constructs. The rules are explained informally in natural language and formalised using a graphical transformation notation. It is also supported by introducing an inference engine that enables processing queries to domain models and selecting appropriate invocations to generated code. The presented language was implemented by building a dedicated model editor and transformation engine. It was also initially validated through usability studies. Based on these results, we conclude that declarative knowledge representations can be successfully used to produce imperative back-end code with non-trivial logic. | Keywords:  Visualization;Codes;Computational modeling;Semantics;Syntactics;Programming;Ontologies | DOI: 10.15439/2022F129 Venue: </t>
  </si>
  <si>
    <t xml:space="preserve">TITLE: Towards Checking Consistency-Breaking Updates between Models and Generated Artifacts | Abstract: Model-based Low-Code systems rely on high-level specifications (models) to generate all artifacts of the resulting software. Such artifacts can be code, schemas, as well as data, and metadata. Maintaining consistency between models and artifacts generated from them is at the core of generative approaches in software engineering. Existing approaches have focused on the consistency problem between specific pairs of artifacts, such as models and their metamodels, class diagrams and generated code, and database schemas and data. Instead, we envision a holistic approach for maintaining the consistency that encompasses all generated artifacts. In this paper, we motivate our approach with a case study from a real model-driven software system. We identify scenarios where updates to either models or generated artifacts break consistency and outline a set of challenges and future research directions. | Keywords: Consistency Management;Low-Code Applications;Model-Driven Engineering Analytical models;Codes;Databases;Metals;Prototypes;Metadata;Software systems | DOI: 10.1109/MODELS-C53483.2021.00063 Venue: </t>
  </si>
  <si>
    <t xml:space="preserve">TITLE: MerGen: A Smart Code Merging Approach for Automatically Generated Code | Abstract: In model-driven low-code development, developers obtain the initial system implementation by generating the source code from models and then modify the generated code for custom-ization. In the subsequent development, the models may evolve so the code must be re-generated. How to merge the modified code with the newly generated code is an important issue. Existing model-driven development tools simply discard the code changed by developers or preserve developers' code based on some special annotations manually appended by developers. This paper pro-poses MerGen, a smart code merger for the generated code. Mer-Gen relies on universal unique identifiers that are associated with the generated code entities (i.e., types, fields, and methods) to pair the parts to be merged. Then, MerGen computes the digest of an entity in the normalized form to automatically determine whether the entity has been changed. Finally, MerGen uses a two-way re-factoring-based merging algorithm to merge the semantic code changes, rather than directly merging the code textually. We im-plement a prototype tool for the Eclipse Modeling Framework (EMF) and conduct a case study to evaluate the feasibility and the effectiveness of MerGen. The study results show that MerGen can effectively merge the modified code with the newly generated code compared with the default code merger of the EMF. | Keywords: code merging;generated code;model-driven engi-neering;hashing;refactoring;low-code development Codes;Corporate acquisitions;Conferences;Computational modeling;Merging;Semantics;Prototypes | DOI: 10.1109/COMPSAC54236.2022.00141 Venue: </t>
  </si>
  <si>
    <t>TITLE: FLORA: Federated Learning for Optimized Resource Allocation in Cinco de Bio | Abstract: We introduce Federated Learning for Optimizing Resource Allocation (FLORA), an extension to the CINCO de Bio (CdB) 1 platform for health analysis workflows. FLORA uses Federated Learning (FL) to optimize resource allocation for Service-Independent Building Blocks (SIBs) execution across multiple CdB deployments, predicting maximum memory usage while maintaining privacy. Preliminary results from a matrix multiplication experiment demonstrate the potential of machine learning models to predict peak memory usage of a SIB. We outline the FLORA architecture, discuss its implementation within CdB, and propose future work to validate and integrate the framework in real-world settings. | Keywords: Low-Code;No-Code;Federated Learning;Resource Allocation Optimisation;Bayseian Machine Learning;Health Informatics Privacy;Federated learning;Computational modeling;Biological system modeling;Flora;Computer architecture;Predictive models;Software;Resource management;Optimization | DOI: 10.1109/COMPSAC65507.2025.00337 Venue: 2025 IEEE 49th Annual Computers, Software, and Applications Conference (COMPSAC)</t>
  </si>
  <si>
    <t>TITLE: CarbonEdge: Demonstrating Blockchain-Based Monitoring, Reporting and Verification of Greenhouse Gas Emissions on the Edge | Abstract: Raising ambition inside the Paris Agreement calls for collaboration on climate action. Efficient a nd trustworthy monitoring, reporting and verification (MRV) of greenhouse gas (GHG) emissions is important in decarbonization efforts. This article proposes a collaborative approach, and exemplifies two scenarios in MRV. Therefore, we propose a consortium blockchain as platform, and aim on the reduction of costs and efforts by collaboration and automation of different aspects in GHG management. We present a demonstrator with Hyperledger Fabric, which employs a industry grade RFID security approach to distribute and manage certificate material, a low-code interface to interact with the network, and the operation of Fabric nodes on industrial edge devices. We argue that a toolkit approach like CarbonEdge may be a step towards ease of use for blockchain based GHG emissions management. | Keywords: blockchain;edge computing;business webs;climate action Industries;Greenhouse effect;Collaboration;Low-carbon economy;Fabrics;Blockchains;Security | DOI: 10.1109/ICBC56567.2023.10174891 Venue: 2023 IEEE International Conference on Blockchain and Cryptocurrency (ICBC)</t>
  </si>
  <si>
    <t>TITLE: Automatic Python code generation for Embedded/Cyber-Physical Systems | Abstract: This article introduces the development of an automatic code generation tool for the high-level programming language Python. This tool was created with the objective of implementing embedded system controllers and cyber-physical systems. The controllers are designed using graphical models in the IOPT-Flow Web environment, which are automatically converted to Python code, permitting the reduction of errors caused by manual coding. The code generator tool is based on the XSL language, used to transform XML documents describing graphical models into Python code. To validate this approach, a prototype of a robotic arm was used to perform pick and place tasks, demonstrating the use of the new tool to implement an industrial application. | Keywords: DS-Pnet;Python;Cyber-Physical Systems;Embedded Systems;IOPT-Flow;Raspberry Pi;Petri-nets;XSLT/XML;No-Code/Low-Code Codes;Graphical models;Service robots;XML;Prototypes;Transforms;Manuals | DOI: 10.1109/YEF-ECE58420.2023.10209340 Venue: 2023 7th International Young Engineers Forum (YEF-ECE)</t>
  </si>
  <si>
    <t>TITLE: Feedback-Directed Cross-Layer Optimization of Cloud-Based Functional Actor Applications | Abstract: Even though actor-based frameworks such as Akka have been used by thousands of companies for over a decade, it is very difficult to configure cloud-based functional actor applications in a way to minimize their response time and to utilize provisioned resources with the maximal efficacy at the computing distributed cloud cluster nodes where these applications are deployed. As a result, the performance-tuning process is ad-hoc, laborious, manual, tedious and very expensive.We developed a novel low-code approach for cross-layer optimization of actor-based distributed applications. In our method, runtime information is automatically collected and analyzed in parallel to the executing application using search-based genetic algorithms. These algorithms generate changes to the application design, which are automatically applied to regenerate the application while it continues to service clients’ requests. We applied our approach to automatically created distributed Akka applications demonstrating its effectiveness in finding an optimal configuration. | Keywords: performance analysis;cloud infrastructure;actor model;genetic algorithms;cross-layer optimization;code generation;low-code abstraction Cross layer design;Runtime;Instruments;Software algorithms;Manuals;Companies;Software reliability;Time factors;Optimization;Genetic algorithms | DOI: 10.1109/ISSRE62328.2024.00063 Venue: 2024 IEEE 35th International Symposium on Software Reliability Engineering (ISSRE)</t>
  </si>
  <si>
    <t xml:space="preserve">TITLE: Watch the Gap: Making code more intelligible to users without sacrificing decentralization? | Abstract: The potential for blockchain technology to eliminate the middleman and replace the top-down hierarchical model of governance with a system of distributed cooperation has opened up many new opportunities, as well as dilemmas. Surpassing the level of acceptance by early tech adopters, the market of smart contracts is now moving towards wider acceptance from regular (non-tech) users. For this to happen however, smart contract development will have to overcome certain technical and legal obstacles to bring the code and the user closer. Guided by notions from contract law and consumer protection we highlight the ‘information gap’ that exists between users (including judges/legal bodies) and the source code. We present a spectrum of low-code to no-code initiatives that aim at bridging this gap, promising the potential of higher regulatory acceptance. Nevertheless, this highlights the ‘The Pitfall of the Trustless Dream’, because arguably solutions to the information gap tend to make the system more centralized. In this article, we aim to make a practical contribution of relevance to the wide-spread adoption of smart contracts and their legal acceptance by analyzing the evolving practices that bring the user and the code closer. | Keywords: blockchain;smart contract;information gap Codes;Source coding;Smart contracts;Contract law;Consumer protection;Software;Blockchains | DOI: 10.1109/CBI54897.2022.10059 Venue: </t>
  </si>
  <si>
    <t>TITLE: Low Code Control and Hardware in the Loop Simulation Method for Demand Side Resource Based on Hybrid Cybernetics | Abstract: Hardware in the loop (HIL) simulation is an important way to research and test demand side resource control strategies. Aiming at the current problems for demand side resource HIL simulation of difficulty in the controller application and relying on foreign technical products, a low code control and HIL simulation method for demand side resource based on hybrid cybernetics is proposed. First, based on the power hybrid cybernetics and the expanded activity on edge network, an event driven and adaptive general modeling of power system control strategies is carried out. Then, based on automatic differentiation technology, a configuration module is implemented for algorithms such as solving equations and optimizing models. The control model construction is decoupled from the solving algorithm, and a low code configuration method for demand side resource control strategies is established. Furthermore, based on the Java programming language, control communication programs and interfaces for simulation models are developed to achieve data exchange between Simulink simulation models and actual controllers, and a low code demand side resource HIL simulation experimental platform is built without the need for dedicated simulation machine hardware. Finally, the effectiveness of the proposed method was verified through HIL simulation examples of the photovoltaic maximum power point tracking control. | Keywords: hardware in the loop simulation;demand side resource;hybrid cybernetics;expanded activity on edge network;automatic differentiation;data interaction Analytical models;Adaptation models;Codes;Hardware-in-the-loop simulation;Power system dynamics;Process control;Data models | DOI: 10.1109/ICPST61417.2024.10602158 Venue: 2024 IEEE 2nd International Conference on Power Science and Technology (ICPST)</t>
  </si>
  <si>
    <t xml:space="preserve">TITLE: A GDPR-Compliant Framework for IoT-Based Personal Health Records Using Blockchain | Abstract: An up-to-date personal health record (PHR) system is crucial for people's health. Achieving a reliable PHR system in the e-Health and m-Health era is still a challenge concerning data integration from different EHRs, data interoperability, and enforcing that access to data is fully under the patient's control. We address these challenges by proposing an electronic health wallet (EHW) system that uses emergent decentralized technologies like blockchain and IPFS and adopts health data interoperability standards and technologies like FHIR's APIs. The EHW stands on a GDPR-compliant framework for IoT-based PHR systems that ensures both data privacy and interoperability. The proposed conceptual framework and system architecture provide a comprehensive solution for a patient-centered IoT-based PHR system that preserves data privacy and satisfies the data interoperability needs. By encouraging patients to share their data in a controlled way, also enables health big data analytics by utilizing the IoT data in a privacy-preserving fashion. | Keywords: EHR;PHR;IoT;data privacy;GDPR;data interoperability;blockchain;access control;big health data;MDD;eXtreme MDD;low-code application development environments;DIME Data privacy;Systems architecture;Data integration;Blockchain;Big Data;Security;Reliability | DOI: 10.1109/NTMS49979.2021.9432661 Venue: </t>
  </si>
  <si>
    <t>TITLE: LLMs with User-defined Prompts as Generic Data Operators for Reliable Data Processing | Abstract: Data processing is one of the fundamental steps in machine learning pipelines to ensure data quality. Majority of the applications consider the user-defined function (UDF) design pattern for data processing in databases. Although the UDF design pattern introduces flexibility, reusability and scalability, the increasing demand on machine learning pipelines brings three new challenges to this design pattern – not low-code, not dependency-free and not knowledge-aware. To address these challenges, we propose a new design pattern that large language models (LLMs) could work as a generic data operator (LLM-GDO) for reliable data cleansing, transformation and modeling with their human-compatible performance. In the LLM-GDO design pattern, user-defined prompts (UDPs) are used to represent the data processing logic rather than implementations with a specific programming language. LLMs can be centrally maintained so users don’t have to manage the dependencies at the run-time. Fine-tuning LLMs with domain-specific data could enhance the performance on the domain-specific tasks which makes data processing knowledge-aware. We illustrate these advantages with examples in different data processing tasks. Furthermore, we summarize the challenges and opportunities introduced by LLMs to provide a complete view of this design pattern for more discussions. | Keywords: Large Language Models;Data Modeling;Data Cleansing;Data Transformations;Design Pattern Computer languages;Databases;Scalability;Data integrity;Pipelines;Machine learning;Data processing | DOI: 10.1109/BigData59044.2023.10386472 Venue: 2023 IEEE International Conference on Big Data (BigData)</t>
  </si>
  <si>
    <t xml:space="preserve">TITLE: XMDD as Key Enabling Technology for Integration of Large scale eLearning Based on NRENs | Abstract: National Research and Education Networks (NRENs) are developed to provide access and collaboration between educational organizations. Single-Sign-On (SSO) applications such as eduGAIN are used in the pan European research and education network (GÉANT) and Shibboleth is used in the Internet2 NRENs in the United States. However, the lack of data integration between many eLearning systems is still a challenge in the NREN domain. We address systematic data integration between large-scale eLearning systems by designing and prototyping an eLearning broker. The NREN eLearning architecture considers the strategies and policies of collaboration parties. We apply the eXtreme Model-Driven Development (XMDD) paradigm, using the DIME low-code development environment for data modeling, process modeling, interface modeling and prototyping. The motivating case study is the Afghanistan Research and Educational Network (AfgREN). | Keywords: XMDD;DIME;integration;NREN;AfgREN Electronic learning;Data models;Computer architecture;Collaboration;Conferences;Software;Organizations | DOI: 10.1109/ICALT49669.2020.00020 Venue: </t>
  </si>
  <si>
    <t>TITLE: Streamlining Workflow Automation with a Model-Based Assistant | Abstract: Robotic Process Automation (RPA) uses automation technologies to imitate business tasks performed by humans. Digital Automation Platforms are extremely useful services that enable developers to connect applications and automate work-flows and Workflow Automation Tools (WATs) offer tremendous advantages in orchestrating tasks and services. Even if the workflow composition in WATs is offered in a low-code fashion, the unsupervised and autonomous execution of the tasks and transactions between various software systems are performed even if they are completely unrelated. For this reason, building workflows and optimizing them can be a difficult and time-consuming task. Since the workflow orchestrates external systems, we cannot assure that the execution will not fail, or that unexpected problems will arise during the evolution of the orchestrated systems. In this paper, we investigate these challenges and open issues related to unsupervised workflow declarations, and we envisage a general approach to assist the workflow definition. | Keywords: Workflow automation;Low-code;Evolution;Modeling assistant Intelligent automation;Analytical models;Automation;Translation;Large language models;Ecosystems;Buildings;Software systems;Software engineering;Business | DOI: 10.1109/SEAA64295.2024.00035 Venue: 2024 50th Euromicro Conference on Software Engineering and Advanced Applications (SEAA)</t>
  </si>
  <si>
    <t>TITLE: Revisiting Multiple ECC on High-Density NAND Flash memory | Abstract: Three-dimensional nand flash memory using the advanced multibit-per-cell technique is widely adopted due to its high density. However, it faces the problem of deteriorating read performance and energy consumption due to decreased reliability. Low-density parity-check code (LDPC) is typically adopted as an error correction code (ECC) to encode data and provide fault tolerance. To reduce the cost, LDPC with a high code rate is always adopted. However, LDPC will lead to read retry operations when the accessed data are not successfully decoded, and such retry-induced performance degradation is serious, especially for modern high-density flash memory. In this work, a reliability-aware differential ECC (READECC) approach is proposed to reduce redundancy protection and storage cost of LDPC with a low code rate and optimize the read performance. The basic idea is to adopt LDPC with a suitable code rate considering both data access characteristics and flash reliability characteristics. First, hot reads are identified based on the frequency of being accessed. Second, based on the reliability variation characteristics, the life of flash memory is divided into three reliability periods. As the reliability period shifts, the code rate of the LDPC adjusts adaptively to minimize redundancy protection. Third, an adaptive-sized logical page approach is further proposed to support LDPC with strong error correction capability (a low code rate) with a low storage cost. Through careful design and evaluation on 3-D triple-level-cell nand flash memory, READECC achieves encouraging optimizations with a negligible cost. | Keywords: 3-D nand flash;energy consumption;error correction code (ECC);low-density parity-check code (LDPC);read performance Flash memories;Error correction codes;Reliability;Parity check codes;Voltage;Costs;Redundancy;Protection;Three-dimensional displays;Energy consumption | DOI: 10.1109/TVLSI.2025.3551400 Venue: IEEE Transactions on Very Large Scale Integration (VLSI) Systems</t>
  </si>
  <si>
    <t>TITLE: Low-Code Machine Learning for Predicting Differentiated Thyroid Cancer Reoccurrence | Abstract: Differentiated thyroid cancer is a common malignancy, and predicting recurrence is crucial for patient management. Machine learning approaches have been used for the prediction of recurrence. However, most proposed techniques require deeper skills in data science and programming, which are not always available in a clinical setting. We employed PyCaret, a low-code machine learning library, to predict thyroid cancer recurrence. The performance of various machine learning models was assessed using accuracy, F1 score, recall, precision, Kappa, and Matthews Correlation Coefficient (MCC). The top five performing models were selected and analyzed. The results revealed CatBoost as the most effective model, achieving the highest accuracy (0.9685) and F1 score (0.9682). It also demonstrated a balanced performance with a recall of 0.9685 and a precision of 0.9686. The Kappa and MCC scores for CatBoost (0.9229, 0.9237) indicated strong performance beyond random chance. This study demonstrates the potential of machine learning for predicting differentiated thyroid cancer recurrence. Future research should focus on external validation and clinical integration of the model to improve patient outcomes. | Keywords: Low-code machine-learning;PyCaret;Thyroid cancer;Differentiated cancer reoccurrence Knowledge engineering;Correlation coefficient;Analytical models;Accuracy;Thyroid cancer;Machine learning;Programming;Data science;Systems engineering and theory;Libraries | DOI: 10.1109/KSE63888.2024.11063497 Venue: 2024 16th International Conference on Knowledge and System Engineering (KSE)</t>
  </si>
  <si>
    <t>TITLE: AI-augmented Framework to Enable Process Awareness in Collaborative Teams | Abstract: Process Management Systems (PMS) offer effective means to coordinate tasks for various teams involved in complex projects. However, in practice, participants execute their tasks using applications within their workspace and manually report their activities to a separate PMS. This approach is not only time-consuming for end-users but also poses reliability challenges for the PMS in verifying the accuracy of reported task completion. This paper proposes an AI-augmented framework to establish seamless integration between PMSs and end-user workspace, which can automatically manage process execution by intelligently monitoring the tasks of process participants. We examined the utilization of our framework via a prototype pMage in a software implementation process. The results showcase the capability in managing process progress in various scenarios. The service effortlessly integrates the working environment with the corresponding process while maintaining its low-code applicability and independence from specific PMS or end-user workspace. This framework is anticipated to encourage end-users to embrace PMS as an integral part of their daily work, thereby unlocking the benefits of a process-aware workspace. | Keywords: AI-augmented Framework;Process Awareness;Process Management System;Collaborative Process Accuracy;Neural networks;Collaboration;Prototypes;Software;Reliability;Artificial intelligence | DOI: 10.1109/IJCNN60899.2024.10650888 Venue: 2024 International Joint Conference on Neural Networks (IJCNN)</t>
  </si>
  <si>
    <t>TITLE: An Integrated Breast Cancer Predictor Leveraging Mendix and Machine Learning | Abstract: A new chapter in healthcare history has begun with the integration of machine learning (ML) and Mendix, a low-code development platform. This combination provides a straightforward, effective, method for implementing sophisticated ML-driven healthcare solutions. Mendix is well-suited for managing sensitive health data and facilitating large-scale installations due to its scalability and strong security. The objective of this paper is to create awareness of breast cancer through a simpler predictive interface leveraging Mendix and machine learning. By consuming a machine learning model in combination with Mendix API capabilities, the user input will be analyzed and compared against vast clinical data sets, giving rapid &amp; accurate disease predictions. To summarize everything, Mendix provides the ability to enable our app to give personalized feedback, which can improve the detection and management of diseases with beneficial results for patients and healthcare professionals. The paper elaborates on model hosting and experimental results for readers’ understanding and judgment. | Keywords: Mendix;Microflows;Machine Learning;Uvicorn;FastAPI Visualization;Scalability;Medical services;Machine learning;Predictive models;Breast cancer;Real-time systems;Security;Information technology;Diseases | DOI: 10.1109/RAIT65068.2025.11088907 Venue: 2025 6th International Conference on Recent Advances in Information Technology (RAIT)</t>
  </si>
  <si>
    <t xml:space="preserve">TITLE: Research on Multidimensional Mutation Strategy Method of Fuzzing Test | Abstract: Industrial control network security has become increasingly severe and has been highly valued. This paper studies the problems of low code coverage and relatively rough mutation strategies in the generation method of industrial control network protocol fuzzing test cases, and proposes a multidimensional mutation strategy-based fuzzing test method. First, construct a multidimensional protocol field matrix according to the fields of the industrial control network protocol messages, and generate the corresponding variation factor matrix according to the characteristics of the fields. Secondly, the agreement field matrix and the mutation factor matrix are processed by the Cartesian product to generate a multidimensional mutation strategy. This strategy is used to guide the mutation of original data and test case generation. Finally, this method has undergone a comparative experiment on the Modbus/TCP protocol. Experimental results show that the proposed method not only improves the acceptance rate and coverage rate of test cases that generate malformed data, but also discovers two new "zero-day" vulnerabilities. | Keywords: Industrial Control Network Protocol;Multidimensional mutation strategy;Multidimensional Protocol Field Matrix;Variation factor matrix Protocols;Codes;Industrial control;Fuzzing;Network security | DOI: 10.23919/CCC52363.2021.9550435 Venue: </t>
  </si>
  <si>
    <t xml:space="preserve">TITLE: DSLs for Model Driven Development of Secure Interoperable Automation Systems with EdgeX Foundry | Abstract: Automation systems involve a range of cyber-physical system components such as sensors, actuators, control equipment, machines, robots, AGVs, etc. Seamless interoperability among these entities is a significant challenge. A well-designed Industrial Internet of Things (IIoT) platform at the network edge can offer several services by acting as a transformation engine between these field devices and various enterprise applications. We consider the EdgeX Foundry platform as such an IIoT middleware, discuss how EdgeX can provide ready-to-use integration of IoT devices, and show how we connect it with a low-code XMDD coordination layer that interfaces with EdgeX microservices through a Native DSL mechanism. We consider this technology landscape from the point of view of a building automation system example that supports high reconfigurability and security. We show how to produce all the essential elements of a complex Web based application to control the considered building systems. We demonstrate various features of the application's data and process models, how DSLs play a role at various levels, and how to add security capabilities that go beyond the cross-layer concerns and mechanisms offered by EdgeX. To this end, we introduce a declarative policy layer to be implemented using the open source ADD-Lib in form of an additional DSL for Attribute Based Encryption, with the aim of further enriching the capabilities around the EdgeX platform. | Keywords:  Service robots;Biological system modeling;Foundries;Sensor systems;Sensors;DSL;Security | DOI: 10.1109/FDL53530.2021.9568378 Venue: </t>
  </si>
  <si>
    <t>TITLE: ALF: An Automated Low-code Flexible Framework for Data Workflows | Abstract: The demand for data science innovation is growing across all sectors. There is no shortage of new big-data applications and tools for deploying data science projects. Data scientists typically create data workflows manually or by writing scripts to automate parts of the process. However, basic scripting is insufficient for large-scale projects and performance optimizations. This poses great technical challenges for data scientists. In this paper, we present the Automated Low-code Flexible (ALF) Framework, designed to remove technical barriers and streamline data workflows. ALF also provides a holistic view of workflow construction and end-to-end workflow management. Its design is supported by a case study, demonstrating ALF’s ability to integrate a diverse array of applications, alongside performance enhancement tools and workflow inspection capabilities. | Keywords:  Technological innovation;Inspection;Data science;Writing;Big Data;Planning;Arrays;Optimization | DOI: 10.1109/BigData62323.2024.10825914 Venue: 2024 IEEE International Conference on Big Data (BigData)</t>
  </si>
  <si>
    <t>TITLE: Towards Empowering Ubiquitous Computing as a Service with Cloud Analytics for Sustainable Manufacturing, Agriculture, Cities, and Buildings | Abstract: Cloud analytics extends the capabilities of identifying patterns, making predictions, and obtaining business intelligence (BI) insights, enabling organisations to work with massive amounts of complex business data using algorithms and cloud technologies. This type of analysis often involves artificial intelligence (AI), in the form of machine learning (ML) or deep learning (DL) models. Although concerns have been raised about the environmental impact of artificial intelligence and cloud computing, it is widely recognised that these technologies have the potential to support greater sustainability in several fields, including construction, transportation, healthcare, manufacturing, agriculture and water. This work extends our software framework for Ubiquitous Computing as a Service. The framework uses containerisation, low-code platforms, modularity, parallel computing, MQTT, and API to support the creation, configuration, operation, and modification of remote software. In this work, some degree of integration with cloud analytics is added, making it possible to create and populate AWS Redshift tables, train clustering models, and use such models, from containerised software components created and managed through the framework. All software artefacts produced in this work are available on GitHub, including a Postman collection of API requests for demo purposes. | Keywords: cloud analytics;big data;artificial intelligence;sustainability;smart building;transportation;healthcare;manufacturing;agriculture;water;software framework;ubiquitous computing;distributed system;containerisation;low-code;modularity;parallel computing;MQTT;API;clustering Cloud computing;Analytical models;Computational modeling;Transportation;Medical services;Parallel processing;Ubiquitous computing;Software;Agriculture;Sustainable development | DOI: 10.1109/CCGridW65158.2025.00045 Venue: 2025 IEEE 25th International Symposium on Cluster, Cloud and Internet Computing Workshops (CCGridW)</t>
  </si>
  <si>
    <t>TITLE: Low-Rate LDPC Code Design for DTMB-A | Abstract: Digital terrestrial television multimedia broadcasting-advanced (DTMB-A) proposed by China is served as a 2nd generation digital terrestrial television broadcasting (DTTB) standard with advanced forward error correction coding schemes. Nevertheless, to adapt low signal-to-noise ratio (SNR) scenarios such as in cloud transmission systems, LDPC codes with low rates are required for DTMB-A. In this paper, the new design of low-rate DTMB-A LDPC codes is presented systematically. Specifically, a rate-compatible Raptor-Like structure of low-rate DTMB-A LDPC codes is presented, which supports multiple low code rates with constant code length. Then a new construction method is proposed for low-rate DTMB-A LDPC codes, where progressive block extension is employed and the minimum distance is majorly optimized such that the minimum distance increases after each block extension. Finally, the performance of the constructed DTMB-A LDPC codes with two low code rates of 1/3 and 1/4 are simulated and compared with ATSC 3.0 LDPC codes, which demonstrates the effectiveness of our design. | Keywords: Digital terrestrial television multimedia broadcasting-advanced (DTMB-A);low-density parity-check (LDPC) codes;low rate;progressive block extension;minimum distance Parity check codes;Hardware;TV;Standards;Signal to noise ratio;Multimedia communication;Encoding | DOI: 10.1109/TBC.2024.3349790 Venue: IEEE Transactions on Broadcasting</t>
  </si>
  <si>
    <t>TITLE: Leveraging Emerging Trends for Technological Advancement in Africa | Abstract: The rapid advancement and integration of emerging technologies such as Artificial Intelligence, Machine Learning, Advanced Analytics, Blockchain, and the Internet of Things are driving transformative shifts in global industries, with profound implications for Africa's socio-economic landscape. In agriculture, AI and ML enable precision farming techniques, optimize crop yields, and enhance sustainability, while in healthcare, they facilitate early disease detection and personalized treatment plans. Advanced Analytics, combining predictive and prescriptive models, empowers organizations to optimize operations, enhance decision-making, and improve performance across various sectors, including marketing, supply chain, and energy. Blockchain technology enhances security, transparency, and decentralization in critical sectors like finance, energy, and land management, fostering trust and reducing inefficiencies. Additionally, technologies such as Low-Code Platforms, Natural Language Processing, and Edge Computing are democratizing access to innovation, simplifying the creation of digital solutions, and enabling real-time data processing in resource-constrained environments. These technological advancements are reshaping industries and positioning Africa to overcome longstanding agriculture, healthcare, and infrastructure challenges. Through their widespread adoption, these technologies offer unprecedented opportunities for sustainable growth, inclusion, and digital transformation across the continent. | Keywords: Emerging Technologies;Digital Innovation;Disruptive Technologies;Tech-Driven Transformation and Future Technologies Technological innovation;Decision making;Africa;Medical services;Natural language processing;Agriculture;Blockchains;Trajectory;Sustainable development;Socioeconomics | DOI: 10.1109/IMITEC60221.2024.10851063 Venue: 2024 4th International Multidisciplinary Information Technology and Engineering Conference (IMITEC)</t>
  </si>
  <si>
    <t>TITLE: Deploying Oracle Machine Learning AutoML Models for Oracle APEX Analytics | Abstract: Oracle Application Express (APEX) is a powerful, low-code development platform that enables the rapid creation of scalable and secure enterprise applications. Integrating seamlessly with Oracle databases, Oracle APEX provides a user-friendly interface and robust functionality, making it an attractive solution for businesses aiming to reduce development time and costs. This paper explores the utilization of Oracle APEX for various applications, including data analytics, project management, and customer service, highlighting its versatility and efficiency. Additionally, the integration of Oracle Machine Learning (OML) within Oracle APEX is examined, demonstrating how advanced analytics and machine learning models can be developed and deployed to enhance business operations. The discussion is contextualized with a practical example of developing a weather prediction AutoML model using historical data and visualizing real-time predictions through an Oracle APEX application, showcasing the platform's capability to streamline complex processes and drive innovation in enterprise environments. | Keywords: Analytics;Oracle APEX;Oracle Cloud;Oracle Machine Learning;AutoML;Weather Prediction Analytical models;Machine learning algorithms;Closed box;Weather forecasting;Predictive models;Automated machine learning;Data models;Complexity theory;Informatics;Business | DOI: 10.1109/Informatics62280.2024.10900807 Venue: 2024 IEEE 17th International Scientific Conference on Informatics (Informatics)</t>
  </si>
  <si>
    <t>TITLE: RagRug: A Toolkit for Situated Analytics | Abstract: We present RagRug, an open-source toolkit for situated analytics. The abilities of RagRug go beyond previous immersive analytics toolkits by focusing on specific requirements emerging when using augmented reality (AR) rather than virtual reality. RagRug combines state of the art visual encoding capabilities with a comprehensive physical-virtual model, which lets application developers systematically describe the physical objects in the real world and their role in AR. We connect AR visualizations with data streams from the Internet of Things using distributed dataflow. To this end, we use reactive programming patterns so that visualizations become context-aware, i.e., they adapt to events coming in from the environment. The resulting authoring system is low-code; it emphasises describing the physical and the virtual world and the dataflow between the elements contained therein. We describe the technical design and implementation of RagRug, and report on five example applications illustrating the toolkit’s abilities. | Keywords: Augmented reality;immersive analytics;situated analytics;visual analytics;visualization Data visualization;Visualization;Solid modeling;Encoding;Data models;Computational modeling;Three-dimensional displays | DOI: 10.1109/TVCG.2022.3157058 Venue: IEEE Transactions on Visualization and Computer Graphics</t>
  </si>
  <si>
    <t>TITLE: The search for anomalies in network traffic | Abstract: Nowadays, Internet networks are an integral part of our life and business. For Internet providers, a significant portion of profits depends on the level of customer satisfaction. Therefore, monitoring and controlling network anomalies plays a key role in improving the quality of the user experience. This paper provides a comparative analysis of creating a machine learning model using classification and clustering algorithms to analyze anomalies in network traffic. In this paper, algorithms such as gradient boosting and Density-Based Spatial Clustering of Applications with Noise (DBSCAN) were used. The efficiency of these algorithms in terms of working with Internet network data will also be described. Furthermore, the final solution will be presented as two different models trained using Jupyter Notebook and the low-code Artificial intelligence (AI) application platform of “AiB” company (hereinafter referred to as Razum AI). A comparative analysis of the development speed using these platforms, as well as the effectiveness of the resulting models, will also be presented. Thus, the second objective of the paper is to compare the aforementioned machine learning platforms. | Keywords: abnormal sessions;anomalies;evaluation;DBSCAN;gradient boosting algorithm;clustering;binary classification;efficiency Analytical models;Visualization;Machine learning algorithms;Clustering algorithms;Telecommunication traffic;Boosting;Data models | DOI: 10.1109/REEPE60449.2024.10479758 Venue: 2024 6th International Youth Conference on Radio Electronics, Electrical and Power Engineering (REEPE)</t>
  </si>
  <si>
    <t>TITLE: On the Design of Adaptive Robotic Systems Using Room Sensors, Anchoring, Semantic, and Low-Code Technologies | Abstract: Enabling robotic solutions in our everyday lives implies an evolution in the ability of a robot to adapt to its context and how it performs a task there. Camera and sensor data streams, object recognition, semantic data representations, and low-code programming are examples of technology candidates to address the requirements of context adaptation. These technologies provide the means to increase the data available about a specific context of a robot and provide richer abstractions for programming the adaption of tasks to a context, forming a digital twin for this setting. In this paper, we present the design concepts of a robotic system for facility management tasks. We discuss these design concepts that enable the system to adapt to context changes and programmatic adaption of tasks. Based on the development process and several deployments of the robotic system, we summarize the lessons learned for software engineering of the system. | Keywords: Room Sensors;Object Recognition;Perceptual Anchoring;Observability;Ontology;Declarative World Model;Digital Twins;Semantic Graph;Data Stream Processing;Event Driven;Low Code Software architecture;Semantics;Robot vision systems;Programming;Robot sensing systems;Digital twins;Object recognition | DOI: 10.1109/ICSA-C63560.2024.00060 Venue: 2024 IEEE 21st International Conference on Software Architecture Companion (ICSA-C)</t>
  </si>
  <si>
    <t xml:space="preserve">TITLE: Data Processing Tools for Graph Data Modelling Big Data Analytics | Abstract: Any Big Data scenario eventually reaches scalability concerns for several factors, often storage or computing power related. Modern solutions have been proven to be effective in multiple domains and have automated many aspects of the Big Data pipeline. In this paper, we aim to present a solution for deploying event-based automated data processing tools for low code environments that aim to minimize the need for user input and can effectively handle common data processing jobs, as an alternative to distributed solutions which require language specific libraries and code. Our architecture uses a combination of a network exposed service with a cluster of “Data Workers” that handle data processing jobs effectively without requiring manual input from the user. This system proves to be effective at handling most data processing scenarios and allows for easy expandability by following simple patterns when declaring any additional jobs. | Keywords: big data;data processing;cloud computing;event system;rabbitMQ Codes;Scalability;Pipelines;Manuals;Computer architecture;Big Data;Data processing | DOI: 10.1109/IIAI-AAI-Winter58034.2022.00048 Venue: </t>
  </si>
  <si>
    <t xml:space="preserve">TITLE: Differential protection of microgrids over a WiMAX network | Abstract: One of the widely used methods for protecting power system elements is the Line Current Differential Protection (LCDP) schemes that works by comparing the vector difference between the measured currents at two or more line-terminals. Communications network plays a vital role in such schemes since the local and the remote line-terminals must exchange their current elements to perform the differential calculation. This paper investigates the use of an IEEE 802.16/WiMAX based wide-area wireless communications network to support LCDP schemes in the smart microgrids. The possible use of the WiMAX network as a synchronization source to the differential relays is also proposed. Using theoretical capacity analysis, the paper examines the use of advanced WiMAX features such as persistent scheduling, robust header compression and grant synchronization to efficiently support such a scheme. In addition, simulations were conducted using an OPNET simulation model to analyze the communications performance of the scheme in terms of packet-loss and delay. The results indicate that a WiMAX network along with its advanced features is particularly well-suited to meet the challenging requirements of a differential protection scheme. | Keywords:  WiMAX;Relays;Current measurement;Synchronization;Delays;Resource management;OFDM | DOI: 10.1109/SmartGridComm.2013.6688046 Venue: </t>
  </si>
  <si>
    <t xml:space="preserve">TITLE: A green method for recycling materials from liquid crystal display panel | Abstract: In this study, a technology process including wet grinding, sieving and vacuum separation was proposed to recycle materials from waste liquid crystal display panel (LCDP). A wet crusher was used to break the glass and polarizing film of LCDP into granule first. Most liquid crystal molecules (94.10 wt. %) would be cleaned from LCDP under the impact of crusher and stayed in water. When the particle size of solid granule is less than 0.18 mm, the composition is pure glass, which accounted for 69.97 wt. % of the total granule. Pure polarizing film presents at more than 0.80 mm of particle size, which accounted for 11.47 wt. % of the total granule. The granule between 0.18~0.80 mm, which contains glass and polarizing film bonded together, would be sent back to crusher to dissociate again. The glass part of LCDP contains indium of 219 ppm. Vacuum carbothermal reduction was employed to recycle indium from the glass part of LCDP. Based on the orthogonal optimization experiment, the optimal parameters were 950 °C, 30 min, 30 wt. % carbon adding amount and 1 Pa. Indium can be separated from the indium tin oxide (ITO) of glass part selectively. The recovery ratio of indium was 93 wt. %. During the physical process, all the valuable materials including indium, glass and organic materials can be recycled efficiently and eco-friendly, and there are no hazardous materials produced. | Keywords:  Glass;Indium;Films;Recycling;Indium tin oxide;Carbon | DOI: 10.1109/EGG.2016.7829829 Venue: </t>
  </si>
  <si>
    <t>TITLE: A Low-Code Approach for Simulation-Based Analysis of Process Collaborations | Abstract: The simulation-based analysis of process collaborations introduces significant challenges, such as the ability to focus on the interchange of information and data without disclosing any internal details of collaboration participants’ processes. The use of distributed simulation (DS) provides good opportunities to face these challenges. However, properly using DS standards and technologies requires significant technical know-how and effort. This paper introduces a largely automated approach to carry out distributed simulations of process collaborations. The DS standard addressed by the paper is the High Level Architecture (HLA), which is used to analyze process collaborations specified by using the Business Process Model and Notation (BPMN). The degree of automation is obtained by using a low-code development paradigm based on automated model transformations that reduce the amount of manual effort required to code the HLA-based simulation. An example application is also discussed to underline the pros and cons of the proposed approach. | Keywords:  Adaptation models;Codes;Unified modeling language;Collaboration;Data models;Manufacturing;Standards | DOI: 10.1109/WSC60868.2023.10407452 Venue: 2023 Winter Simulation Conference (WSC)</t>
  </si>
  <si>
    <t xml:space="preserve">TITLE: VLSI implementation of a low-error-floor and capacity-approaching low-density parity-check code decoder with multi-rate capacity | Abstract: With the superior error correction capability, low-density parity-check (LDPC) codes have initiated wide scale interests in wireless communication and storage fields. In the past, various structures of single code-rate LDPC decoders have been reported. However, to cover a wide range of service requirements and diverse interference conditions in wireless applications, LDPC decoders that can operate at both high and low code rates are desirable. In this paper, a 9k code length multi-rate LDPC decoder architecture is presented and implemented on a Xilinx FPGA device. Using pin selection, three operating modes, namely, the irregular 1/2 code, the regular 5/8 code and the regular 7/8 code, are supported. Furthermore, to suppress the error floor level, a characterization on the conditions for short cycles in a LDPC code matrix expanded from a small base matrix is presented, and a cycle elimination algorithm is developed to detect and break such short cycles. The effectiveness of the cycle elimination algorithm has been verified by both simulation and hardware measurements, which show that the error floor is suppressed to a much lower level without incurring any performance penalty. The implemented decoder is tested in an experimental LDPC-OFDM system and achieves the superior measured performance of block error rate below 10/sup -7/ at SNR 1.8 dB. | Keywords:  Very large scale integration;Parity check codes;Decoding;Error correction codes;Wireless communication;Interference;Field programmable gate arrays;Hardware;System testing;Error analysis | DOI: 10.1109/GLOCOM.2005.1577854 Venue: </t>
  </si>
  <si>
    <t>TITLE: A No Code XAI Framework for Policy Making | Abstract: Explainable AI (XAI) techniques are used for understanding the internals of the AI algorithms and how they produce a particular result. Several software packages are available implementing XAI techniques however, their use requires a deep knowledge of the AI algorithms and their output is not intuitive for non-experts. In this paper we present a framework, (XAI4PublicPolicy), that provides customizable and reusable dashboards for XAI ready to be used both for data scientists and general users with no code. The models, and data sets are selected dragging and dropping from repositories While dashboards are generated selecting the type of charts. The framework can work with structured data and images in different formats. This XAI framework was developed and is being used in the context of the AI4PublicPolicy European project for explaining the decisions made by machine learning models applied to the implementation of public policies. | Keywords: Explainable Artificial Intelligence;dashboards;policies;low code Codes;Software packages;Software algorithms;Europe;Machine learning;Data models;Public policy | DOI: 10.1109/DCOSS-IoT58021.2023.00091 Venue: 2023 19th International Conference on Distributed Computing in Smart Systems and the Internet of Things (DCOSS-IoT)</t>
  </si>
  <si>
    <t>TITLE: Synergies of Operation, Information, and Communication Technology for Solving New Societal and Industrial Challenges: Future Directions | Abstract: The world is facing a series of new societal and industrial challenges, such as continuously increasing costs in food and energy supply and a short supply of skilled labor. To solve these new challenges, operation, information, and communication technology is entering a new era with more focus targeted to cost reduction and energy savings. In this article, how innovative technologies including virtualization, low-code development, digital twins, and industrial agents can support and impact digital and green transitions is analyzed. In addition, how these technologies will help the security and sustainability of future industrial automation systems is also discussed. | Keywords:  Unified modeling language;Codes;Computational modeling;Virtualization;Software engineering;Digital twins;Data models;Information and communication technology;Social factors;Sustainable development;Costs;Sustainable development;Energy conservation;Digital twins | DOI: 10.1109/MIE.2023.3321390 Venue: IEEE Industrial Electronics Magazine</t>
  </si>
  <si>
    <t>TITLE: Wearable Networks for Semantics-Driven FASPAS Approach to Fatigue Management | Abstract: FASPAS (Fatigue Aware Semantics for Planning and Scheduling in the KITT4SME) addresses the challenge of scaling number of incoming orders in a discrete manufacturing operation by automatic generation of plans that optimally assign tasks, operations, employees and resources required to produce potentially large number of heterogeneous products ordered. However, most of the existing solutions in area of manufacturing-related planning do not consider one quite relevant factor — fatigue of employees. Our goal is to integrate fatigue among other physiological factors in order to generate manufacturing plans that will make manufacturing more efficient in many ways, leading not only to higher production throughput, but making the activities more convenient for the workers themselves. The proposed solution leverages semantics-based data integration methodology of physiological data collected by wearable sensors networks with more structured ERP data enabling to perform planning which takes into account fatigue as one of the optimization factors. The proposed methodology is evaluated in realistic scenario executed within the manufacturing area. According to the results, the proposed low-code approach to development of IoT-enabled enterprise applications reduces the required efforts for their creation, while the implemented scenario involving fatigue-aware work activities scheduling proves increase in employee satisfaction. | Keywords: IoT;Enterprise Knowledge Graph;Ontologies;Planning;Semantics Job shop scheduling;Soft sensors;Ontologies;Fatigue;Throughput;Physiology;Planning | DOI: 10.1109/BalkanCom61808.2024.10557211 Venue: 2024 7th International Balkan Conference on Communications and Networking (BalkanCom)</t>
  </si>
  <si>
    <t>TITLE: A ModelOps-Based Framework for Intelligent Medical Knowledge Extraction | Abstract: Extracting medical knowledge from healthcare texts enhances downstream tasks like medical knowledge graph construction and clinical decision-making. However, the construction and application of knowledge extraction models lack automation, reusability and unified management, leading to inefficiencies for researchers and usage barriers for non-AI experts like doctors. To address these issues, we propose a ModelOps-based intelligent medical knowledge extraction framework that offers a low-code system for model construction and application. Specifically, the framework includes a dataset abstraction mechanism based on multi-layer callback functions, a reusable model training, monitoring and management mechanism, alongside a model recommendation method based on dataset similarity for quickly finding potentially suitable models for a given dataset. Our frame-work provides convenience for researchers to develop models and simplifies model access for non-AI experts like doctors. | Keywords: model operations;medical knowledge extraction;AutoAI;named entity recognition;relation extraction Training;Design methodology;Medical services;Knowledge graphs;Feature extraction;Task analysis;Monitoring | DOI: 10.1109/MedAI59581.2023.00039 Venue: 2023 IEEE International Conference on Medical Artificial Intelligence (MedAI)</t>
  </si>
  <si>
    <t xml:space="preserve">TITLE: Querylizer: An Interactive Platform for Database Design and Text to SQL Conversion | Abstract: Every day, the world becomes more data-driven. Also, an enormous amount of data generated is managed by RDBMS in the form of Tables and SQL is the language that is used to manipulate it and perform the desired operations. Not all individuals have the required knowledge of SQL language to work on the databases. This paper proposes a system that will convert natural language statements into SQL queries. Natural Language Processing, which is a component of AI, will be used by the system. NLP gives the ability to a computer program to understand human language in both spoken and written form. Moreover, the visualization of any system makes it easier to comprehend. Focusing on the Low-Code revolution presently in the industry, a visualization software for database management is proposed. | Keywords: text to SQL query generation;natural language processing;GRAPPA;RAT-SQL;Semantic Parsing;SMBoP;visualization Industries;Structured Query Language;Focusing;Natural language processing;Software;Visual databases;Artificial intelligence | DOI: 10.1109/ICONAT53423.2022.9725828 Venue: </t>
  </si>
  <si>
    <t xml:space="preserve">TITLE: System Layer Evaluation of Joint Detection and Imperfect Adaptive Beam-Forming Antenna for Packet Services in the LCR TD-CDMA System | Abstract: Both adaptive beam-forming antenna (ABA) and joint detection (JD) are key techniques in the LCR (low code rate) TD-CDMA system. ABA is adopted to suppress multi-path fading with antenna diversity and to increase system capacity by using digital signal processing (DSP) algorithms and dynamically generating the beam patterns, while JD can be used to reduce multiple-access interference (MAI) and inter-symbol interference (ISI) with advanced equalization techniques. As spatial variation of UE has existed in practical system, the system performance will be deteriorated by the DOA (direction-of- arrival) estimation error. In this paper, simulation results on the both downlink and uplink of LCR TD-CDMA in different environments are included, which can provide both the system performance with joint detection or imperfect ABA and the maximum system tolerance of DOA estimation error. Two kinds of packet services, full-buffer FTP and scheduling HTTP, will be adopted in simulation process to simulate DCH (dedicated channel) and DSCH (downlink share channel) features, respectively. | Keywords:  Adaptive arrays;Multiple access interference;Digital signal processing;Interference suppression;System performance;Direction of arrival estimation;Estimation error;Downlink;Adaptive systems;Fading | DOI: 10.1109/VETECF.2007.101 Venue: </t>
  </si>
  <si>
    <t xml:space="preserve">TITLE: New General Approach to the Design of Arbitrary Radix-4 QAM Sequences for Low PMEPR and High Code-Rate | Abstract: Orthogonal frequency division multiplexing (OFDM) is a prevalent telecommunication technology to mitigate the common multi-path problem and it is widely adopted with high-order modulations such as quadrature amplitude modulation (QAM) in many communication systems. However, uncoded OFDM systems have a serious drawback of high peak-to-mean-envelope-power ratio (PMEPR). On the other hand, coded OFDM systems, although mitigating the PMEPR problem, often lead to low code rates. Obviously, there exists a tradeoff between PMEPR and code rate in the design of OFDM systems. Nevertheless, hardly exists any approach to address this tradeoff so far in the literature. In this paper, a new general design framework for OFDM M-QAM sequences is proposed, in which the constellation size M can be any arbitrary radix-4 number (i.e. M = 4h) and the sequence length n can be any radix-2 number (i.e. n = 2m). Theoretical studies on PMEPR and code rate are presented so that both metrics can be determined for arbitrary radix-4 M and radix-2 n. This new general approach can be used to construct numerous families of sequences achieving low PMEPR, high code rate, or balancing these two metrics. Our proposed novel general design framework can be deemed very promising for the future OFDM transmission systems. | Keywords:  OFDM;Vectors;Quadrature amplitude modulation;Optimization;Measurement;Information theory;IEEE Communications Society | DOI: 10.1109/GLOCOM.2011.6134308 Venue: </t>
  </si>
  <si>
    <t>TITLE: Fully Automated Software Product Line Evolution With Diverse Artifacts | Abstract: Existing approaches in software product lines usually neglect knowledge modeling and simulation of the interaction between features capable of bringing dynamism and automation. Consequently, these solutions miss opportunities to resolve associated and emerging problems, including defect detection or quality assurance, which can be solved by effectively extracting and utilizing knowledge from data based on the differences between variants. We bring capabilities to seize them in introducing a fully automated and minimalistic approach to software product line evolution that strictly focuses on handling variability at low-level code fragments. It incorporates the autonomous modeling of emerging knowledge across preconfigured simulations. Specifically, fully automated knowledge-driven software product line evolution provides various views on an existing software product line, its variants, and their evolution through semantic and structural information accompanied by the time and order of the performed changes. We initially developed our approach for software product line evolution, followed by its successful application to the evolution of fractal scripts. We present it accordingly. Fractal products are much simpler because an application state does not span out of recursive behavior, making it manageable within the drawing. Each change is propagated into repetitive phases, causing the visual performance of the implemented feature to be infinitely detailed. Even minor changes in low code fragments tend to manifest as user-visible features owing to recursive behavior, allowing one to massively introduce new features and/or configure existing features and manage variability observable as infinitely detailed shapes. Future applications propose automated observation of more comprehensive in-code representation of feature trees. | Keywords: Aspect-oriented;configuration expressions;knowledge-driven;software product line evolution;variability modeling Software product lines;Codes;Software;Fractals;Annotations;Quality assurance;Automation;Testing;Source coding;Software algorithms | DOI: 10.1109/ACCESS.2025.3539868 Venue: IEEE Access</t>
  </si>
  <si>
    <t>TITLE: Block Orthogonal Sparse Superposition Codes for L3 Communications: Low Error Rate, Low Latency, and Low Transmission Power | Abstract: Block Orthogonal Sparse Superposition (BOSS) codes are a promising class of joint coded modulation techniques that can closely approach the finite-blocklength capacity with low-complexity decoding at low code rates under Gaussian channels. However, in fading channels, the performance of BOSS codes degrades considerably due to varying channel fading effects on coded symbols. This paper presents a unified approach to extending BOSS codes to practical fading scenarios and introduces novel joint demodulation and decoding solutions. For fast-fading channels, we propose a minimum mean square error approximation maximum a posteriori (MMSE-A-MAP) algorithm that integrates demodulation and decoding when channel state information is available at the receiver (CSIR). Additionally, for block-fading channels without CSIR, we introduce a joint demodulation and decoding method, referred to as the non-coherent sphere decoding (NSD) algorithm. Simulation results demonstrate that BOSS codes with MMSE-A-MAP decoding outperform 5G polar codes, while the NSD algorithm achieves performance comparable to quasi-maximum likelihood decoding but with significantly reduced complexity. Both decoding methods can be implemented for parallel processing, allowing them to meet low-latency requirements. Furthermore, real-time simulations on a software-defined radio testbed validate the feasibility of using BOSS codes for low-power transmission. | Keywords: Finite-blocklength channel coding;ultra-reliable low-latency communicaitons;pilot-free communications Codes;Fading channels;Vectors;Symbols;Maximum likelihood decoding;Reliability;Dictionaries;5G mobile communication;Noise;Internet of Things | DOI: 10.1109/JSAC.2025.3531569 Venue: IEEE Journal on Selected Areas in Communications</t>
  </si>
  <si>
    <t>TITLE: Model Sensemaking Strategies: Exploiting Meta-Model Patterns to Understand Large Models | Abstract: The increasing popularity of model-based and low-code platforms has raised the need to understand large models – especially in industrial settings. However, current approaches mainly rely on graph-based visual metaphors, which do not scale well with large model sizes. To address this issue, we introduce model sensemaking strategies: purposeful model visualisations based on alternative visual metaphors. We define them as reusable patterns that yield tailored visualisations when applied to meta-models. This paper presents a catalogue of domain-specific and domain-agnostic sensemaking strategies, and a recommender that suggests suitable strategies for a given meta-model. To showcase the framework’s applicability, we have implemented some of these strategies in Dandelion, an industrial, low-code graphical language workbench for the cloud. Using this platform, we have evaluated the effectiveness of the strategies to visualise large industrial models by the UGROUND company. | Keywords: model sensemaking strategies;large model visualisation;model-driven engineering;low-code platforms Visualization;Companies;Model driven engineering | DOI: 10.1109/MODELS58315.2023.00023 Venue: 2023 ACM/IEEE 26th International Conference on Model Driven Engineering Languages and Systems (MODELS)</t>
  </si>
  <si>
    <t xml:space="preserve">TITLE: Optimizing the Code Rate of Energy-Constrained Wireless Communications With HARQ | Abstract: Retransmissions due to decoding errors have a big impact on the energy budget of low-power wireless communication devices, which can be reduced by using hybrid automatic repeat request (HARQ) techniques. Nevertheless, this reduction comes at the cost of extra energy consumption introduced by the added computational load. No complete analysis of the tradeoff between retransmissions reduction and baseband consumption of low-power communications over fading channels has been reported so far. In this paper, we study the energy efficiency achievable by HARQ schemes when the code rate of the error-correcting code is optimized. For this purpose, we develop an energy consumption model that focuses on simple HARQ (S-HARQ) and Chase combining (HARQ-CC) transmissions, which are studied under fast-fading and block-fading scenarios with Nakagami-$m$ fading. The retransmission statistics are analyzed, and expressions for the expected number of transmission trials are derived. Using this framework, it is shown that transmission schemes with high diversity gain are the most efficient choice for long range transmissions, which in our case correspond to HARQ-CC and codes with low code rate. On the other hand, schemes with good multiplexing capabilities are optimal for short link distances, which in our analysis correspond to S-HARQ and high code rates. It is also shown that HARQ-CC can effectively extend the transmission range of a low-power communication device. | Keywords: Coding;cross-layer design;energy consumption modeling;energy-efficiency;fading channels;HARQ;low-power communications Energy consumption;Wireless communication;Decoding;Receivers;Encoding;Transceivers;Convolutional codes | DOI: 10.1109/TWC.2015.2469289 Venue: </t>
  </si>
  <si>
    <t xml:space="preserve">TITLE: Recursive projection-aggregation decoding of Reed-Muller codes | Abstract: We propose a new class of efficient decoding algorithms for Reed-Muller (RM) codes over binary-input memoryless channels. The algorithms are based on projecting the code on its cosets, recursively decoding the projected codes (which are lower-order RM codes), and aggregating the reconstructions (e.g., using majority votes). We further provide extensions of the algorithms based on list-decoding algorithms and code concatenation. We run our main algorithm for AWGN channels and Binary Symmetric Channels at the short code length (≤ 1024) and low code rate (≤ 0.5) regime. Simulation results show that the new algorithm not only outperforms the previous decoding algorithms for RM codes, it also outperforms the optimal decoder for polar codes (SCL+CRC) with the same parameters by a wide margin. The performance of the new algorithm for RM codes in those regimes is in fact close to that of the maximal likelihood decoder. Finally, the new decoder naturally allows for parallel implementations. | Keywords:  Decoding;Iterative decoding;Error probability;AWGN channels;Memoryless systems;Frequency modulation | DOI: 10.1109/ISIT.2019.8849269 Venue: </t>
  </si>
  <si>
    <t>TITLE: Localized Constrained-Domination Principle for Constrained Multiobjective Optimization | Abstract: The constrained-domination principle (CDP) is one of the most popular constraint-handling techniques (CHTs), since it is simple, nonparametric, and easily embedded in unconstrained multiobjective evolutionary algorithms (MOEAs). However, the CDP overly emphasizes the importance of feasibility, which may lead to the search getting stuck in some locally feasible regions or locally optimal, especially when encountering problems with discontinuous and/or narrow feasible regions. This article seeks to capitalize on the strengths of the CDP while overcoming its weaknesses. Accordingly, we propose a novel constrained MOEA (called MOEA/D-LCDP), in which the CDP is applied in a local manner. Unlike most CHTs that emphasize feasibility, which use the feasibility rule in the whole search space, the proposed localized CDP only adopts the CDP within the niche. That is, to maintain the diversity of the population, only solutions within the niche are compared based on the localized CDP. The niche radius is determined a priori by the acute angle between the current subproblem and its nearest subproblem. Additionally, a population-based status detection strategy is developed to allocate computing resources more rationally, and a diversity-enhanced CDP is designed to enhance the exploitation of the search. Comprehensive experiments conducted on four benchmark test suites with a total of 34 problems and three real-world applications demonstrate that MOEA/D-LCDP is very competitive with representative algorithms. | Keywords: Constrained optimization;constrained-domination principle (CDP);evolutionary algorithms;local manner;multiobjective optimization Optimization;Statistics;Sociology;Search problems;Evolutionary computation;Shape;Pareto optimization | DOI: 10.1109/TSMC.2023.3324797 Venue: IEEE Transactions on Systems, Man, and Cybernetics: Systems</t>
  </si>
  <si>
    <t xml:space="preserve">TITLE: A Mirco-Service Tracing System Based on Istio and Kubernetes | Abstract: In the development of micro-service architecture, fast error service location and the combing of service invocation chains are the key issues to be resolved. Otherwise, with the expansion of the system scale, the maintenance cost of the system will grow rapidly. Meanwhile, the existing tracing solution, such as Spring-Cloud, need a lot of modifications to the source code of the original system to embed, and the cost of modification is high. Based on this, this paper designs a micro-service tracing system based on Istio and container technology. This system can monitor and collect the calling information between micro-services in the micro-service architecture system. Through further analysis of this information, the duration of the single-step call and the dependence between services can also be discovered. At the same time, the tracing system has low code intrusion to the original system. Finally, we do experiments to prove that the tracing system has little impact on the performance of the original system. | Keywords: Mirco-service;Tracing System;Istio Costs;Codes;Source coding;Machine learning;Containers;Topology;Maintenance;Monitoring;Software engineering;Business | DOI: 10.1109/ICSESS47205.2019.9040783 Venue: </t>
  </si>
  <si>
    <t xml:space="preserve">TITLE: Error performance and decoder hardware comparison between EG-LDPC and BCH codes | Abstract: Low-density parity-check (LDPC) codes are promising for low code rate applications, however its competitiveness over BCH codes in the high code rate region is not well studied. In this work, we compare the Euclidean geometry (EG) LDPC and BCH codes of the length 1,023, 4,095, and 16,383 that have the code rates of 0.75~0.85. Hard-decision input data are applied to both decoders, and the EG-LDPC codes are decoded using the layered bit-flipping (BF) algorithm. Since the number of needed iterations for LDPC decoding depends on the channel condition, both decoders are designed to have the similar minimum throughput. Not only error performance but also hardware complexity and power consumption of these decoders are compared. | Keywords: Low-density parity-check codes;BCH codes;layered decoding;bit-flipping Decoding;Throughput;Iterative decoding;Signal to noise ratio;Complexity theory;Hardware | DOI: 10.1109/SIPS.2010.5624877 Venue: </t>
  </si>
  <si>
    <t xml:space="preserve">TITLE: Implementation of IDMA System with Multiple Access Channel and non-Gaussian Noise | Abstract: Non-orthogonal multiple access (NOMA) has been proposed as one of the efficient techniques to build essential components of the modern mobile networks. The expected advance of NOMA system is the improvement of possible spectrum when compared with the classical orthogonal multiple access (OMA). Interleave division multiple access (IDMA) is a very low code rate NOMA scheme which has been used as a new version of the third generation (3G) wideband CDMA system in recent years. Moreover, it can be a promised candidate for potential use in the fifth generation (5G) because it explores the possibility to share frequency, time resources and spreading codes. In this paper, we evaluate the effect of non-Gaussian noise to the IDMA system with multiple access channel. In particular, the bit error rate (BER) will be used to compare the performance of different simulation scenarios. | Keywords: IDMA;NOMA;multiple access channel;non-Gaussian noise. Mathematical model;Signal to noise ratio;OFDM;Fading channels;Wireless communication;Receivers;Gaussian noise | DOI: 10.1109/NICS.2018.8606887 Venue: </t>
  </si>
  <si>
    <t xml:space="preserve">TITLE: A Low-Complexity Interference Cancellation Approach for NOMA | Abstract: Non-orthogonal multiple access (NOMA) has been studied during the standardization of the new radio (NR), fifth generation (5G) of mobile communications systems. It has been shown that NOMA could potentially offer a robust performance in highly interfered scenarios. Despite the observed capacity gain and performance, the issue of NOMA receiver complexity may remain as a potential impediment to adoption of NOMA. The proposed advanced receivers for NOMA are more complex than regular interference cancellation receivers used in base stations. A typical advanced receiver for NOMA is composed of a core multi user detector (MUD) and a forward error correction (FEC) decoder that iteratively attempts to estimate and suppress multi-user interference. At each iteration, interference from previously decoded users are reconstructed and cancelled allowing remaining users to be successfully decoded. Among the proposed advanced receivers for NOMA, receivers using expectation propagation algorithm (EPA) has attracted much attention due its high performance. However, high complexity of such iterative decoding architectures has shadowed their performance and capability. In this paper, we investigate the performance of a simplified version of such iterative MUD receiver such as EPA receiver. According to our evaluations, the simplified receiver can maintain a similar performance as the original EPA receiver for packets with low code rates in both low and high interference environment. In case of packets with a higher code rate, the performance is only marginally degraded. | Keywords: Wireless;5G;New Radio;Non-orthogonal multiple access;NOMA;EPA;MPA;SCMA;interference cancellation;iterative receiver Receivers;NOMA;Multiuser detection;Interference cancellation;Iterative decoding;Complexity theory | DOI: 10.1109/VTC2020-Spring48590.2020.9129031 Venue: </t>
  </si>
  <si>
    <t>TITLE: Design Cloud-Edge Collaborated Batch Control Systems Based on Automatic Mapping IEC 61499 and ISA-88 | Abstract: Manufacturing is entering a new era with Industrial Internet and edge computing. The Industrial Internet cloud platform provides massive computing power and storage spaces for field devices. With more powerful chips available, field devices are also capable of handling multiple complex computational tasks simultaneously. How to collaborate resources from both cloud platforms and edge devices become an important topic for manufacturers. In this paper, a cloud-edge collaborated batch control system is proposed based on the IEC 61499 standard and the ISA-88 standard. The ISA-88 models are implemented as an independent IEC 61499 resource to support low-code development for batch control systems. Also, cloud resources are introduced in the IEC 61499 deployment to enable cloud-edge collaboration. Finally, the design process is verified with a liquid food processing line. | Keywords: IEC 61499 Function Blocks;ISA-88;Industrial Edge Computing;Batch Control;Cloud-Edge Collaboration Industrial electronics;Cloud computing;Liquids;Collaboration;Control systems;Manufacturing;IEC Standards | DOI: 10.1109/IECON51785.2023.10312726 Venue: IECON 2023- 49th Annual Conference of the IEEE Industrial Electronics Society</t>
  </si>
  <si>
    <t xml:space="preserve">TITLE: Azure Data Scientist Associate Certification Guide: A hands-on guide to machine learning in Azure and passing the Microsoft Certified DP-100 exam | Abstract: Develop the skills you need to run machine learning workloads in Azure and pass the DP-100 exam with easeKey FeaturesCreate end-to-end machine learning training pipelines, with or without codeTrack experiment progress using the cloud-based MLflow-compatible process of Azure ML servicesOperationalize your machine learning models by creating batch and real-time endpointsBook DescriptionThe Azure Data Scientist Associate Certification Guide helps you acquire practical knowledge for machine learning experimentation on Azure. It covers everything you need to pass the DP-100 exam and become a certified Azure Data Scientist Associate. Starting with an introduction to data science, you'll learn the terminology that will be used throughout the book and then move on to the Azure Machine Learning (Azure ML) workspace. You'll discover the studio interface and manage various components, such as data stores and compute clusters. Next, the book focuses on no-code and low-code experimentation, and shows you how to use the Automated ML wizard to locate and deploy optimal models for your dataset. You'll also learn how to run end-to-end data science experiments using the designer provided in Azure ML Studio. You'll then explore the Azure ML Software Development Kit (SDK) for Python and advance to creating experiments and publishing models using code. The book also guides you in optimizing your model's hyperparameters using Hyperdrive before demonstrating how to use responsible AI tools to interpret and debug your models. Once you have a trained model, you'll learn to operationalize it for batch or real-time inferences and monitor it in production. By the end of this Azure certification study guide, you'll have gained the knowledge and the practical skills required to pass the DP-100 exam.What you will learnCreate a working environment for data science workloads on AzureRun data experiments using Azure Machine Learning servicesCreate training and inference pipelines using the designer or codeDiscover the best model for your dataset using Automated MLUse hyperparameter tuning to optimize trained modelsDeploy, use, and monitor models in productionInterpret the predictions of a trained modelWho this book is forThis book is for developers who want to infuse their applications with AI capabilities and data scientists looking to scale their machine learning experiments in the Azure cloud. Basic knowledge of Python is needed to follow the code samples used in the book. Some experience in training machine learning models in Python using common frameworks like scikit-learn will help you understand the content more easily. | Keywords:   | DOI:  Venue: </t>
  </si>
  <si>
    <t xml:space="preserve">TITLE: GRT: An Automated Test Generator Using Orchestrated Program Analysis | Abstract: While being highly automated and easy to use, existing techniques of random testing suffer from low code coverage and defect detection ability for practical software applications. Most tools use a pure black-box approach, which does not use knowledge specific to the software under test. Mining and leveraging the information of the software under test can be promising to guide random testing to overcome such limitations. Guided Random Testing (GRT) implements this idea. GRT performs static analysis on software under test to extract relevant knowledge and further combines the information extracted at run-time to guide the whole test generation procedure. GRT is highly configurable, with each of its six program analysis components implemented as a pluggable module whose parameters can be adjusted. Besides generating test cases, GRT also automatically creates a test coverage report. We show our experience in GRT tool development and demonstrate its practical usage using two concrete application scenarios. | Keywords: Automatic test generation;random testing;bug detection;static analysis;dynamic analysis Testing;Data mining;Generators;Libraries;Impurities;Software systems | DOI: 10.1109/ASE.2015.102 Venue: </t>
  </si>
  <si>
    <t>TITLE: DECC: Differential ECC for Read Performance Optimization on High-Density NAND Flash Memory | Abstract: 3D NAND flash memory with advanced multi-level-cell technology has been widely adopted due to its high density, but with significantly degraded reliability. To solve the reliability issue, flash memory often adopts the low-density parity-check code (LDPC) as error correction code (ECC) to encode data and provide fault tolerance. For LDPC with a low code rate, it can provide a strong correction capability, but with a high energy cost. To avoid the cost, LDPC with a higher code rate is always adopted. When the accessed data is not successfully decoded, LDPC will rely on read retry operations to improve the error correction capability. However, the read retry operation will induce degraded read performance. In this work, a differential ECC (DECC) method is proposed to improve the read performance. The basic idea of DECC is to adopt LDPC with different code rates for data with different access characteristics. Specifically, when data is hot read and retried due to reliability, LDPC with a low code rate will be adopted to optimize performance. With this approach, the cost from LDPC with a low code rate is minimized and the performance is optimized. Through careful design and real-world workloads evaluation on a 3D triple-level-cell (TLC) NAND flash memory, DECC achieves encouraging read performance optimization. | Keywords: ECC;LDPC;3D NAND Flash;Read Performance Fault tolerance;Three-dimensional displays;Costs;Fault tolerant systems;Parity check codes;Encoding;Error correction codes | DOI:  Venue: 2023 28th Asia and South Pacific Design Automation Conference (ASP-DAC)</t>
  </si>
  <si>
    <t xml:space="preserve">TITLE: SEEAD: A Semantic-Based Approach for Automatic Binary Code De-obfuscation | Abstract: Increasingly sophisticated code obfuscation techniques are quickly adopted by malware developers to escape from malware detection and to thwart the reverse engineering effort of security analysts. State-of-the-art de-obfuscation approaches rely on dynamic analysis, but face the challenge of low code coverage as not all software execution paths and behavior will be exposed at specific profiling runs. As a result, these approaches often fail to discover hidden malicious patterns. This paper introduces SEEAD, a novel and generic semantic-based de-obfuscation system. When building SEEAD, we try to rely on as few assumptions about the structure of the obfuscation tool as possible, so that the system can keep pace with the fast evolving code obfuscation techniques. To increase the code coverage, SEEAD dynamically directs the target program to execute different paths across different runs. This dynamic profiling scheme is rife with taint and control dependence analysis to reduce the search overhead, and a carefully designed protection scheme to bring the program to an error free status should any error happens during dynamic profile runs. As a result, the increased code coverage enables us to uncover hidden malicious behaviors that are not detected by traditional dynamic analysis based de-obfuscation approaches. We evaluate SEEAD on a range of benign and malicious obfuscated programs. Our experimental results show that SEEAD is able to successfully recover the original logic from obfuscated binaries. | Keywords: Malware Analysis;De-obfuscation;Multiple Execution Paths Exploration Malware;Tools;Performance analysis;Aerospace electronics;Security;Registers;Process control | DOI: 10.1109/Trustcom/BigDataSE/ICESS.2017.246 Venue: </t>
  </si>
  <si>
    <t xml:space="preserve">TITLE: Performance of antenna hopping techniques for packet radio transmission | Abstract: A transmission diversity scheme based upon antenna hopping is investigated for packet radio transmission for a typical urban environment. Our simulation results reveal that the gain obtained with antenna hopping at high speed is not significant. However, considerable gain is observed for low code rates such as CSI in GPRS, and MCS 5 and MCS 6 in EGPRS. | Keywords:   | DOI: 10.1049/cp:20020452 Venue: </t>
  </si>
  <si>
    <t>TITLE: RRCFuzzer: A 3GPP-Guided Fuzzing Method for Radio Resource Control Protocol | Abstract: With the rapid development of telecommunication technology, the number of globally connected user equipment has reached 8.6 billion. Currently, LTE and 5G have become the dominant mobile communication technologies worldwide. The Radio Resource Control (RRC) protocol is a key protocol in LTE and 5G wireless communication systems. Once vulnerabilities exist in the RRC protocol and are exploited by attackers, it can lead to significant security risks with a wide-ranging impact. Due to the large number of RRC protocol messages and their complex structures, current research on fuzzing the RRC protocol mainly relies on manually extracting a limited number of messages, resulting in incomplete message coverage and low code coverage rates. To address this issue, we propose RRCFuzzer, a 3GPPguided fuzzing method for the RRC protocol. RRCFuzzer automatically extracts all message knowledge of the RRC protocol from 3GPP documents to form a set of RRC message templates, guiding the generation of new messages for fuzzing. We design and implement the RRCFuzzer framework, and conduct experimental verification on the open-source project srsLTE/srsRAN. The experimental results indicate that the message coverage increased by 47.28 %, the code line coverage increased by 23.93 %, and the function coverage increased by 15.24 %. RRCFuzzer discovered 18 new vulnerabilities in the open-source project. | Keywords: 3GPP;LTE;5G;RRC;Fuzzing Wireless communication;Protocols;Codes;5G mobile communication;Fuzzing;Communications technology;3GPP;Security;Long Term Evolution;Testing | DOI: 10.1109/ICT65093.2025.11046228 Venue: 2025 31st International Conference on Telecommunications (ICT)</t>
  </si>
  <si>
    <t xml:space="preserve">TITLE: Cell migration assay using multiple laminar flows in PDMS microchannel | Abstract: Cell migration is a cellular process that plays a critical role in health and disease, including embryogenesis, wound healing, immune response, and tissue development. In order to overcome some shortcomings derived from traditional physical scrape-based cell migration assay, multiple laminar flows have been used to partially treat a confluent cell sheet formed in microchannels, which can simply pattern physiological wound edge. In the present study, rapid prototyping of poly(dimethylsiloxane) (PDMS) microchannels for assays was preformed utilizing instead a simple photopolymerization procedure adapted for a conventional liquid crystal display projector (LCDP) without any need for expensive photomasks. PDMS microchannels having three inlets (300 μm in width) that converged into a single main channel (900 μm in width) were fabricated with the LCDP-modified device. In conclusion, wound edges of confluent cell monolayers for cell migration assay were prepared utilizing trypsin laminar flow to contact only a portion of cell monolayers, within microfluidic channels. These results demonstrate that cell migration assays could be performed even in a miniaturized platform. The utilization of miniaturized microchannels can minimize the amount of expensive reagents required for cell migration assay and allows for possible scaling-up in future applications. | Keywords:  Microchannel;Wounds;Microfluidics;Cells (biology);Reservoirs;Liquid crystal displays;Bovine;Microscopy;Biomedical engineering;Diseases | DOI: 10.1109/MHS.2007.4420889 Venue: </t>
  </si>
  <si>
    <t xml:space="preserve">TITLE: Enhanced Quasi-Maximum Likelihood Decoding Based on 2D Modified Min-Sum Algorithm for 5G LDPC Codes | Abstract: We propose a two-dimensional modified min-sum algorithm for the LDPC codes in the fifth generation (5G) networks standard to approach the error performance of the sum-product algorithm (SPA). In the proposed decoding algorithm, we adopt a partial self-correction method followed by message amplification to improve the reliability of the variable-to-check (V2C) messages. To further approach the performance of the maximum likelihood decoding for 5G short LDPC codes, we propose an enhanced quasi-maximum likelihood (EQML) decoding method. The proposed decoding method performs multiple rounds of decoding tests once the first decoding attempt fails, where the decoder inputs of the selected unreliable variable nodes are modified in each decoding test. A novel node selection method based on the sign fluctuation of V2C messages is proposed for the EQML decoding method. We also present a partial pruning stopping (PPS) rule to reduce the decoding complexity by deactivating part of the decoding tests once a valid codeword is found. A lower bound on the error performance is also derived by using the semi-analytical method. Simulation results show that the EQML decoding method outperforms the SPA with the same decoding complexity and other QML decoding methods, and it approaches the Polyanskiy-Poor-Verdú bound within 0.4 dB. | Keywords: LDPC codes;iterative decoding;short block lengths;low code rates;decoding complexity;node selection;reprocessing Maximum likelihood decoding;5G mobile communication;Complexity theory;Iterative decoding;Reliability | DOI: 10.1109/TCOMM.2020.3015213 Venue: </t>
  </si>
  <si>
    <t>TITLE: Automated Security Penetration Testing Based on Machine Learning | Abstract: Penetration testing is a crucial measure for preventing cyberspace attacks. Typically, penetration testing is conducted manually, which presents challenges such as reliance on experience, high costs, and low efficiency. This study proposes an automated penetration testing method that integrates machine learning algorithms with Metasploit to achieve low-code generation and execution of penetration testing cases. This approach enhances testing efficiency, reduces costs, and mitigates dependence on experience. The study introduces a decision-making algorithm to facilitate the selection of exploit files during the generation of penetration testing cases and leverages Metasploit to implement basic penetration testing functionalities. Experimental results show that the algorithm achieves an accuracy of 73.16%, and the method successfully meets the objective of automated penetration testing. | Keywords: penetration testing;machine learning;decision;exploit Machine learning algorithms;Costs;Accuracy;Decision making;Cyberspace;Machine learning;Security;Penetration testing;Testing | DOI: 10.1109/EIECC64539.2024.10929572 Venue: 2024 4th International Conference on Electronic Information Engineering and Computer Communication (EIECC)</t>
  </si>
  <si>
    <t>TITLE: Streamlining the Engineering and Distribution of Graphical DSLs based on Recurring Patterns | Abstract: In the context of general purpose Low-Code / No-Code (LCNC) platforms, where the visual modeling languages can be defined possibly easily and supported in a possibly systematic and uniform fashion, we examine the challenges of creating and distributing graphical Domain-Specific Languages (DSLs) and identify key patterns within the process that form the basis of Cinco Cloud, our cloud based LCNC platform. First, we outline essential functionalities for Integrated Modeling Environments (IMEs) for graphical DSLs, most of which can be derived from the high-level DSL specifications. This recurring task can be simplified by automatically generating or configuring IMEs from these specifications, or by programmatically extending them with additional semantics. Second, we explores how an integrated language repository within the Cinco Cloud architecture can facilitate the distribution and reuse of DSLs, while streamlining the overall language engineering process. Architectural concerns are in fact at the core of the tension between uniformity and specialization. Finally, we discuss future opportunities for enhancing language versioning, improving discoverability, and integrating AI tools to support the design and use of DSLs. | Keywords: Domain specific languages;LCNC;Model-driven engineering;Language-driven engineering;Cloud-based IDEs Cloud computing;Visualization;Systematics;Software architecture;Semantics;Organizations;Model driven engineering;DSL;Domain specific languages;Context modeling | DOI: 10.1109/ICSA-C65153.2025.00056 Venue: 2025 IEEE 22nd International Conference on Software Architecture Companion (ICSA-C)</t>
  </si>
  <si>
    <t xml:space="preserve">TITLE: A Comparative Study of Error Detection and Correction Coding Techniques | Abstract: The various codes are used for the error detection and correction in the field of communication. Some are for the single bit error and some are for the multiple bits error. Reed-Muller algorithm realizes the ability of multiple bits error detection and correction. With the superior error correction capability, these codes have initiated wide scale interests in satellite communication, wireless communication, and storage fields. Reed-Muller codes cover a wide range of service requirements and diverse interference conditions in wireless applications and can operate at both high and low code rates. In this paper, the comparison of Reed-Muller codes with different other codes for error detection and correction of multiple bits is proposed and further we can implement it on a Xilinx field programmable gate array (FPGA) device. Using Reed-Muller method the data is transferred from transmitter to receiver without any error. The error detection and correction principle and realization methods are described in detail. The multiple bits error detection and correction with Reed-Muller algorithm method can improve the bit error rate and packet error rate effectively. | Keywords: FORWARD ERROR CORRECTION;AUTOMATIC REPEAT REQUEST;REED-MULLER CODE;SINGLE BIT AND MULTIPLE BITS ERROR Automatic repeat request;Error correction codes;Receivers;Decoding;Forward error correction;Encoding;Transmitters | DOI: 10.1109/ACCT.2012.2 Venue: </t>
  </si>
  <si>
    <t xml:space="preserve">TITLE: Research on Motion Trajector Planning of Industrial Robot Based on ROS | Abstract: In view of the current traditional robot control system with narrow application surface, low code reuse rate, poor scalability, complex model construction, trajectory planning algorithm implementation difficulties, single function and transplantation difficulties, the purpose of this paper is to use the open source robot operating system ROS and to build the robot control system, and the simulation of robot motion planning and experimental verification.First, the Moveit was performed for the URDF model of the robot.The configuration of the function package.Then the trajectory planning of the robot spatial line and spatial arc was conducted, and the path point information of the spatial trajectory was generated according to the OMPL motion planning library of the ROS system.Finally, in order to better control the actual robot, the path point information is interpolated with quintic splines, and the interpolated data was sent to the servo driver through the EtherCAT bus, so as to control the actual robot movement..Finally, through simulation verification, the results show that the motion trajectory of each joint of the robot is stable, with high accuracy, and the curve obtained by the quintic spline is more smooth and stable, which provides a method for the practical motion planning of the robot. | Keywords: ROS;industrial robot;motion planning;spline interpolation Robot motion;Service robots;Trajectory planning;Robot kinematics;Data models;Libraries;Planning | DOI: 10.1109/CACRE54574.2022.9834167 Venue: </t>
  </si>
  <si>
    <t xml:space="preserve">TITLE: No Code AI: Automatic Generation of Function Block Diagrams from Documentation and Associated Heuristic for Context-Aware ML Algorithm Training | Abstract: Industrial process engineering and PLC program development have traditionally favored Function Block Diagram (FBD) programming over classical imperative style programming like the object oriented and functional programming paradigms. The increasing momentum in the adoption and trial of ideas now classified as “No Code” or “Low Code” alongside the mainstream success of statistical learning theory or the so-called machine learning is redefining the way in which we structure programs for the digital machine to execute. A principal focus of “No Code” is deriving executable programs directly from a set of requirement documents or any other documentation that defines consumer or customer expectation. We present a method for generating Function Block Diagram (FBD) programs as either the intermediate or final artifact that can be executed by a target system from a set of requirement documents using a constrained selection algorithm that draws from the top line of an associated recommender system. The results presented demonstrate that this type of No-code generative model is a viable option for industrial process design. | Keywords: No Code;ML training heuristic;Statistical learning;AI for Industrial Engineering Training;Process design;Service robots;Object oriented modeling;Statistical learning;Documentation;Predictive models | DOI: 10.1109/ICMERR56497.2022.10097820 Venue: </t>
  </si>
  <si>
    <t xml:space="preserve">TITLE: Abstraction of Odor Source Declaration Algorithm from Moth-Inspired Plume Tracing Strategies | Abstract: A moth behavior-inspired strategy, including tracing a chemical plume to its source and declaring the source location, was tested in near shore ocean conditions via a REMUS underwater vehicle. The Held experiments demonstrated the plume tracing distances over 100 m and the source declaration accuracy relative to the nominal source location on the order of tens of meters. However, the source declaration still leaves significant room for improvement. This paper presents two approaches to declaring the odor source location in turbulent fluid environments via an underwater vehicle. The main idea is to use last chemical detection points (LCDPs) to construct a source identification zone (SIZ) in the order of time series or of the most recent up-flow direction. The performance of the proposed approaches is evaluated using a simulated turbulent fluid environment. The simulation studies show that a success rate in declaring the odor source reaches over 98% and the average error of the declared source locations is less than 1 meter for 1000 CPT test runs in an operation area with length scales of 100 meters. | Keywords: Autonomous underwater vehicles;behavior-based control;chemical plume tracing;odor source declaration Position measurement;Testing;Robots;Biomimetics;Underwater vehicles;Vehicle detection;Oceans;Chemical hazards;Maintenance;Computer science | DOI: 10.1109/ROBIO.2006.340369 Venue: </t>
  </si>
  <si>
    <t xml:space="preserve">TITLE: Optimizing the code rate for achieving energy-efficient wireless communications | Abstract: Error correcting coding is a well-known technique for reducing the required signal-to-noise ratio (SNR) needed to attain a given bit error-rate. Nevertheless, this reduction comes at the cost of extra energy consumption introduced by the baseband processing required for encoding and decoding the data. No complete analysis of the trade-off between coding gain and baseband consumption of communications over wireless channels has been reported so far. In this paper, we study the energy-consumption of BCH codes with various code rates over AWGN and Rayleigh fading channels. Our results show that codes with low code rate are optimal for performing long-range communications, while is better to use less coding redundancy when the transmission distance is short. Our results also show that the transmission range of a low-power communication device can be increased up to 25% for AWGN channels and up to 300% for Rayleigh fading channels by using an optimized BCH code. | Keywords:  Encoding;Energy consumption;Decoding;Signal to noise ratio;Fading;Receivers;Power demand | DOI: 10.1109/WCNC.2014.6952166 Venue: </t>
  </si>
  <si>
    <t>TITLE: FCToken: A Flexible Framework for Blockchain-Based Compliance Tokenization | Abstract: Tokenization has emerged as a pivotal topic in fintech. It involves converting indivisible assets into divisible tokens, streamlining their trade and management. While asset tokenization offers benefits like reduced entry barriers, faster transaction settlements, and improved asset liquidity, it also presents challenges, notably concerns like money laundering and terrorism financing. The current landscape lacks comprehensive regulatory measures, allowing unrestricted access for both token issuers and buyers. To address the aforementioned challenges, this paper introduces the FCToken framework, meticulously designed to facilitate compliance tokenization across diverse scenarios and asset types. Innovatively, the framework operates at both the Token and Identity levels, encompassing four core modules to actualize compliance token issuance. Leveraging this framework, we have devised a prototype system, integrating both a GUI low-code module and a gas fee prediction mechanism. Such integrations not only bolster compliance-centric development efficiency but also proffer users methodologies to curtail gas expenditures during the token issuance process. | Keywords: Blockchain;tokenization;compliance;low-code;gas fee Technological innovation;Terrorism;Smart contracts;Prototypes;Tokenization;Blockchains;Standards | DOI: 10.1109/ICDMW60847.2023.00093 Venue: 2023 IEEE International Conference on Data Mining Workshops (ICDMW)</t>
  </si>
  <si>
    <t xml:space="preserve">TITLE: Image Retrieval Based on Hierarchical Locally Constrained Diffusion Process | Abstract: To address the problem of high matrix computational cost in traditional diffusion process methods for large scale image retrieval, we propose a novel image retrieval algorithm based on hierarchical locally constrained diffusion process (HLCDP) by combining algebraic multigrid and diffusion ranking on manifold. In HLCDP, all retrieved images of the image database are built into a bottom-to-top hierarchical structure by selecting the representative images. Then the similarity among images on the top layer is diffused by using locally constrained diffusion process, and the affinities (i.e. ranking scores) between query images and top-layer representative images are interpolated to all images on the bottom layer to obtain the affinities between the query images and all of the images in database. Our method is evaluated on image retrieval tasks by comparing with locally constrained diffusion process (LCDP), self-smoothing operator (SSO) and self-diffusion (SD). The experimental results on MPEG7 data set and ImageCLEFmed2005 data set demonstrate that the proposed method improves the retrieval performance and reduces the retrieval time consumption. | Keywords: Hierarchical structure;algebraic multigrid;Manifold learning;Diffusion process Diffusion processes;Manifolds;Image retrieval;Kernel;Noise measurement | DOI: 10.1109/ICBK.2017.45 Venue: </t>
  </si>
  <si>
    <t>TITLE: Sketch2Process: End-to-End BPMN Sketch Recognition Based on Neural Networks | Abstract: Process models play an important role in various software engineering contexts. Among others, they are used to capture business-related requirements and provide the basis for the development of process-oriented applications in low-code/no-code settings. To support modelers in creating, checking, and maintaining process models, dedicated tools are available. While these tools are generally considered as indispensable to capture process models for their later use, the initial version of a process model is often sketched on a whiteboard or a piece of paper. This has been found to have great advantages, especially with respect to communication and collaboration. It, however, also creates the need to subsequently transform the model sketch into a digital counterpart that can be further processed by modeling and analysis tools. Therefore, to automate this task, various so-called sketch recognition approaches have been defined in the past. Yet, these existing approaches are too limited for use in practice, since they, for instance, require sketches to be created on a digital device or do not address the recognition of edges or textual labels. Against this background, we use this paper to introduce Sketch2Process, the first end-to-end sketch recognition approach for process models captured using BPMN. Sketch2Process uses a neural network-based architecture to recognize the shapes, edges, and textual labels of highly expressive process models, covering 25 types of BPMN elements. To train and evaluate our approach, we created a dataset consisting of 704 hand-drawn and manually annotated BPMN models. Our experiments demonstrate that our approach is highly accurate and consistently outperforms the state of the art. | Keywords: Requirements engineering;business process modeling;graphics recognition and interpretation Unified modeling language;Shape;Flowcharts;Target recognition;Image edge detection;Handwriting recognition;Transforms | DOI: 10.1109/TSE.2022.3228308 Venue: IEEE Transactions on Software Engineering</t>
  </si>
  <si>
    <t xml:space="preserve">TITLE: Capacity and Mutual Information of Soft and Hard Decision Output M-Ary PPM over UWB Channels | Abstract: The performance of impulse radio is investigated for frequency-selective ultra-wideband (UWB) channels and orthogonal M-ary pulse position modulation (PPM) in terms of the maximum achievable data rate, where the outputs of the M-ary correlation receiver implemented through the rake structure with conventional maximal ratio combining undergo either hard or soft decisions. The major difference observed between the soft and hard decision output systems is that at low code rates increasing the constellation size, M, requires an increase in the minimum signal-to-noise ratio (SNR) per communicated bit for the system with hard decisions. It is demonstrated that independent of the type of decision making, achievable rates in UWB channels are low compared to those in additive white Gaussian noise channels, as the frequency-selectivity of the UWB channel destroys the orthogonality of the transmitted PPM signals. The interference from the other users and the constellation size put additional constraints on the achievable data rates at high values of SNR. | Keywords:  Mutual information;Signal to noise ratio;Frequency;Pulse modulation;Ultra wideband technology;RAKE receivers;Diversity reception;Constellation diagram;Decision making;Additive white noise | DOI: 10.1109/ICC.2008.873 Venue: </t>
  </si>
  <si>
    <t xml:space="preserve">TITLE: TCD: Statically Detecting Type Confusion Errors in C++ Programs | Abstract: For performance reasons, C++, albeit unsafe, is often the programming language of choice for developing software infrastructures. A serious type of security vulnerability in C++ programs is type confusion, which may lead to program crashes and control flow hijack attacks. While existing mitigation solutions almost exclusively rely on dynamic analysis techniques, which suffer from low code coverage and high overhead, static analysis has rarely been investigated. This paper presents TCD, a static type confusion detector built on top of a precise demand-driven field-, context-and flow-sensitive pointer analysis. Unlike existing pointer analyses, TCD is type-aware as it not only preserves the type information in the pointed-to objects but also handles complex language features of C++ such as multiple inheritance and placement new, making it therefore possible to reason about type casting in C++ programs. We have implemented TCD in LLVM and evaluated it using seven C++ applications (totaling 526,385 lines of C++ code) from Qt, a widely-adopted C++ toolkit for creating GUIs and cross-platform software. TCD has found five type confusion bugs, including one reported previously in prior work and four new ones, in under 7.3 hours, with a low false positive rate of 28.2%. | Keywords: type confusion, bug detection, software security, pointer analysis, static analysis Codes;Program processors;Prevention and mitigation;Computer bugs;C++ languages;Static analysis;Detectors;Software;Software reliability;Security | DOI: 10.1109/ISSRE.2019.00037 Venue: </t>
  </si>
  <si>
    <t xml:space="preserve">TITLE: Code construction and FPGA implementation of a low-error-floor multi-rate low-density Parity-check code decoder | Abstract: With the superior error correction capability, low-density parity-check (LDPC) codes have initiated wide scale interests in satellite communication, wireless communication, and storage fields. In the past, various structures of single code-rate LDPC decoders have been reported. However, to cover a wide range of service requirements and diverse interference conditions in wireless applications, LDPC decoders that can operate at both high and low code rates are desirable. In this paper, a 9-k code length multi-rate LDPC decoder architecture is presented and implemented on a Xilinx field-programmable gate array device. Using pin selection, three operating modes, namely, the irregular 1/2 code mode, the regular 5/8 code mode, and the regular 7/8 code mode, are supported. Furthermore, to suppress the error floor level, a characterization on the conditions for short cycles in a LDPC code matrix expanded from a small base matrix is presented, and a cycle elimination algorithm is developed to detect and break such short cycles. The effectiveness of the cycle elimination algorithm has been verified by both simulation and hardware measurements, which show that the error floor is suppressed to a much lower level without incurring any performance penalty. The implemented decoder is tested in an experimental LDPC orthogonal frequency division multiplexing system and achieves the superior measured performance of block error rate below 10/sup -7/ at signal-to-noise ratio of 1.8 dB. | Keywords: Block-error rate;channel encoding;cycle elimination;forward error correction (FEC);field-programmable gate array (FPGA);low-density parity-check (LDPC) codes;multi-rate;orthogonal frequency division multiplexing (OFDM);signal-to-noise ratio (SNR);VLSI Field programmable gate arrays;Parity check codes;Decoding;Floors;Error correction codes;Satellite communication;Wireless communication;Interference;Hardware;System testing | DOI: 10.1109/TCSI.2005.862074 Venue: </t>
  </si>
  <si>
    <t>TITLE: Unsourced Random Access via Random Dictionary Learning With Pilot-Free Transceiver Design | Abstract: This work studies the unsourced random access (URA) problem via random dictionary learning over Rayleigh block-fading channels with multiple receive antennas. We propose a novel pilot-free URA equipped with a concatenated URA coding structure enabled by on-off patterns. The inherent collision problem in URA is mitigated with slotted encoding structure. Other problems of state-of-the-arts such as low code rate and inefficient transmission are well-tackled. Distinctively, activity detection is not only accomplished in the original pilot-free manner but also enhanced with softer verdict. Facing the potential false alarm (FA) error, a joint channel pruning and dictionary learning procedure maintains FA under a low level. The learning process updates the noise variance of pseudo noise with explicit models to obtain channel estimation. Subsequently, for the first time, this work realizes joint on-off pattern detection and data restoration for on-off division multiple access (ODMA) under multiple-input and multiple-output (MIMO). Also, a successive interference cancellation (SIC) structure is adopted as an iterative approach to produce desirable performance. Moreover, we analyze the approximation of error ceiling and the performance lower-bound determined by feasible deterministic parameters. Finally, numerical simulations with fair comparisons validate the viability of the proposed URA scheme. | Keywords: Unsourced random access (URA);random dictionary learning;on-off division multiple access (ODMA);activity detection;channel estimation;joint pattern detection and data restoration;successive interference cancellation (SIC);massive MIMO Channel estimation;Machine learning;Encoding;Decoding;Dictionaries;Interference cancellation;Fading channels | DOI: 10.1109/TWC.2024.3457611 Venue: IEEE Transactions on Wireless Communications</t>
  </si>
  <si>
    <t xml:space="preserve">TITLE: Predictive Analytics Models for Student Admission to Master Programs in Romania | Abstract: This study examines the student admission process at Politehnica University Timisoara's Faculty of Electronics, Telecommunications, and Information Technologies for master's engineering programs. The focus of the study is the student's admission prediction into the mainstream programs offered by our faculty. The programs in this category are the most successful and stable. Most of the features we use have been geared toward the options of future degree programs students may choose to pursue. In these experiments, we used several evaluation methods, including stratified cross-validation and evaluation of unseen data chunks that were not used for training. The Gradient Boost Classifier performs the best of the six models. Among the conclusions drawn is that secondary options do not provide relevant information for predictive models. We implemented the experiments using a low-code framework; as a result, the predictive analysis pipeline was largely automated. | Keywords: student admission;educational data mining;predictive modeling;master's degree programs;machine learning Training;Analytical models;Pipelines;Predictive models;Data models;Telecommunications;Data mining | DOI: 10.1109/ISETC56213.2022.10010056 Venue: </t>
  </si>
  <si>
    <t>TITLE: Poster: Uncovering Vulnerabilities in Wasm Smart Contracts | Abstract: WebAssembly (Wasm) smart contracts have shown growing popularity across blockchains (e.g., EOSIO and NEAR) recently. Wasm smart contracts have been suffering from various attacks exploiting their vulnerabilities. Even worse, few developers released the source code of their Wasm smart contracts for security review, raising the bar for uncovering vulnerable contracts. Although a few approaches have been proposed to detect vulnerable Wasm smart contracts, they have several major limitations, e.g., low code coverage, low accuracy and lack of scalability, unable to produce exploit payloads, etc. To fill the gap, we design and implement WASAI,a new concolic fuzzer for uncovering vulnerabilities in Wasm smart contract. We conduct extensive experiments to evaluate WASAI,and the results show that it outperforms the state-of-the-art methods. WASAI achieves 2x code coverage than the baselines and surpasses them in detection accuracy, with an F1-measure of 99.2%. Applying WASAI to all deployed smart contracts in the wild, we find that over 707 smart contracts are vulnerable. One Fake EOS vulnerability reported to the EOSIO ecosystem was recently assigned a CVE identifier (CVE-2022-27134). | Keywords: concolic fuzzing;smart contracts;dynamic software analysis Codes;Source coding;Scalability;Smart contracts;Ecosystems;Earth Observing System;Software | DOI: 10.1109/ICDCS57875.2023.00125 Venue: 2023 IEEE 43rd International Conference on Distributed Computing Systems (ICDCS)</t>
  </si>
  <si>
    <t xml:space="preserve">TITLE: Linear Interference Cancellation for Downlink Map Reception in IEEE 802.16E | Abstract: Next generation wireless systems, such as the IEEE 802.16e specification, are designed to provide great flexibility in scheduling radio resources on a per frame basis. Such flexibility, coupled with the need to maintain good quality of service (QoS) for cell-edge users can, however, lead to significant control channel overhead especially when using low code rates to maintain cell edge coverage. It is shown here that in interference-limited scenarios dual antenna mobile stations (MS) equipped with interference cancellation (IC) receivers can significantly alleviate this problem. In this study, the performance of a linear MMSE IC receiver is evaluated both at the link level and at the network level. It is shown that a practical IC receiver can achieve link performance gains in the range of 2.5-14 dB over a maximal ratio combining (MRC) receiver in single interferer dominant conditions. Performance at the network level is evaluated using the well-known EESM method to model the link-level performance for OFDM systems, and the introduction of IC receivers at the MS is shown to increase control channel coverage by 10-24% at low codeword repetition factors | Keywords: 802.16e;DL-MAP;Interference Cancellation;MRC;CSTD Interference cancellation;Downlink;OFDM;Quality of service;Diversity reception;Interference suppression;Receiving antennas;Integrated circuit modeling;Frequency diversity;MIMO | DOI: 10.1109/PIMRC.2006.254331 Venue: </t>
  </si>
  <si>
    <t xml:space="preserve">TITLE: Improved binary turbo coded modulation with 16QAM in HSDPA | Abstract: High speed downlink packet access (HSPDA) is proposed as the evolution of WCDMA recently, aiming at providing higher downlink transmission rate with peak rate about 8-10 Mbps. Turbo code combined with high order modulation can provide bandwidth efficient transmission with substantial coding gain over traditional trellis coded modulation (TCM). In this paper, author evaluates the feasibility of the application of binary turbo coded modulation (BTCM) with 16QAM in HSPDA. Some improvements of interleaver design according to label mapping are proposed to enhance the performance. And the impact of rate matching functionality on the performance of BTCM is analyzed. Simulation results show that the improved BTCM scheme with 16QAM can be implemented with low code rate and outperform the conventional scheme. | Keywords:  Turbo codes;Modulation coding;Multiaccess communication;Downlink;Cyclic redundancy check;Bandwidth;AWGN;Throughput;Transmitters;Physical layer | DOI: 10.1109/WCNC.2003.1200368 Venue: </t>
  </si>
  <si>
    <t>TITLE: A Low Valid Throughput Loss LDPC Codec Architecture With Variable Code Rate | Abstract: Shortening is a rate-compatible technology that can improve LDPC error correction performance by modifying the code rate. However, as the code rate decreases, the throughput of valid data drops rapidly. Reducing the attenuation of valid throughput at low code rates is challenging. For this reason, this brief proposes two contributions. First, a Block Tag-based encoding method is presented with a non-fixed code length, which reduces the latency caused by fixed-length communications. Second, a novel Time Division Multiplexing (TDM) architecture is developed to improve valid throughput, reducing resource utilization compared to conventional multiplexers. Based on the above contributions, the codec is implemented on FPGA and the results show that the valid throughput loss is low in changing from high to low code rates. | Keywords: LDPC codec;throughput loss;time division multiplexing;non-fixed code length;FPGA Codes;Throughput;Codecs;Decoding;Time division multiplexing;Iterative decoding;Clocks | DOI: 10.1109/TCSII.2023.3344221 Venue: IEEE Transactions on Circuits and Systems II: Express Briefs</t>
  </si>
  <si>
    <t xml:space="preserve">TITLE: Fast acquisition techniques for very long PN codes for On-Board Secure TTC transponders | Abstract: Next generation of On-Board Telemetry, Tracking and Command (TTC) equipment for Secure Communications, based on Spread Spectrum Systems, shall adopt very long Pseudo Noise (PN) Cryptographic Codes in order to increase the Secure Satellite link Confidentiality and Anti-Jamming performances. This paper presents a new On Board PN Codes Synchronizer Architecture based on the Generalized Zero Padding Algorithm (GZP) and frequency domain Doppler compensation scheme in order to acquire very long PN codes at low Signal to Noise Ratio, large Doppler and large Jammer over Signal Power Ratio (J/S). It is shown that by adjusting the zeros padded to the received signal, the non coherent integrations and the Doppler compensation strategy, the On-Board Code Synchronizer satisfies all different satellite mission scenarios (Geo Stationary Orbit, Low Earth Orbit, Medium Earth Orbit and Launch and Early Orbit phases) requirements for very long PN code synchronization, ensuring very low code acquisition time due to the high parallel searching capability. | Keywords: Detection Performance;Acquisition time;Long PN Codes;Generalized Zero Padding scheme;Geo Stationary Orbit;Medium Earth Orbit;Low Earth Orbit;Anti Jamming Jamming;Doppler effect;Synchronization;Low earth orbit satellites;Signal to noise ratio;Earth;Iron | DOI: 10.1109/MILCOM.2011.6127563 Venue: </t>
  </si>
  <si>
    <t xml:space="preserve">TITLE: Automated Data-Processing Function Identification Using Deep Neural Network | Abstract: The number of software vulnerabilities is increasing year by year. In the era of big data, data-processing software with many users is more concerned by hackers. It is essential to improve the efficiency of discovering vulnerabilities in data-processing software. We noticed that in the process of discovering vulnerabilities, some problems of existing technology such as fuzzing, symbolic execution, and taint analysis have more or fewer relationships with data-processing functions. In fuzzing, there are two types of sanity checks toward the target program: NCC (Non-critical check) and CC (critical check). It is usually challenging to bypass such a sanity check, which leads to low code coverage during fuzzing. In symbolic execution, the constraint solver still has the problem of trying to deal with the constraints of complex algorithms. In taint analysis, the problem of over-taint and under-taint is always the key to affect the accuracy of the results. Therefore, to solve the above problems, it is necessary to identify the data-processing function. Based on identifying data-processing functions, we could identify those sanity checks, ease the solution of complex constraints, and understand the way of taints propagation to assist in software vulnerability discovery and analysis. This paper proposed a method called DPFI(data-processing function identification) for identifying data-processing functions with deep neural networks. We collected 37000 functions from GitHub and implemented the method on the data set with several neural networks, among which the performance of CNN achieved best and  $F_{1}$ -score was 0.90. We then applied the trained model on CGC(cyber grand challenge) data and real softwares for testing. For CGC, we got 448 functions in 20 programs, in which 35 were identified as data-processing functions. For real softwares, such as FFmpeg, 7zip, jpeg, the precision rate all reached 0.90 and  $F_{1}$ -score was above 0.87. | Keywords: Data-processing;function identification;source code;deep neural network;vulnerability Neural networks;Software;Feature extraction;Fuzzing;Syntactics;Computer languages | DOI: 10.1109/ACCESS.2020.2981537 Venue: </t>
  </si>
  <si>
    <t>TITLE: Citizen Development, Low-Code/No-Code Platforms, and the Evolution of Generative AI in Software Development | Abstract: The demand for faster software solutions exceeds the supply of skilled software developers. More businesses will adopt citizen development frameworks and generative AI tools; however, this solution adds some challenges for project governance and security. | Keywords:   | DOI: 10.1109/MC.2025.3547073 Venue: Computer</t>
  </si>
  <si>
    <t>This paper introduces Gutek, a novel open-source framework designed to optimize the learning process through intelligent revision algorithms.</t>
  </si>
  <si>
    <t>Programming is basically about humans telling computers what to do in programming languages that computers understand but humans do not as much.</t>
  </si>
  <si>
    <t>In the Industry 4.0 scene, Artificial Intelligence (AI) is sought after as a new way of getting a competitive advantage from other market competitors.</t>
  </si>
  <si>
    <t>A case study of an AUtalk-managed IOC with two IoT systems highlights its effectiveness in promoting sustainability and responsible IoT operations..</t>
  </si>
  <si>
    <t>Yet, the substantial expenses and technical complexities of robotic systems, demanding significant time and expertise for design and deployment, limit their adoption in small enterprises.</t>
  </si>
  <si>
    <t>We implemented a smart home application as a case study to demonstrate the feasibility of FLtalk..</t>
  </si>
  <si>
    <t>Integrating cloud with fog/edge is a main trend in networking.</t>
  </si>
  <si>
    <t>The paper also presents a case study successfully carried out for the thermal inspection of the refrigerator's inner body parts manufactured by a thermoforming process.</t>
  </si>
  <si>
    <t>Taking the Palace Museum as a case study, the paper demonstrates how a lightweight big data construction plan addresses the technical selection, funding, and professionalism issues in data construction.</t>
  </si>
  <si>
    <t>A workflow specification is a detailed description of the steps, activities, and tasks that need to be completed in an automated way to achieve a specific goal.</t>
  </si>
  <si>
    <t>The widespread adoption of machine learning (ML) has brought forth diverse models with varying architectures, data requirements, introducing new challenges in integrating these systems into real-world applications.</t>
  </si>
  <si>
    <t>Based on interviews with and studies from diverse actors (e.g., trade unions, local government, EU, and professional organizations such as ACM and IEEE) and in response to top-of-mind concerns from regional industry leaders, we designed and deployed an engineering program that meets the identified needs and aims to educate a new generation of software engineers for the forthcoming digital society.</t>
  </si>
  <si>
    <t>This paper proposes a novel approach to the predictive analysis of business processes in distributed and collaborative environments.</t>
  </si>
  <si>
    <t>We outline the FLORA architecture, discuss its implementation within CdB, and propose future work to validate and integrate the framework in real-world settings..</t>
  </si>
  <si>
    <t>Raising ambition inside the Paris Agreement calls for collaboration on climate action.</t>
  </si>
  <si>
    <t>These algorithms generate changes to the application design, which are automatically applied to regenerate the application while it continues to service clients’ requests.</t>
  </si>
  <si>
    <t>Majority of the applications consider the user-defined function (UDF) design pattern for data processing in databases.</t>
  </si>
  <si>
    <t>Robotic Process Automation (RPA) uses automation technologies to imitate business tasks performed by humans.</t>
  </si>
  <si>
    <t>This study demonstrates the potential of machine learning for predicting differentiated thyroid cancer recurrence.</t>
  </si>
  <si>
    <t>We examined the utilization of our framework via a prototype pMage in a software implementation process.</t>
  </si>
  <si>
    <t>A new chapter in healthcare history has begun with the integration of machine learning (ML) and Mendix, a low-code development platform.</t>
  </si>
  <si>
    <t>In this paper, we present the Automated Low-code Flexible (ALF) Framework, designed to remove technical barriers and streamline data workflows.</t>
  </si>
  <si>
    <t>Through their widespread adoption, these technologies offer unprecedented opportunities for sustainable growth, inclusion, and digital transformation across the continent..</t>
  </si>
  <si>
    <t>Oracle Application Express (APEX) is a powerful, low-code development platform that enables the rapid creation of scalable and secure enterprise applications.</t>
  </si>
  <si>
    <t>We describe the technical design and implementation of RagRug, and report on five example applications illustrating the toolkit’s abilities..</t>
  </si>
  <si>
    <t>Nowadays, Internet networks are an integral part of our life and business.</t>
  </si>
  <si>
    <t>In this paper, we present the design concepts of a robotic system for facility management tasks.</t>
  </si>
  <si>
    <t>The simulation-based analysis of process collaborations introduces significant challenges, such as the ability to focus on the interchange of information and data without disclosing any internal details of collaboration participants’ processes.</t>
  </si>
  <si>
    <t>Extracting medical knowledge from healthcare texts enhances downstream tasks like medical knowledge graph construction and clinical decision-making.</t>
  </si>
  <si>
    <t>Finally, the design process is verified with a liquid food processing line..</t>
  </si>
  <si>
    <t>This study proposes an automated penetration testing method that integrates machine learning algorithms with Metasploit to achieve low-code generation and execution of penetration testing cases.</t>
  </si>
  <si>
    <t>To address the aforementioned challenges, this paper introduces the FCToken framework, meticulously designed to facilitate compliance tokenization across diverse scenarios and asset types.</t>
  </si>
  <si>
    <t>To train and evaluate our approach, we created a dataset consisting of 704 hand-drawn and manually annotated BPMN models.</t>
  </si>
  <si>
    <t>Date Exclude</t>
  </si>
  <si>
    <t>Primary Exclude</t>
  </si>
  <si>
    <t>Fulltext/Language Exclude</t>
  </si>
  <si>
    <t>Peer-reviewed exclude</t>
  </si>
  <si>
    <t>SE Context Exclude</t>
  </si>
  <si>
    <t>Relevancy Exclude</t>
  </si>
  <si>
    <t>Duplicate-Handling:</t>
  </si>
  <si>
    <t>Following duplicates where found across the databases:</t>
  </si>
  <si>
    <t>AD33; IX233</t>
  </si>
  <si>
    <t>IX01; DB07</t>
  </si>
  <si>
    <t>DB13; GI01</t>
  </si>
  <si>
    <t>DB16; IX13</t>
  </si>
  <si>
    <t>excluding duplicates</t>
  </si>
  <si>
    <t>Screening exclude</t>
  </si>
  <si>
    <t>Eligibility exclude</t>
  </si>
  <si>
    <t>Duplicates removed</t>
  </si>
  <si>
    <t>included</t>
  </si>
  <si>
    <t>Identification</t>
  </si>
  <si>
    <t>Screening</t>
  </si>
  <si>
    <t>Eligibility</t>
  </si>
  <si>
    <t>Records identified through database search</t>
  </si>
  <si>
    <t>[n = 1 600]</t>
  </si>
  <si>
    <t>- Year of Publication</t>
  </si>
  <si>
    <t>- Primary Study</t>
  </si>
  <si>
    <t>- Language</t>
  </si>
  <si>
    <t>- Peer-Review</t>
  </si>
  <si>
    <t>- Full-Text available</t>
  </si>
  <si>
    <t>- Software Engineering Context</t>
  </si>
  <si>
    <t>- Strong alignment with &gt;= 1 RQ and high-quality evidence</t>
  </si>
  <si>
    <t>Publications included</t>
  </si>
  <si>
    <t>Records included in literature review</t>
  </si>
  <si>
    <t>62*</t>
  </si>
  <si>
    <t>Formatted Results Table</t>
  </si>
  <si>
    <t>Formatted Prism Chart</t>
  </si>
  <si>
    <t>- Contributes to &gt;= 1 RQ empirically or conceptually</t>
  </si>
  <si>
    <t>- IEEE Xplore: n = 283</t>
  </si>
  <si>
    <t>- ACM DL:  n = 954</t>
  </si>
  <si>
    <t>- AIS eLibrary: n = 236</t>
  </si>
  <si>
    <t>- DBLP: n = 50</t>
  </si>
  <si>
    <t>[n = 1 330]</t>
  </si>
  <si>
    <t>[n = 270]</t>
  </si>
  <si>
    <t>[n = 204]</t>
  </si>
  <si>
    <t>[n = 66 - 4*]</t>
  </si>
  <si>
    <t>[n = 62]</t>
  </si>
  <si>
    <t>Subjective selection criteria</t>
  </si>
  <si>
    <t>Publications assessed for relevancy</t>
  </si>
  <si>
    <t>Records excluded</t>
  </si>
  <si>
    <t>Objective selection criteria</t>
  </si>
  <si>
    <t>Metadata screening</t>
  </si>
  <si>
    <t>Title, Abstract, Key words</t>
  </si>
  <si>
    <t>Amount of duplicates removed</t>
  </si>
  <si>
    <t>- GI DL: n =  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</si>
</sst>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b/>
      <sz val="11"/>
      <color theme="0"/>
      <name val="Calibri"/>
      <family val="2"/>
      <scheme val="minor"/>
    </font>
    <font>
      <b/>
      <sz val="11"/>
      <color theme="1"/>
      <name val="Calibri"/>
      <family val="2"/>
      <scheme val="minor"/>
    </font>
    <font>
      <i/>
      <sz val="10"/>
      <color theme="1"/>
      <name val="Calibri"/>
      <family val="2"/>
      <scheme val="minor"/>
    </font>
    <font>
      <b/>
      <i/>
      <sz val="10"/>
      <color theme="1"/>
      <name val="Calibri"/>
      <family val="2"/>
      <scheme val="minor"/>
    </font>
    <font>
      <sz val="10"/>
      <color theme="1"/>
      <name val="Calibri"/>
      <family val="2"/>
      <scheme val="minor"/>
    </font>
    <font>
      <sz val="8"/>
      <name val="Calibri"/>
      <family val="2"/>
      <scheme val="minor"/>
    </font>
    <font>
      <sz val="11"/>
      <color theme="1"/>
      <name val="Calibri"/>
      <family val="2"/>
      <scheme val="minor"/>
    </font>
    <font>
      <b/>
      <sz val="10"/>
      <color theme="1"/>
      <name val="Calibri"/>
      <family val="2"/>
      <scheme val="minor"/>
    </font>
    <font>
      <i/>
      <sz val="11"/>
      <color theme="1"/>
      <name val="Calibri"/>
      <family val="2"/>
      <scheme val="minor"/>
    </font>
    <font>
      <sz val="9"/>
      <color theme="1"/>
      <name val="Calibri"/>
      <family val="2"/>
      <scheme val="minor"/>
    </font>
    <font>
      <sz val="8"/>
      <color theme="1"/>
      <name val="Calibri"/>
      <family val="2"/>
      <scheme val="minor"/>
    </font>
    <font>
      <sz val="11"/>
      <color theme="1"/>
      <name val="Accanthis"/>
    </font>
    <font>
      <b/>
      <sz val="11"/>
      <color theme="1"/>
      <name val="Accanthis"/>
    </font>
    <font>
      <sz val="10"/>
      <color theme="1"/>
      <name val="Accanthis"/>
    </font>
    <font>
      <sz val="11"/>
      <color theme="1"/>
      <name val="Arial"/>
      <family val="2"/>
    </font>
    <font>
      <b/>
      <sz val="11"/>
      <color theme="1"/>
      <name val="Arial"/>
      <family val="2"/>
    </font>
    <font>
      <b/>
      <i/>
      <sz val="11"/>
      <color theme="1"/>
      <name val="Arial"/>
      <family val="2"/>
    </font>
    <font>
      <sz val="11"/>
      <color rgb="FFFF0000"/>
      <name val="Arial"/>
      <family val="2"/>
    </font>
    <font>
      <sz val="11"/>
      <name val="Arial"/>
      <family val="2"/>
    </font>
    <font>
      <b/>
      <sz val="11"/>
      <name val="Arial"/>
      <family val="2"/>
    </font>
    <font>
      <i/>
      <sz val="10"/>
      <color theme="1"/>
      <name val="Arial"/>
      <family val="2"/>
    </font>
  </fonts>
  <fills count="5">
    <fill>
      <patternFill patternType="none"/>
    </fill>
    <fill>
      <patternFill patternType="gray125"/>
    </fill>
    <fill>
      <patternFill patternType="solid">
        <fgColor theme="6" tint="-0.499984740745262"/>
        <bgColor indexed="64"/>
      </patternFill>
    </fill>
    <fill>
      <patternFill patternType="solid">
        <fgColor theme="0"/>
        <bgColor indexed="64"/>
      </patternFill>
    </fill>
    <fill>
      <patternFill patternType="solid">
        <fgColor theme="2"/>
        <bgColor indexed="64"/>
      </patternFill>
    </fill>
  </fills>
  <borders count="3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bottom/>
      <diagonal/>
    </border>
    <border>
      <left style="thin">
        <color theme="0"/>
      </left>
      <right style="thin">
        <color theme="0"/>
      </right>
      <top style="thin">
        <color theme="0"/>
      </top>
      <bottom/>
      <diagonal/>
    </border>
    <border>
      <left/>
      <right/>
      <top/>
      <bottom style="thin">
        <color indexed="64"/>
      </bottom>
      <diagonal/>
    </border>
    <border>
      <left/>
      <right style="thin">
        <color theme="2"/>
      </right>
      <top/>
      <bottom style="thin">
        <color theme="2"/>
      </bottom>
      <diagonal/>
    </border>
    <border>
      <left style="thin">
        <color theme="2"/>
      </left>
      <right style="thin">
        <color theme="2"/>
      </right>
      <top/>
      <bottom style="thin">
        <color theme="2"/>
      </bottom>
      <diagonal/>
    </border>
    <border>
      <left style="thin">
        <color theme="2"/>
      </left>
      <right/>
      <top/>
      <bottom style="thin">
        <color theme="2"/>
      </bottom>
      <diagonal/>
    </border>
    <border>
      <left/>
      <right style="thin">
        <color theme="2"/>
      </right>
      <top style="thin">
        <color theme="2"/>
      </top>
      <bottom style="thin">
        <color theme="2"/>
      </bottom>
      <diagonal/>
    </border>
    <border>
      <left style="thin">
        <color theme="2"/>
      </left>
      <right style="thin">
        <color theme="2"/>
      </right>
      <top style="thin">
        <color theme="2"/>
      </top>
      <bottom style="thin">
        <color theme="2"/>
      </bottom>
      <diagonal/>
    </border>
    <border>
      <left style="thin">
        <color theme="2"/>
      </left>
      <right/>
      <top style="thin">
        <color theme="2"/>
      </top>
      <bottom style="thin">
        <color theme="2"/>
      </bottom>
      <diagonal/>
    </border>
    <border>
      <left/>
      <right style="thin">
        <color theme="2"/>
      </right>
      <top style="thin">
        <color theme="2"/>
      </top>
      <bottom/>
      <diagonal/>
    </border>
    <border>
      <left style="thin">
        <color theme="2"/>
      </left>
      <right style="thin">
        <color theme="2"/>
      </right>
      <top style="thin">
        <color theme="2"/>
      </top>
      <bottom/>
      <diagonal/>
    </border>
    <border>
      <left style="thin">
        <color theme="2"/>
      </left>
      <right/>
      <top style="thin">
        <color theme="2"/>
      </top>
      <bottom/>
      <diagonal/>
    </border>
    <border>
      <left style="thin">
        <color theme="2" tint="-0.499984740745262"/>
      </left>
      <right style="thin">
        <color theme="2" tint="-0.499984740745262"/>
      </right>
      <top style="thin">
        <color theme="2" tint="-0.499984740745262"/>
      </top>
      <bottom style="thin">
        <color theme="2" tint="-0.499984740745262"/>
      </bottom>
      <diagonal/>
    </border>
    <border>
      <left/>
      <right/>
      <top style="thin">
        <color theme="2"/>
      </top>
      <bottom style="thin">
        <color theme="2"/>
      </bottom>
      <diagonal/>
    </border>
    <border>
      <left style="thin">
        <color theme="2" tint="-0.499984740745262"/>
      </left>
      <right style="thin">
        <color theme="2" tint="-0.499984740745262"/>
      </right>
      <top style="thin">
        <color theme="2" tint="-0.499984740745262"/>
      </top>
      <bottom style="medium">
        <color indexed="64"/>
      </bottom>
      <diagonal/>
    </border>
    <border>
      <left style="thin">
        <color theme="2" tint="-0.499984740745262"/>
      </left>
      <right style="thin">
        <color theme="2" tint="-0.499984740745262"/>
      </right>
      <top/>
      <bottom style="thin">
        <color theme="2" tint="-0.4999847407452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theme="2" tint="-0.499984740745262"/>
      </left>
      <right style="thin">
        <color theme="2" tint="-0.499984740745262"/>
      </right>
      <top style="thin">
        <color theme="2" tint="-0.499984740745262"/>
      </top>
      <bottom/>
      <diagonal/>
    </border>
    <border>
      <left style="thin">
        <color indexed="64"/>
      </left>
      <right style="thin">
        <color indexed="64"/>
      </right>
      <top style="thin">
        <color indexed="64"/>
      </top>
      <bottom style="medium">
        <color indexed="64"/>
      </bottom>
      <diagonal/>
    </border>
    <border>
      <left/>
      <right style="double">
        <color auto="1"/>
      </right>
      <top/>
      <bottom/>
      <diagonal/>
    </border>
    <border>
      <left style="dashed">
        <color indexed="64"/>
      </left>
      <right style="dashed">
        <color indexed="64"/>
      </right>
      <top style="dashed">
        <color indexed="64"/>
      </top>
      <bottom/>
      <diagonal/>
    </border>
    <border>
      <left style="dashed">
        <color indexed="64"/>
      </left>
      <right style="dashed">
        <color indexed="64"/>
      </right>
      <top/>
      <bottom/>
      <diagonal/>
    </border>
    <border>
      <left style="dashed">
        <color indexed="64"/>
      </left>
      <right style="dashed">
        <color indexed="64"/>
      </right>
      <top/>
      <bottom style="dashed">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theme="2"/>
      </top>
      <bottom/>
      <diagonal/>
    </border>
  </borders>
  <cellStyleXfs count="2">
    <xf numFmtId="0" fontId="0" fillId="0" borderId="0"/>
    <xf numFmtId="9" fontId="7" fillId="0" borderId="0" applyFont="0" applyFill="0" applyBorder="0" applyAlignment="0" applyProtection="0"/>
  </cellStyleXfs>
  <cellXfs count="119">
    <xf numFmtId="0" fontId="0" fillId="0" borderId="0" xfId="0"/>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2" xfId="0" applyBorder="1" applyAlignment="1">
      <alignment horizontal="left" vertical="center"/>
    </xf>
    <xf numFmtId="0" fontId="0" fillId="0" borderId="2" xfId="0" applyBorder="1" applyAlignment="1">
      <alignment horizontal="left" vertical="center" wrapText="1"/>
    </xf>
    <xf numFmtId="0" fontId="0" fillId="0" borderId="3" xfId="0" applyBorder="1" applyAlignment="1">
      <alignment horizontal="left" vertical="center"/>
    </xf>
    <xf numFmtId="0" fontId="5" fillId="0" borderId="1" xfId="0" applyFont="1" applyBorder="1" applyAlignment="1">
      <alignment horizontal="left" vertical="center"/>
    </xf>
    <xf numFmtId="0" fontId="3" fillId="0" borderId="1" xfId="0" applyFont="1" applyBorder="1" applyAlignment="1">
      <alignment horizontal="lef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2" fillId="0" borderId="0" xfId="0" applyFont="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0" fontId="3" fillId="0" borderId="0" xfId="0" applyFont="1" applyAlignment="1">
      <alignment horizontal="left" vertical="center" wrapText="1"/>
    </xf>
    <xf numFmtId="0" fontId="5" fillId="0" borderId="1" xfId="0" applyFont="1" applyBorder="1" applyAlignment="1">
      <alignment horizontal="left" vertical="center" wrapText="1"/>
    </xf>
    <xf numFmtId="9" fontId="0" fillId="0" borderId="0" xfId="1" applyFont="1"/>
    <xf numFmtId="0" fontId="9" fillId="0" borderId="0" xfId="0" applyFont="1" applyAlignment="1">
      <alignment horizontal="left" vertical="center"/>
    </xf>
    <xf numFmtId="0" fontId="0" fillId="0" borderId="0" xfId="0" applyAlignment="1">
      <alignment wrapText="1"/>
    </xf>
    <xf numFmtId="1" fontId="0" fillId="0" borderId="0" xfId="0" applyNumberFormat="1"/>
    <xf numFmtId="0" fontId="2" fillId="0" borderId="0" xfId="0" applyFont="1"/>
    <xf numFmtId="0" fontId="10" fillId="0" borderId="0" xfId="0" applyFont="1" applyAlignment="1">
      <alignment vertical="center" wrapText="1"/>
    </xf>
    <xf numFmtId="0" fontId="10" fillId="0" borderId="0" xfId="0" applyFont="1" applyAlignment="1">
      <alignment wrapText="1"/>
    </xf>
    <xf numFmtId="0" fontId="11" fillId="0" borderId="0" xfId="0" applyFont="1" applyAlignment="1">
      <alignment wrapText="1"/>
    </xf>
    <xf numFmtId="0" fontId="0" fillId="0" borderId="0" xfId="0" quotePrefix="1"/>
    <xf numFmtId="0" fontId="0" fillId="0" borderId="4" xfId="0" applyBorder="1"/>
    <xf numFmtId="9" fontId="0" fillId="0" borderId="4" xfId="1" applyFont="1" applyBorder="1"/>
    <xf numFmtId="0" fontId="12" fillId="0" borderId="0" xfId="0" applyFont="1"/>
    <xf numFmtId="0" fontId="0" fillId="3" borderId="5" xfId="0" applyFill="1" applyBorder="1"/>
    <xf numFmtId="0" fontId="12" fillId="3" borderId="6" xfId="0" applyFont="1" applyFill="1" applyBorder="1"/>
    <xf numFmtId="0" fontId="0" fillId="3" borderId="6" xfId="0" applyFill="1" applyBorder="1"/>
    <xf numFmtId="0" fontId="0" fillId="3" borderId="7" xfId="0" applyFill="1" applyBorder="1"/>
    <xf numFmtId="0" fontId="0" fillId="3" borderId="8" xfId="0" applyFill="1" applyBorder="1"/>
    <xf numFmtId="0" fontId="12" fillId="3" borderId="9" xfId="0" applyFont="1" applyFill="1" applyBorder="1"/>
    <xf numFmtId="0" fontId="0" fillId="3" borderId="9" xfId="0" applyFill="1" applyBorder="1"/>
    <xf numFmtId="0" fontId="0" fillId="3" borderId="10" xfId="0" applyFill="1" applyBorder="1"/>
    <xf numFmtId="0" fontId="12" fillId="3" borderId="8" xfId="0" applyFont="1" applyFill="1" applyBorder="1"/>
    <xf numFmtId="0" fontId="0" fillId="3" borderId="11" xfId="0" applyFill="1" applyBorder="1"/>
    <xf numFmtId="0" fontId="0" fillId="3" borderId="12" xfId="0" applyFill="1" applyBorder="1"/>
    <xf numFmtId="0" fontId="0" fillId="3" borderId="13" xfId="0" applyFill="1" applyBorder="1"/>
    <xf numFmtId="0" fontId="12" fillId="3" borderId="12" xfId="0" applyFont="1" applyFill="1" applyBorder="1"/>
    <xf numFmtId="0" fontId="12" fillId="3" borderId="8" xfId="0" applyFont="1" applyFill="1" applyBorder="1" applyAlignment="1">
      <alignment vertical="center"/>
    </xf>
    <xf numFmtId="0" fontId="12" fillId="3" borderId="9" xfId="0" applyFont="1" applyFill="1" applyBorder="1" applyAlignment="1">
      <alignment vertical="center"/>
    </xf>
    <xf numFmtId="0" fontId="12" fillId="3" borderId="10" xfId="0" applyFont="1" applyFill="1" applyBorder="1" applyAlignment="1">
      <alignment vertical="center"/>
    </xf>
    <xf numFmtId="0" fontId="0" fillId="3" borderId="15" xfId="0" applyFill="1" applyBorder="1" applyAlignment="1">
      <alignment vertical="center"/>
    </xf>
    <xf numFmtId="0" fontId="0" fillId="0" borderId="0" xfId="0" applyAlignment="1">
      <alignment vertical="center"/>
    </xf>
    <xf numFmtId="0" fontId="0" fillId="3" borderId="8" xfId="0" applyFill="1" applyBorder="1" applyAlignment="1">
      <alignment vertical="center"/>
    </xf>
    <xf numFmtId="0" fontId="0" fillId="3" borderId="9" xfId="0" applyFill="1" applyBorder="1" applyAlignment="1">
      <alignment vertical="center"/>
    </xf>
    <xf numFmtId="0" fontId="0" fillId="3" borderId="10" xfId="0" applyFill="1" applyBorder="1" applyAlignment="1">
      <alignment vertical="center"/>
    </xf>
    <xf numFmtId="0" fontId="0" fillId="3" borderId="0" xfId="0" applyFill="1"/>
    <xf numFmtId="0" fontId="15" fillId="3" borderId="0" xfId="0" applyFont="1" applyFill="1"/>
    <xf numFmtId="0" fontId="15" fillId="0" borderId="0" xfId="0" applyFont="1"/>
    <xf numFmtId="0" fontId="15" fillId="3" borderId="19" xfId="0" applyFont="1" applyFill="1" applyBorder="1"/>
    <xf numFmtId="0" fontId="17" fillId="3" borderId="19" xfId="0" applyFont="1" applyFill="1" applyBorder="1" applyAlignment="1">
      <alignment horizontal="left" vertical="center"/>
    </xf>
    <xf numFmtId="0" fontId="15" fillId="3" borderId="19" xfId="0" applyFont="1" applyFill="1" applyBorder="1" applyAlignment="1">
      <alignment vertical="center"/>
    </xf>
    <xf numFmtId="0" fontId="15" fillId="3" borderId="0" xfId="0" applyFont="1" applyFill="1" applyAlignment="1">
      <alignment vertical="center"/>
    </xf>
    <xf numFmtId="0" fontId="17" fillId="3" borderId="18" xfId="0" applyFont="1" applyFill="1" applyBorder="1" applyAlignment="1">
      <alignment vertical="center"/>
    </xf>
    <xf numFmtId="0" fontId="17" fillId="3" borderId="19" xfId="0" applyFont="1" applyFill="1" applyBorder="1" applyAlignment="1">
      <alignment horizontal="left" vertical="center" wrapText="1"/>
    </xf>
    <xf numFmtId="0" fontId="13" fillId="3" borderId="16" xfId="0" applyFont="1" applyFill="1" applyBorder="1" applyAlignment="1">
      <alignment horizontal="left" vertical="center" wrapText="1"/>
    </xf>
    <xf numFmtId="3" fontId="12" fillId="3" borderId="17" xfId="0" applyNumberFormat="1" applyFont="1" applyFill="1" applyBorder="1" applyAlignment="1">
      <alignment vertical="center"/>
    </xf>
    <xf numFmtId="3" fontId="12" fillId="3" borderId="14" xfId="0" applyNumberFormat="1" applyFont="1" applyFill="1" applyBorder="1" applyAlignment="1">
      <alignment vertical="center"/>
    </xf>
    <xf numFmtId="3" fontId="12" fillId="3" borderId="24" xfId="0" applyNumberFormat="1" applyFont="1" applyFill="1" applyBorder="1" applyAlignment="1">
      <alignment vertical="center"/>
    </xf>
    <xf numFmtId="3" fontId="12" fillId="3" borderId="25" xfId="0" applyNumberFormat="1" applyFont="1" applyFill="1" applyBorder="1" applyAlignment="1">
      <alignment vertical="center"/>
    </xf>
    <xf numFmtId="3" fontId="12" fillId="3" borderId="20" xfId="0" applyNumberFormat="1" applyFont="1" applyFill="1" applyBorder="1" applyAlignment="1">
      <alignment vertical="center"/>
    </xf>
    <xf numFmtId="3" fontId="12" fillId="3" borderId="20" xfId="0" applyNumberFormat="1" applyFont="1" applyFill="1" applyBorder="1" applyAlignment="1">
      <alignment horizontal="right" vertical="center"/>
    </xf>
    <xf numFmtId="0" fontId="15" fillId="0" borderId="26" xfId="0" applyFont="1" applyBorder="1"/>
    <xf numFmtId="0" fontId="17" fillId="3" borderId="19" xfId="0" applyFont="1" applyFill="1" applyBorder="1" applyAlignment="1">
      <alignment vertical="center" wrapText="1"/>
    </xf>
    <xf numFmtId="0" fontId="17" fillId="3" borderId="19" xfId="0" applyFont="1" applyFill="1" applyBorder="1" applyAlignment="1">
      <alignment wrapText="1"/>
    </xf>
    <xf numFmtId="0" fontId="17" fillId="3" borderId="19" xfId="0" applyFont="1" applyFill="1" applyBorder="1" applyAlignment="1">
      <alignment horizontal="center" vertical="center" wrapText="1"/>
    </xf>
    <xf numFmtId="0" fontId="17" fillId="3" borderId="18" xfId="0" applyFont="1" applyFill="1" applyBorder="1" applyAlignment="1">
      <alignment horizontal="center"/>
    </xf>
    <xf numFmtId="0" fontId="17" fillId="3" borderId="19" xfId="0" applyFont="1" applyFill="1" applyBorder="1" applyAlignment="1">
      <alignment vertical="center"/>
    </xf>
    <xf numFmtId="0" fontId="17" fillId="3" borderId="19" xfId="0" applyFont="1" applyFill="1" applyBorder="1" applyAlignment="1">
      <alignment horizontal="center" vertical="center"/>
    </xf>
    <xf numFmtId="0" fontId="17" fillId="3" borderId="18" xfId="0" applyFont="1" applyFill="1" applyBorder="1" applyAlignment="1">
      <alignment horizontal="center" vertical="center"/>
    </xf>
    <xf numFmtId="0" fontId="15" fillId="3" borderId="28" xfId="0" quotePrefix="1" applyFont="1" applyFill="1" applyBorder="1" applyAlignment="1">
      <alignment vertical="center"/>
    </xf>
    <xf numFmtId="0" fontId="15" fillId="3" borderId="29" xfId="0" quotePrefix="1" applyFont="1" applyFill="1" applyBorder="1" applyAlignment="1">
      <alignment vertical="center"/>
    </xf>
    <xf numFmtId="0" fontId="15" fillId="3" borderId="28" xfId="0" quotePrefix="1" applyFont="1" applyFill="1" applyBorder="1" applyAlignment="1">
      <alignment wrapText="1"/>
    </xf>
    <xf numFmtId="0" fontId="15" fillId="3" borderId="29" xfId="0" quotePrefix="1" applyFont="1" applyFill="1" applyBorder="1" applyAlignment="1">
      <alignment wrapText="1"/>
    </xf>
    <xf numFmtId="0" fontId="19" fillId="3" borderId="20" xfId="0" applyFont="1" applyFill="1" applyBorder="1" applyAlignment="1">
      <alignment horizontal="center" vertical="center" wrapText="1"/>
    </xf>
    <xf numFmtId="0" fontId="19" fillId="3" borderId="28" xfId="0" quotePrefix="1" applyFont="1" applyFill="1" applyBorder="1" applyAlignment="1">
      <alignment vertical="center"/>
    </xf>
    <xf numFmtId="0" fontId="19" fillId="3" borderId="29" xfId="0" quotePrefix="1" applyFont="1" applyFill="1" applyBorder="1" applyAlignment="1">
      <alignment vertical="center"/>
    </xf>
    <xf numFmtId="0" fontId="19" fillId="3" borderId="20" xfId="0" applyFont="1" applyFill="1" applyBorder="1" applyAlignment="1">
      <alignment horizontal="center" vertical="center"/>
    </xf>
    <xf numFmtId="0" fontId="19" fillId="3" borderId="20" xfId="0" applyFont="1" applyFill="1" applyBorder="1" applyAlignment="1">
      <alignment horizontal="center"/>
    </xf>
    <xf numFmtId="0" fontId="15" fillId="4" borderId="21" xfId="0" applyFont="1" applyFill="1" applyBorder="1"/>
    <xf numFmtId="0" fontId="17" fillId="4" borderId="22" xfId="0" applyFont="1" applyFill="1" applyBorder="1" applyAlignment="1">
      <alignment horizontal="center" vertical="center" wrapText="1"/>
    </xf>
    <xf numFmtId="0" fontId="15" fillId="4" borderId="22" xfId="0" applyFont="1" applyFill="1" applyBorder="1"/>
    <xf numFmtId="0" fontId="15" fillId="4" borderId="22" xfId="0" applyFont="1" applyFill="1" applyBorder="1" applyAlignment="1">
      <alignment vertical="center"/>
    </xf>
    <xf numFmtId="0" fontId="20" fillId="4" borderId="23" xfId="0" applyFont="1" applyFill="1" applyBorder="1" applyAlignment="1">
      <alignment horizontal="center" vertical="center"/>
    </xf>
    <xf numFmtId="0" fontId="15" fillId="3" borderId="0" xfId="0" applyFont="1" applyFill="1" applyAlignment="1">
      <alignment horizontal="right" vertical="center"/>
    </xf>
    <xf numFmtId="0" fontId="21" fillId="3" borderId="19" xfId="0" applyFont="1" applyFill="1" applyBorder="1" applyAlignment="1">
      <alignment horizontal="center" vertical="center"/>
    </xf>
    <xf numFmtId="0" fontId="15" fillId="3" borderId="18" xfId="0" applyFont="1" applyFill="1" applyBorder="1"/>
    <xf numFmtId="0" fontId="15" fillId="3" borderId="27" xfId="0" applyFont="1" applyFill="1" applyBorder="1"/>
    <xf numFmtId="9" fontId="0" fillId="0" borderId="0" xfId="1" applyFont="1" applyFill="1" applyBorder="1"/>
    <xf numFmtId="0" fontId="0" fillId="3" borderId="13" xfId="0" applyFill="1" applyBorder="1" applyAlignment="1">
      <alignment vertical="center"/>
    </xf>
    <xf numFmtId="0" fontId="0" fillId="3" borderId="33" xfId="0" applyFill="1" applyBorder="1" applyAlignment="1">
      <alignment vertical="center"/>
    </xf>
    <xf numFmtId="0" fontId="15" fillId="0" borderId="0" xfId="0" applyFont="1" applyAlignment="1">
      <alignment vertical="center"/>
    </xf>
    <xf numFmtId="0" fontId="13" fillId="0" borderId="0" xfId="0" applyFont="1" applyAlignment="1">
      <alignment horizontal="left" vertical="center" wrapText="1"/>
    </xf>
    <xf numFmtId="3" fontId="12" fillId="0" borderId="0" xfId="0" applyNumberFormat="1" applyFont="1" applyAlignment="1">
      <alignment vertical="center"/>
    </xf>
    <xf numFmtId="0" fontId="18" fillId="0" borderId="0" xfId="0" quotePrefix="1" applyFont="1" applyAlignment="1">
      <alignment vertical="center"/>
    </xf>
    <xf numFmtId="3" fontId="12" fillId="0" borderId="0" xfId="0" applyNumberFormat="1" applyFont="1" applyAlignment="1">
      <alignment horizontal="right" vertical="center"/>
    </xf>
    <xf numFmtId="0" fontId="18" fillId="0" borderId="0" xfId="0" applyFont="1" applyAlignment="1">
      <alignment vertical="center" wrapText="1"/>
    </xf>
    <xf numFmtId="3" fontId="14" fillId="0" borderId="0" xfId="0" applyNumberFormat="1" applyFont="1" applyAlignment="1">
      <alignment vertical="center"/>
    </xf>
    <xf numFmtId="3" fontId="0" fillId="0" borderId="0" xfId="0" applyNumberFormat="1"/>
    <xf numFmtId="0" fontId="17" fillId="0" borderId="0" xfId="0" applyFont="1" applyAlignment="1">
      <alignment vertical="center" wrapText="1"/>
    </xf>
    <xf numFmtId="0" fontId="15" fillId="0" borderId="0" xfId="0" quotePrefix="1" applyFont="1" applyAlignment="1">
      <alignment vertical="center"/>
    </xf>
    <xf numFmtId="0" fontId="17" fillId="0" borderId="0" xfId="0" applyFont="1" applyAlignment="1">
      <alignment horizontal="left" vertical="center"/>
    </xf>
    <xf numFmtId="0" fontId="17" fillId="0" borderId="0" xfId="0" applyFont="1" applyAlignment="1">
      <alignment vertical="center"/>
    </xf>
    <xf numFmtId="0" fontId="18" fillId="0" borderId="0" xfId="0" applyFont="1" applyAlignment="1">
      <alignment vertical="center"/>
    </xf>
    <xf numFmtId="0" fontId="15" fillId="0" borderId="0" xfId="0" quotePrefix="1" applyFont="1" applyAlignment="1">
      <alignment vertical="center" wrapText="1"/>
    </xf>
    <xf numFmtId="0" fontId="16" fillId="0" borderId="0" xfId="0" applyFont="1" applyAlignment="1">
      <alignment vertical="center" textRotation="90"/>
    </xf>
    <xf numFmtId="0" fontId="16" fillId="4" borderId="18" xfId="0" applyFont="1" applyFill="1" applyBorder="1" applyAlignment="1">
      <alignment horizontal="center" vertical="center" textRotation="90"/>
    </xf>
    <xf numFmtId="0" fontId="16" fillId="4" borderId="19" xfId="0" applyFont="1" applyFill="1" applyBorder="1" applyAlignment="1">
      <alignment horizontal="center" vertical="center" textRotation="90"/>
    </xf>
    <xf numFmtId="0" fontId="16" fillId="4" borderId="20" xfId="0" applyFont="1" applyFill="1" applyBorder="1" applyAlignment="1">
      <alignment horizontal="center" vertical="center" textRotation="90"/>
    </xf>
    <xf numFmtId="0" fontId="17" fillId="3" borderId="27" xfId="0" applyFont="1" applyFill="1" applyBorder="1" applyAlignment="1">
      <alignment horizontal="center" vertical="center" wrapText="1"/>
    </xf>
    <xf numFmtId="0" fontId="17" fillId="3" borderId="28" xfId="0" applyFont="1" applyFill="1" applyBorder="1" applyAlignment="1">
      <alignment horizontal="center" vertical="center" wrapText="1"/>
    </xf>
    <xf numFmtId="0" fontId="17" fillId="3" borderId="27" xfId="0" applyFont="1" applyFill="1" applyBorder="1" applyAlignment="1">
      <alignment horizontal="center" vertical="center"/>
    </xf>
    <xf numFmtId="0" fontId="17" fillId="3" borderId="28" xfId="0" applyFont="1" applyFill="1" applyBorder="1" applyAlignment="1">
      <alignment horizontal="center" vertical="center"/>
    </xf>
    <xf numFmtId="0" fontId="15" fillId="3" borderId="0" xfId="0" applyFont="1" applyFill="1" applyAlignment="1">
      <alignment horizontal="left" vertical="center"/>
    </xf>
    <xf numFmtId="3" fontId="12" fillId="3" borderId="30" xfId="0" applyNumberFormat="1" applyFont="1" applyFill="1" applyBorder="1" applyAlignment="1">
      <alignment horizontal="right" vertical="center"/>
    </xf>
    <xf numFmtId="3" fontId="12" fillId="3" borderId="31" xfId="0" applyNumberFormat="1" applyFont="1" applyFill="1" applyBorder="1" applyAlignment="1">
      <alignment horizontal="right" vertical="center"/>
    </xf>
    <xf numFmtId="3" fontId="12" fillId="3" borderId="32" xfId="0" applyNumberFormat="1" applyFont="1" applyFill="1" applyBorder="1" applyAlignment="1">
      <alignment horizontal="right" vertical="center"/>
    </xf>
  </cellXfs>
  <cellStyles count="2">
    <cellStyle name="Prozent" xfId="1" builtinId="5"/>
    <cellStyle name="Standard" xfId="0" builtinId="0"/>
  </cellStyles>
  <dxfs count="2">
    <dxf>
      <fill>
        <patternFill>
          <bgColor theme="9" tint="0.79998168889431442"/>
        </patternFill>
      </fill>
    </dxf>
    <dxf>
      <fill>
        <patternFill>
          <bgColor rgb="FFFF9999"/>
        </patternFill>
      </fill>
    </dxf>
  </dxfs>
  <tableStyles count="0" defaultTableStyle="TableStyleMedium2" defaultPivotStyle="PivotStyleLight16"/>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19</xdr:col>
      <xdr:colOff>1059180</xdr:colOff>
      <xdr:row>19</xdr:row>
      <xdr:rowOff>243840</xdr:rowOff>
    </xdr:from>
    <xdr:to>
      <xdr:col>19</xdr:col>
      <xdr:colOff>1059180</xdr:colOff>
      <xdr:row>21</xdr:row>
      <xdr:rowOff>10065</xdr:rowOff>
    </xdr:to>
    <xdr:cxnSp macro="">
      <xdr:nvCxnSpPr>
        <xdr:cNvPr id="22" name="Gerade Verbindung mit Pfeil 21">
          <a:extLst>
            <a:ext uri="{FF2B5EF4-FFF2-40B4-BE49-F238E27FC236}">
              <a16:creationId xmlns:a16="http://schemas.microsoft.com/office/drawing/2014/main" id="{BE7FB640-AD8C-4AA6-863C-F3A9BD16A62D}"/>
            </a:ext>
          </a:extLst>
        </xdr:cNvPr>
        <xdr:cNvCxnSpPr/>
      </xdr:nvCxnSpPr>
      <xdr:spPr>
        <a:xfrm>
          <a:off x="18889980" y="4806315"/>
          <a:ext cx="0" cy="261525"/>
        </a:xfrm>
        <a:prstGeom prst="straightConnector1">
          <a:avLst/>
        </a:prstGeom>
        <a:ln w="19050"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1057275</xdr:colOff>
      <xdr:row>28</xdr:row>
      <xdr:rowOff>24765</xdr:rowOff>
    </xdr:from>
    <xdr:to>
      <xdr:col>19</xdr:col>
      <xdr:colOff>1057275</xdr:colOff>
      <xdr:row>28</xdr:row>
      <xdr:rowOff>240570</xdr:rowOff>
    </xdr:to>
    <xdr:cxnSp macro="">
      <xdr:nvCxnSpPr>
        <xdr:cNvPr id="25" name="Gerade Verbindung mit Pfeil 24">
          <a:extLst>
            <a:ext uri="{FF2B5EF4-FFF2-40B4-BE49-F238E27FC236}">
              <a16:creationId xmlns:a16="http://schemas.microsoft.com/office/drawing/2014/main" id="{696CF291-9B09-4379-9670-F71BA75FAC36}"/>
            </a:ext>
          </a:extLst>
        </xdr:cNvPr>
        <xdr:cNvCxnSpPr/>
      </xdr:nvCxnSpPr>
      <xdr:spPr>
        <a:xfrm>
          <a:off x="18888075" y="6920865"/>
          <a:ext cx="0" cy="215805"/>
        </a:xfrm>
        <a:prstGeom prst="straightConnector1">
          <a:avLst/>
        </a:prstGeom>
        <a:ln w="19050"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1055370</xdr:colOff>
      <xdr:row>34</xdr:row>
      <xdr:rowOff>0</xdr:rowOff>
    </xdr:from>
    <xdr:to>
      <xdr:col>19</xdr:col>
      <xdr:colOff>1055370</xdr:colOff>
      <xdr:row>34</xdr:row>
      <xdr:rowOff>240570</xdr:rowOff>
    </xdr:to>
    <xdr:cxnSp macro="">
      <xdr:nvCxnSpPr>
        <xdr:cNvPr id="26" name="Gerade Verbindung mit Pfeil 25">
          <a:extLst>
            <a:ext uri="{FF2B5EF4-FFF2-40B4-BE49-F238E27FC236}">
              <a16:creationId xmlns:a16="http://schemas.microsoft.com/office/drawing/2014/main" id="{4D42B14D-C305-4697-A7BC-1D786E893B69}"/>
            </a:ext>
          </a:extLst>
        </xdr:cNvPr>
        <xdr:cNvCxnSpPr/>
      </xdr:nvCxnSpPr>
      <xdr:spPr>
        <a:xfrm>
          <a:off x="18886170" y="8801100"/>
          <a:ext cx="0" cy="240570"/>
        </a:xfrm>
        <a:prstGeom prst="straightConnector1">
          <a:avLst/>
        </a:prstGeom>
        <a:ln w="19050"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20</xdr:col>
      <xdr:colOff>11430</xdr:colOff>
      <xdr:row>17</xdr:row>
      <xdr:rowOff>15240</xdr:rowOff>
    </xdr:from>
    <xdr:to>
      <xdr:col>21</xdr:col>
      <xdr:colOff>10980</xdr:colOff>
      <xdr:row>17</xdr:row>
      <xdr:rowOff>15240</xdr:rowOff>
    </xdr:to>
    <xdr:cxnSp macro="">
      <xdr:nvCxnSpPr>
        <xdr:cNvPr id="28" name="Gerader Verbinder 27">
          <a:extLst>
            <a:ext uri="{FF2B5EF4-FFF2-40B4-BE49-F238E27FC236}">
              <a16:creationId xmlns:a16="http://schemas.microsoft.com/office/drawing/2014/main" id="{9B49286A-17FF-32CE-527D-2532A77B1118}"/>
            </a:ext>
          </a:extLst>
        </xdr:cNvPr>
        <xdr:cNvCxnSpPr/>
      </xdr:nvCxnSpPr>
      <xdr:spPr>
        <a:xfrm>
          <a:off x="19956780" y="4082415"/>
          <a:ext cx="399600" cy="0"/>
        </a:xfrm>
        <a:prstGeom prst="line">
          <a:avLst/>
        </a:prstGeom>
        <a:ln w="1905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15240</xdr:colOff>
      <xdr:row>26</xdr:row>
      <xdr:rowOff>45720</xdr:rowOff>
    </xdr:from>
    <xdr:to>
      <xdr:col>21</xdr:col>
      <xdr:colOff>14790</xdr:colOff>
      <xdr:row>26</xdr:row>
      <xdr:rowOff>45720</xdr:rowOff>
    </xdr:to>
    <xdr:cxnSp macro="">
      <xdr:nvCxnSpPr>
        <xdr:cNvPr id="29" name="Gerader Verbinder 28">
          <a:extLst>
            <a:ext uri="{FF2B5EF4-FFF2-40B4-BE49-F238E27FC236}">
              <a16:creationId xmlns:a16="http://schemas.microsoft.com/office/drawing/2014/main" id="{135EDFAA-EA8A-4BC7-A70B-435F7F3BCFCD}"/>
            </a:ext>
          </a:extLst>
        </xdr:cNvPr>
        <xdr:cNvCxnSpPr/>
      </xdr:nvCxnSpPr>
      <xdr:spPr>
        <a:xfrm>
          <a:off x="19960590" y="6446520"/>
          <a:ext cx="399600" cy="0"/>
        </a:xfrm>
        <a:prstGeom prst="line">
          <a:avLst/>
        </a:prstGeom>
        <a:ln w="1905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9525</xdr:colOff>
      <xdr:row>26</xdr:row>
      <xdr:rowOff>53340</xdr:rowOff>
    </xdr:from>
    <xdr:to>
      <xdr:col>23</xdr:col>
      <xdr:colOff>3570</xdr:colOff>
      <xdr:row>26</xdr:row>
      <xdr:rowOff>53340</xdr:rowOff>
    </xdr:to>
    <xdr:cxnSp macro="">
      <xdr:nvCxnSpPr>
        <xdr:cNvPr id="30" name="Gerader Verbinder 29">
          <a:extLst>
            <a:ext uri="{FF2B5EF4-FFF2-40B4-BE49-F238E27FC236}">
              <a16:creationId xmlns:a16="http://schemas.microsoft.com/office/drawing/2014/main" id="{6061EC6E-3DFB-4FE5-AB97-2A8CACFABC25}"/>
            </a:ext>
          </a:extLst>
        </xdr:cNvPr>
        <xdr:cNvCxnSpPr/>
      </xdr:nvCxnSpPr>
      <xdr:spPr>
        <a:xfrm>
          <a:off x="22469475" y="6454140"/>
          <a:ext cx="394095" cy="0"/>
        </a:xfrm>
        <a:prstGeom prst="line">
          <a:avLst/>
        </a:prstGeom>
        <a:ln w="19050"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20</xdr:col>
      <xdr:colOff>15240</xdr:colOff>
      <xdr:row>32</xdr:row>
      <xdr:rowOff>240030</xdr:rowOff>
    </xdr:from>
    <xdr:to>
      <xdr:col>21</xdr:col>
      <xdr:colOff>14790</xdr:colOff>
      <xdr:row>32</xdr:row>
      <xdr:rowOff>240030</xdr:rowOff>
    </xdr:to>
    <xdr:cxnSp macro="">
      <xdr:nvCxnSpPr>
        <xdr:cNvPr id="31" name="Gerader Verbinder 30">
          <a:extLst>
            <a:ext uri="{FF2B5EF4-FFF2-40B4-BE49-F238E27FC236}">
              <a16:creationId xmlns:a16="http://schemas.microsoft.com/office/drawing/2014/main" id="{2860DA9F-76EB-455E-805A-5C9B6B74FCFC}"/>
            </a:ext>
          </a:extLst>
        </xdr:cNvPr>
        <xdr:cNvCxnSpPr/>
      </xdr:nvCxnSpPr>
      <xdr:spPr>
        <a:xfrm>
          <a:off x="19960590" y="8336280"/>
          <a:ext cx="399600" cy="0"/>
        </a:xfrm>
        <a:prstGeom prst="line">
          <a:avLst/>
        </a:prstGeom>
        <a:ln w="1905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1905</xdr:colOff>
      <xdr:row>32</xdr:row>
      <xdr:rowOff>240030</xdr:rowOff>
    </xdr:from>
    <xdr:to>
      <xdr:col>22</xdr:col>
      <xdr:colOff>394095</xdr:colOff>
      <xdr:row>32</xdr:row>
      <xdr:rowOff>240030</xdr:rowOff>
    </xdr:to>
    <xdr:cxnSp macro="">
      <xdr:nvCxnSpPr>
        <xdr:cNvPr id="32" name="Gerader Verbinder 31">
          <a:extLst>
            <a:ext uri="{FF2B5EF4-FFF2-40B4-BE49-F238E27FC236}">
              <a16:creationId xmlns:a16="http://schemas.microsoft.com/office/drawing/2014/main" id="{E1F4761E-5D10-408C-B652-67D736BAF84E}"/>
            </a:ext>
          </a:extLst>
        </xdr:cNvPr>
        <xdr:cNvCxnSpPr/>
      </xdr:nvCxnSpPr>
      <xdr:spPr>
        <a:xfrm>
          <a:off x="22461855" y="8336280"/>
          <a:ext cx="392190" cy="0"/>
        </a:xfrm>
        <a:prstGeom prst="line">
          <a:avLst/>
        </a:prstGeom>
        <a:ln w="19050"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20</xdr:col>
      <xdr:colOff>0</xdr:colOff>
      <xdr:row>37</xdr:row>
      <xdr:rowOff>201930</xdr:rowOff>
    </xdr:from>
    <xdr:to>
      <xdr:col>23</xdr:col>
      <xdr:colOff>1665</xdr:colOff>
      <xdr:row>37</xdr:row>
      <xdr:rowOff>201930</xdr:rowOff>
    </xdr:to>
    <xdr:cxnSp macro="">
      <xdr:nvCxnSpPr>
        <xdr:cNvPr id="33" name="Gerader Verbinder 32">
          <a:extLst>
            <a:ext uri="{FF2B5EF4-FFF2-40B4-BE49-F238E27FC236}">
              <a16:creationId xmlns:a16="http://schemas.microsoft.com/office/drawing/2014/main" id="{3CB1AD77-B224-4699-8F4A-634B7D872999}"/>
            </a:ext>
          </a:extLst>
        </xdr:cNvPr>
        <xdr:cNvCxnSpPr/>
      </xdr:nvCxnSpPr>
      <xdr:spPr>
        <a:xfrm>
          <a:off x="19945350" y="9850755"/>
          <a:ext cx="2916315" cy="0"/>
        </a:xfrm>
        <a:prstGeom prst="line">
          <a:avLst/>
        </a:prstGeom>
        <a:ln w="19050"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editAs="oneCell">
    <xdr:from>
      <xdr:col>16</xdr:col>
      <xdr:colOff>0</xdr:colOff>
      <xdr:row>49</xdr:row>
      <xdr:rowOff>0</xdr:rowOff>
    </xdr:from>
    <xdr:to>
      <xdr:col>25</xdr:col>
      <xdr:colOff>411480</xdr:colOff>
      <xdr:row>102</xdr:row>
      <xdr:rowOff>68580</xdr:rowOff>
    </xdr:to>
    <xdr:pic>
      <xdr:nvPicPr>
        <xdr:cNvPr id="41" name="Grafik 40">
          <a:extLst>
            <a:ext uri="{FF2B5EF4-FFF2-40B4-BE49-F238E27FC236}">
              <a16:creationId xmlns:a16="http://schemas.microsoft.com/office/drawing/2014/main" id="{DC2F2FEC-6DB7-CF66-D532-E544319CED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63060" y="12611100"/>
          <a:ext cx="9311640" cy="935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106</xdr:row>
      <xdr:rowOff>0</xdr:rowOff>
    </xdr:from>
    <xdr:to>
      <xdr:col>25</xdr:col>
      <xdr:colOff>411480</xdr:colOff>
      <xdr:row>159</xdr:row>
      <xdr:rowOff>68580</xdr:rowOff>
    </xdr:to>
    <xdr:pic>
      <xdr:nvPicPr>
        <xdr:cNvPr id="42" name="Grafik 41">
          <a:extLst>
            <a:ext uri="{FF2B5EF4-FFF2-40B4-BE49-F238E27FC236}">
              <a16:creationId xmlns:a16="http://schemas.microsoft.com/office/drawing/2014/main" id="{6B62DC16-6AE7-0887-4B07-9782C446B9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63060" y="22600920"/>
          <a:ext cx="9311640" cy="935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DEEA6-5A2A-4FD1-AB91-2306BAF865B4}">
  <sheetPr>
    <tabColor rgb="FFFF0000"/>
  </sheetPr>
  <dimension ref="A1:Y91"/>
  <sheetViews>
    <sheetView tabSelected="1" zoomScale="85" zoomScaleNormal="85" workbookViewId="0">
      <selection activeCell="A23" sqref="A23"/>
    </sheetView>
  </sheetViews>
  <sheetFormatPr baseColWidth="10" defaultRowHeight="14.4"/>
  <cols>
    <col min="1" max="1" width="46.77734375" bestFit="1" customWidth="1"/>
    <col min="3" max="3" width="14" customWidth="1"/>
    <col min="4" max="5" width="23.6640625" customWidth="1"/>
    <col min="6" max="6" width="25.21875" customWidth="1"/>
    <col min="7" max="7" width="20.77734375" customWidth="1"/>
    <col min="8" max="8" width="31.5546875" bestFit="1" customWidth="1"/>
    <col min="9" max="9" width="5.77734375" customWidth="1"/>
    <col min="10" max="10" width="30.77734375" customWidth="1"/>
    <col min="11" max="11" width="5.77734375" customWidth="1"/>
    <col min="12" max="12" width="30.77734375" customWidth="1"/>
    <col min="13" max="13" width="5.77734375" customWidth="1"/>
    <col min="14" max="14" width="30.77734375" customWidth="1"/>
    <col min="15" max="15" width="19.6640625" customWidth="1"/>
    <col min="17" max="25" width="18.33203125" customWidth="1"/>
  </cols>
  <sheetData>
    <row r="1" spans="1:17">
      <c r="A1" t="s">
        <v>3441</v>
      </c>
      <c r="B1" t="s">
        <v>45</v>
      </c>
    </row>
    <row r="2" spans="1:17">
      <c r="A2" t="s">
        <v>3439</v>
      </c>
      <c r="B2" t="s">
        <v>3442</v>
      </c>
    </row>
    <row r="3" spans="1:17">
      <c r="A3" t="s">
        <v>3480</v>
      </c>
      <c r="B3" t="s">
        <v>3479</v>
      </c>
    </row>
    <row r="4" spans="1:17" s="19" customFormat="1">
      <c r="A4" s="19" t="s">
        <v>43</v>
      </c>
      <c r="B4" s="19" t="s">
        <v>46</v>
      </c>
      <c r="C4" s="19" t="s">
        <v>47</v>
      </c>
      <c r="D4" s="19" t="s">
        <v>371</v>
      </c>
      <c r="E4" s="19" t="s">
        <v>328</v>
      </c>
      <c r="F4" s="19" t="s">
        <v>372</v>
      </c>
      <c r="G4" s="19" t="s">
        <v>3916</v>
      </c>
      <c r="H4" s="19" t="s">
        <v>3918</v>
      </c>
      <c r="I4" s="19" t="s">
        <v>3917</v>
      </c>
      <c r="J4" s="19" t="s">
        <v>3919</v>
      </c>
      <c r="K4" s="19" t="s">
        <v>3920</v>
      </c>
      <c r="L4" s="19" t="s">
        <v>3921</v>
      </c>
      <c r="M4" s="19" t="s">
        <v>3663</v>
      </c>
    </row>
    <row r="5" spans="1:17">
      <c r="A5" t="s">
        <v>44</v>
      </c>
      <c r="B5">
        <v>283</v>
      </c>
      <c r="C5" t="s">
        <v>48</v>
      </c>
      <c r="D5">
        <v>2</v>
      </c>
      <c r="E5">
        <v>2</v>
      </c>
      <c r="F5" s="15">
        <f t="shared" ref="F5:F10" si="0">E5/D5</f>
        <v>1</v>
      </c>
      <c r="G5">
        <v>113</v>
      </c>
      <c r="H5">
        <f>6+41</f>
        <v>47</v>
      </c>
      <c r="I5">
        <v>22</v>
      </c>
      <c r="J5">
        <v>3</v>
      </c>
      <c r="K5">
        <v>53</v>
      </c>
      <c r="L5">
        <v>35</v>
      </c>
      <c r="M5">
        <f>B5-(SUM(G5:L5))</f>
        <v>10</v>
      </c>
    </row>
    <row r="6" spans="1:17">
      <c r="A6" t="s">
        <v>805</v>
      </c>
      <c r="B6">
        <v>954</v>
      </c>
      <c r="C6" t="s">
        <v>806</v>
      </c>
      <c r="D6">
        <v>1</v>
      </c>
      <c r="E6">
        <v>1</v>
      </c>
      <c r="F6" s="15">
        <f t="shared" si="0"/>
        <v>1</v>
      </c>
      <c r="G6">
        <f>954-521</f>
        <v>433</v>
      </c>
      <c r="H6">
        <v>134</v>
      </c>
      <c r="I6">
        <v>272</v>
      </c>
      <c r="J6">
        <v>29</v>
      </c>
      <c r="K6">
        <v>1</v>
      </c>
      <c r="L6">
        <v>69</v>
      </c>
      <c r="M6">
        <f>B6-(SUM(G6:L6))</f>
        <v>16</v>
      </c>
      <c r="N6" s="23"/>
      <c r="Q6" s="23"/>
    </row>
    <row r="7" spans="1:17">
      <c r="A7" t="s">
        <v>2824</v>
      </c>
      <c r="B7">
        <v>236</v>
      </c>
      <c r="C7" t="s">
        <v>2825</v>
      </c>
      <c r="D7">
        <v>4</v>
      </c>
      <c r="E7">
        <v>3</v>
      </c>
      <c r="F7" s="15">
        <f t="shared" si="0"/>
        <v>0.75</v>
      </c>
      <c r="G7">
        <f>236-168</f>
        <v>68</v>
      </c>
      <c r="H7">
        <v>89</v>
      </c>
      <c r="I7">
        <v>34</v>
      </c>
      <c r="J7">
        <v>1</v>
      </c>
      <c r="K7">
        <v>8</v>
      </c>
      <c r="L7">
        <v>20</v>
      </c>
      <c r="M7">
        <f>B7-(SUM(G7:L7))</f>
        <v>16</v>
      </c>
    </row>
    <row r="8" spans="1:17">
      <c r="A8" t="s">
        <v>3440</v>
      </c>
      <c r="B8">
        <v>50</v>
      </c>
      <c r="C8" t="s">
        <v>3438</v>
      </c>
      <c r="D8">
        <v>1</v>
      </c>
      <c r="E8">
        <v>1</v>
      </c>
      <c r="F8" s="15">
        <f t="shared" si="0"/>
        <v>1</v>
      </c>
      <c r="G8">
        <f>50-28</f>
        <v>22</v>
      </c>
      <c r="H8">
        <v>16</v>
      </c>
      <c r="I8">
        <v>2</v>
      </c>
      <c r="J8">
        <v>0</v>
      </c>
      <c r="K8">
        <v>0</v>
      </c>
      <c r="L8">
        <v>2</v>
      </c>
      <c r="M8">
        <f>B8-(SUM(G8:L8))</f>
        <v>8</v>
      </c>
    </row>
    <row r="9" spans="1:17">
      <c r="A9" s="24" t="s">
        <v>3481</v>
      </c>
      <c r="B9" s="24">
        <v>77</v>
      </c>
      <c r="C9" s="24" t="s">
        <v>3482</v>
      </c>
      <c r="D9" s="24">
        <v>1</v>
      </c>
      <c r="E9" s="24">
        <v>1</v>
      </c>
      <c r="F9" s="25">
        <f t="shared" si="0"/>
        <v>1</v>
      </c>
      <c r="G9" s="24">
        <f>77-51</f>
        <v>26</v>
      </c>
      <c r="H9" s="24">
        <v>2</v>
      </c>
      <c r="I9" s="24">
        <v>17</v>
      </c>
      <c r="J9" s="24">
        <v>0</v>
      </c>
      <c r="K9" s="24">
        <v>5</v>
      </c>
      <c r="L9" s="24">
        <v>11</v>
      </c>
      <c r="M9" s="24">
        <f>B9-(SUM(G9:L9))</f>
        <v>16</v>
      </c>
    </row>
    <row r="10" spans="1:17">
      <c r="B10" s="19">
        <f>SUM(B5:B9)</f>
        <v>1600</v>
      </c>
      <c r="D10">
        <f>SUM(D5:D9)</f>
        <v>9</v>
      </c>
      <c r="E10">
        <f>SUM(E5:E9)</f>
        <v>8</v>
      </c>
      <c r="F10" s="90">
        <f t="shared" si="0"/>
        <v>0.88888888888888884</v>
      </c>
      <c r="M10" s="19">
        <f>SUM(M5:M9)-B12</f>
        <v>62</v>
      </c>
      <c r="N10" s="19" t="s">
        <v>3928</v>
      </c>
    </row>
    <row r="11" spans="1:17">
      <c r="I11">
        <f>SUM(G5:J9)</f>
        <v>1330</v>
      </c>
      <c r="J11" t="s">
        <v>3929</v>
      </c>
    </row>
    <row r="12" spans="1:17">
      <c r="A12" s="19" t="s">
        <v>3922</v>
      </c>
      <c r="B12" s="19">
        <f>COUNTA(B13:B16)</f>
        <v>4</v>
      </c>
      <c r="I12" s="24">
        <f>SUM(K5:L9)</f>
        <v>204</v>
      </c>
      <c r="J12" t="s">
        <v>3930</v>
      </c>
    </row>
    <row r="13" spans="1:17">
      <c r="A13" t="s">
        <v>3923</v>
      </c>
      <c r="B13" t="s">
        <v>1507</v>
      </c>
      <c r="G13" t="s">
        <v>1705</v>
      </c>
      <c r="H13" t="s">
        <v>3924</v>
      </c>
      <c r="I13">
        <f>1600-(SUM(I11:I12))</f>
        <v>66</v>
      </c>
    </row>
    <row r="14" spans="1:17">
      <c r="B14" t="s">
        <v>38</v>
      </c>
      <c r="G14" t="s">
        <v>374</v>
      </c>
      <c r="H14" t="s">
        <v>3925</v>
      </c>
      <c r="I14" s="24">
        <v>4</v>
      </c>
      <c r="J14" t="s">
        <v>3931</v>
      </c>
    </row>
    <row r="15" spans="1:17">
      <c r="B15" t="s">
        <v>3390</v>
      </c>
      <c r="G15" t="s">
        <v>3391</v>
      </c>
      <c r="H15" t="s">
        <v>3926</v>
      </c>
      <c r="I15">
        <f>I13-I14</f>
        <v>62</v>
      </c>
      <c r="J15" t="s">
        <v>3932</v>
      </c>
    </row>
    <row r="16" spans="1:17">
      <c r="B16" t="s">
        <v>32</v>
      </c>
      <c r="G16" t="s">
        <v>374</v>
      </c>
      <c r="H16" t="s">
        <v>3927</v>
      </c>
    </row>
    <row r="22" spans="2:15">
      <c r="C22" s="26"/>
      <c r="D22" s="26"/>
      <c r="E22" s="26"/>
      <c r="F22" s="26"/>
      <c r="N22" s="26"/>
    </row>
    <row r="23" spans="2:15">
      <c r="C23" s="26"/>
      <c r="D23" s="26"/>
      <c r="E23" s="26"/>
      <c r="F23" s="26"/>
      <c r="N23" s="26"/>
    </row>
    <row r="24" spans="2:15">
      <c r="C24" s="26"/>
      <c r="D24" s="26"/>
      <c r="E24" s="26"/>
      <c r="F24" s="26"/>
      <c r="N24" s="26"/>
    </row>
    <row r="25" spans="2:15">
      <c r="C25" s="26"/>
      <c r="D25" s="26"/>
      <c r="E25" s="26"/>
      <c r="F25" s="26"/>
      <c r="N25" s="26"/>
    </row>
    <row r="26" spans="2:15">
      <c r="B26" s="27"/>
      <c r="C26" s="28"/>
      <c r="D26" s="28"/>
      <c r="E26" s="28"/>
      <c r="F26" s="28"/>
      <c r="G26" s="29"/>
      <c r="H26" s="29"/>
      <c r="I26" s="29"/>
      <c r="J26" s="29"/>
      <c r="K26" s="29"/>
      <c r="L26" s="29"/>
      <c r="M26" s="29"/>
      <c r="N26" s="28"/>
      <c r="O26" s="30"/>
    </row>
    <row r="27" spans="2:15">
      <c r="B27" s="31"/>
      <c r="C27" s="32"/>
      <c r="D27" s="32"/>
      <c r="E27" s="32"/>
      <c r="F27" s="32"/>
      <c r="G27" s="33"/>
      <c r="H27" s="33"/>
      <c r="I27" s="33"/>
      <c r="J27" s="33"/>
      <c r="K27" s="33"/>
      <c r="L27" s="33"/>
      <c r="M27" s="33"/>
      <c r="N27" s="32"/>
      <c r="O27" s="34"/>
    </row>
    <row r="28" spans="2:15">
      <c r="B28" s="31"/>
      <c r="C28" s="32"/>
      <c r="D28" s="32"/>
      <c r="E28" s="32"/>
      <c r="F28" s="32"/>
      <c r="G28" s="33"/>
      <c r="H28" s="33"/>
      <c r="I28" s="33"/>
      <c r="J28" s="33"/>
      <c r="K28" s="33"/>
      <c r="L28" s="33"/>
      <c r="M28" s="33"/>
      <c r="N28" s="32"/>
      <c r="O28" s="34"/>
    </row>
    <row r="29" spans="2:15">
      <c r="B29" s="35"/>
      <c r="C29" s="32"/>
      <c r="D29" s="32"/>
      <c r="E29" s="32"/>
      <c r="F29" s="32"/>
      <c r="G29" s="39"/>
      <c r="H29" s="39"/>
      <c r="I29" s="39"/>
      <c r="J29" s="39"/>
      <c r="K29" s="39"/>
      <c r="L29" s="39"/>
      <c r="M29" s="39"/>
      <c r="N29" s="39"/>
      <c r="O29" s="34"/>
    </row>
    <row r="30" spans="2:15" s="44" customFormat="1" ht="36" customHeight="1">
      <c r="B30" s="40"/>
      <c r="C30" s="41"/>
      <c r="D30" s="41"/>
      <c r="E30" s="41"/>
      <c r="F30" s="42"/>
      <c r="O30" s="43"/>
    </row>
    <row r="31" spans="2:15" s="44" customFormat="1" ht="18" customHeight="1">
      <c r="B31" s="45"/>
      <c r="C31" s="46"/>
      <c r="D31" s="46"/>
      <c r="E31" s="46"/>
      <c r="F31" s="47"/>
      <c r="O31" s="43"/>
    </row>
    <row r="32" spans="2:15" s="44" customFormat="1" ht="18" customHeight="1">
      <c r="B32" s="45"/>
      <c r="C32" s="46"/>
      <c r="D32" s="46"/>
      <c r="E32" s="46"/>
      <c r="F32" s="47"/>
      <c r="O32" s="43"/>
    </row>
    <row r="33" spans="2:25" s="44" customFormat="1" ht="18" customHeight="1">
      <c r="B33" s="45"/>
      <c r="C33" s="46"/>
      <c r="D33" s="46"/>
      <c r="E33" s="46"/>
      <c r="F33" s="47"/>
      <c r="O33" s="43"/>
    </row>
    <row r="34" spans="2:25" s="44" customFormat="1" ht="18" customHeight="1">
      <c r="B34" s="45"/>
      <c r="C34" s="46"/>
      <c r="D34" s="46"/>
      <c r="E34" s="46"/>
      <c r="F34" s="47"/>
      <c r="O34" s="43"/>
    </row>
    <row r="35" spans="2:25" s="44" customFormat="1" ht="18" customHeight="1">
      <c r="B35" s="45"/>
      <c r="C35" s="46"/>
      <c r="D35" s="46"/>
      <c r="E35" s="46"/>
      <c r="F35" s="47"/>
      <c r="O35" s="43"/>
    </row>
    <row r="36" spans="2:25" s="44" customFormat="1" ht="18" customHeight="1">
      <c r="B36" s="45"/>
      <c r="C36" s="46"/>
      <c r="D36" s="46"/>
      <c r="E36" s="46"/>
      <c r="F36" s="91"/>
      <c r="O36" s="92"/>
    </row>
    <row r="37" spans="2:25">
      <c r="B37" s="31"/>
      <c r="C37" s="33"/>
      <c r="D37" s="33"/>
      <c r="E37" s="34"/>
    </row>
    <row r="38" spans="2:25">
      <c r="B38" s="31"/>
      <c r="C38" s="33"/>
      <c r="D38" s="33"/>
      <c r="E38" s="34"/>
    </row>
    <row r="39" spans="2:25">
      <c r="B39" s="31"/>
      <c r="C39" s="33"/>
      <c r="D39" s="33"/>
      <c r="E39" s="34"/>
    </row>
    <row r="40" spans="2:25">
      <c r="B40" s="36"/>
      <c r="C40" s="37"/>
      <c r="D40" s="37"/>
      <c r="E40" s="38"/>
    </row>
    <row r="41" spans="2:25">
      <c r="G41" s="93"/>
      <c r="H41" s="93"/>
      <c r="I41" s="93"/>
      <c r="J41" s="93"/>
      <c r="K41" s="93"/>
      <c r="L41" s="93"/>
      <c r="M41" s="93"/>
      <c r="N41" s="93"/>
      <c r="O41" s="93"/>
      <c r="Q41" s="94"/>
      <c r="R41" s="94"/>
      <c r="S41" s="94"/>
      <c r="T41" s="94"/>
      <c r="U41" s="94"/>
      <c r="V41" s="94"/>
      <c r="W41" s="94"/>
      <c r="X41" s="94"/>
      <c r="Y41" s="94"/>
    </row>
    <row r="42" spans="2:25">
      <c r="G42" s="93"/>
      <c r="H42" s="93"/>
      <c r="I42" s="93"/>
      <c r="J42" s="93"/>
      <c r="K42" s="93"/>
      <c r="L42" s="93"/>
      <c r="M42" s="93"/>
      <c r="N42" s="93"/>
      <c r="O42" s="93"/>
      <c r="Q42" s="95"/>
      <c r="R42" s="95"/>
      <c r="S42" s="95"/>
      <c r="T42" s="95"/>
      <c r="U42" s="95"/>
      <c r="V42" s="95"/>
      <c r="W42" s="95"/>
      <c r="X42" s="95"/>
      <c r="Y42" s="95"/>
    </row>
    <row r="43" spans="2:25" ht="14.4" customHeight="1">
      <c r="G43" s="93"/>
      <c r="H43" s="107"/>
      <c r="I43" s="93"/>
      <c r="J43" s="101"/>
      <c r="K43" s="93"/>
      <c r="L43" s="96"/>
      <c r="M43" s="93"/>
      <c r="N43" s="93"/>
      <c r="O43" s="93"/>
      <c r="Q43" s="95"/>
      <c r="R43" s="95"/>
      <c r="S43" s="95"/>
      <c r="T43" s="95"/>
      <c r="U43" s="95"/>
      <c r="V43" s="95"/>
      <c r="W43" s="95"/>
      <c r="X43" s="95"/>
      <c r="Y43" s="95"/>
    </row>
    <row r="44" spans="2:25">
      <c r="G44" s="93"/>
      <c r="H44" s="107"/>
      <c r="I44" s="93"/>
      <c r="J44" s="101"/>
      <c r="K44" s="93"/>
      <c r="L44" s="96"/>
      <c r="M44" s="93"/>
      <c r="N44" s="93"/>
      <c r="O44" s="93"/>
      <c r="Q44" s="95"/>
      <c r="R44" s="95"/>
      <c r="S44" s="95"/>
      <c r="T44" s="95"/>
      <c r="U44" s="95"/>
      <c r="V44" s="95"/>
      <c r="W44" s="95"/>
      <c r="X44" s="95"/>
      <c r="Y44" s="95"/>
    </row>
    <row r="45" spans="2:25">
      <c r="G45" s="93"/>
      <c r="H45" s="107"/>
      <c r="I45" s="93"/>
      <c r="J45" s="101"/>
      <c r="K45" s="93"/>
      <c r="L45" s="96"/>
      <c r="M45" s="93"/>
      <c r="N45" s="93"/>
      <c r="O45" s="93"/>
      <c r="Q45" s="95"/>
      <c r="R45" s="95"/>
      <c r="S45" s="95"/>
      <c r="T45" s="95"/>
      <c r="U45" s="95"/>
      <c r="V45" s="95"/>
      <c r="W45" s="95"/>
      <c r="X45" s="95"/>
      <c r="Y45" s="95"/>
    </row>
    <row r="46" spans="2:25">
      <c r="G46" s="93"/>
      <c r="H46" s="107"/>
      <c r="I46" s="93"/>
      <c r="J46" s="101"/>
      <c r="K46" s="93"/>
      <c r="L46" s="96"/>
      <c r="M46" s="93"/>
      <c r="N46" s="93"/>
      <c r="O46" s="93"/>
      <c r="Q46" s="95"/>
      <c r="R46" s="95"/>
      <c r="S46" s="95"/>
      <c r="T46" s="95"/>
      <c r="U46" s="95"/>
      <c r="V46" s="95"/>
      <c r="W46" s="95"/>
      <c r="X46" s="95"/>
      <c r="Y46" s="95"/>
    </row>
    <row r="47" spans="2:25">
      <c r="G47" s="93"/>
      <c r="H47" s="107"/>
      <c r="I47" s="93"/>
      <c r="J47" s="101"/>
      <c r="K47" s="93"/>
      <c r="L47" s="96"/>
      <c r="M47" s="93"/>
      <c r="N47" s="93"/>
      <c r="O47" s="93"/>
      <c r="Q47" s="95"/>
      <c r="R47" s="95"/>
      <c r="S47" s="95"/>
      <c r="T47" s="95"/>
      <c r="U47" s="95"/>
      <c r="V47" s="95"/>
      <c r="W47" s="95"/>
      <c r="X47" s="95"/>
      <c r="Y47" s="97"/>
    </row>
    <row r="48" spans="2:25">
      <c r="G48" s="93"/>
      <c r="H48" s="107"/>
      <c r="I48" s="93"/>
      <c r="J48" s="98"/>
      <c r="K48" s="93"/>
      <c r="M48" s="93"/>
      <c r="N48" s="93"/>
      <c r="O48" s="93"/>
      <c r="Q48" s="99"/>
    </row>
    <row r="49" spans="7:25" ht="30" customHeight="1">
      <c r="G49" s="93"/>
      <c r="H49" s="93"/>
      <c r="I49" s="93"/>
      <c r="J49" s="93"/>
      <c r="K49" s="93"/>
      <c r="L49" s="93"/>
      <c r="M49" s="93"/>
      <c r="N49" s="93"/>
      <c r="O49" s="93"/>
      <c r="Y49" s="100"/>
    </row>
    <row r="50" spans="7:25" ht="15" customHeight="1">
      <c r="G50" s="93"/>
      <c r="H50" s="107"/>
      <c r="I50" s="93"/>
      <c r="J50" s="104"/>
      <c r="K50" s="93"/>
      <c r="L50" s="101"/>
      <c r="M50" s="93"/>
      <c r="N50" s="93"/>
      <c r="O50" s="93"/>
      <c r="Y50" s="100"/>
    </row>
    <row r="51" spans="7:25" ht="15" customHeight="1">
      <c r="G51" s="93"/>
      <c r="H51" s="107"/>
      <c r="I51" s="93"/>
      <c r="J51" s="104"/>
      <c r="K51" s="93"/>
      <c r="M51" s="93"/>
      <c r="O51" s="93"/>
    </row>
    <row r="52" spans="7:25" ht="15" customHeight="1">
      <c r="G52" s="93"/>
      <c r="H52" s="107"/>
      <c r="I52" s="93"/>
      <c r="J52" s="104"/>
      <c r="K52" s="93"/>
      <c r="L52" s="102"/>
      <c r="M52" s="93"/>
      <c r="O52" s="93"/>
    </row>
    <row r="53" spans="7:25" ht="15" customHeight="1">
      <c r="G53" s="93"/>
      <c r="H53" s="107"/>
      <c r="I53" s="93"/>
      <c r="J53" s="104"/>
      <c r="K53" s="93"/>
      <c r="L53" s="102"/>
      <c r="M53" s="93"/>
      <c r="O53" s="93"/>
    </row>
    <row r="54" spans="7:25" ht="15" customHeight="1">
      <c r="G54" s="93"/>
      <c r="H54" s="107"/>
      <c r="I54" s="93"/>
      <c r="J54" s="103"/>
      <c r="K54" s="93"/>
      <c r="L54" s="102"/>
      <c r="N54" s="104"/>
      <c r="O54" s="93"/>
    </row>
    <row r="55" spans="7:25" ht="15" customHeight="1">
      <c r="G55" s="93"/>
      <c r="H55" s="107"/>
      <c r="I55" s="93"/>
      <c r="J55" s="103"/>
      <c r="K55" s="93"/>
      <c r="L55" s="102"/>
      <c r="M55" s="93"/>
      <c r="N55" s="93"/>
      <c r="O55" s="93"/>
    </row>
    <row r="56" spans="7:25" ht="15" customHeight="1">
      <c r="G56" s="93"/>
      <c r="H56" s="107"/>
      <c r="I56" s="93"/>
      <c r="J56" s="105"/>
      <c r="K56" s="93"/>
      <c r="L56" s="102"/>
      <c r="M56" s="93"/>
      <c r="N56" s="105"/>
      <c r="O56" s="93"/>
    </row>
    <row r="57" spans="7:25" ht="30" customHeight="1">
      <c r="G57" s="93"/>
      <c r="H57" s="93"/>
      <c r="I57" s="93"/>
      <c r="J57" s="93"/>
      <c r="K57" s="93"/>
      <c r="L57" s="93"/>
      <c r="M57" s="93"/>
      <c r="N57" s="93"/>
      <c r="O57" s="93"/>
    </row>
    <row r="58" spans="7:25" s="44" customFormat="1" ht="19.95" customHeight="1">
      <c r="G58" s="93"/>
      <c r="H58" s="107"/>
      <c r="I58" s="93"/>
      <c r="J58" s="101"/>
      <c r="K58" s="93"/>
      <c r="L58" s="101"/>
      <c r="M58" s="93"/>
      <c r="N58" s="93"/>
      <c r="O58" s="93"/>
    </row>
    <row r="59" spans="7:25" s="44" customFormat="1" ht="19.95" customHeight="1">
      <c r="G59" s="93"/>
      <c r="H59" s="107"/>
      <c r="I59" s="93"/>
      <c r="J59" s="101"/>
      <c r="K59" s="93"/>
      <c r="M59" s="93"/>
      <c r="O59" s="93"/>
    </row>
    <row r="60" spans="7:25" s="44" customFormat="1" ht="19.95" customHeight="1">
      <c r="G60" s="93"/>
      <c r="H60" s="107"/>
      <c r="I60" s="93"/>
      <c r="J60" s="101"/>
      <c r="K60" s="93"/>
      <c r="L60" s="106"/>
      <c r="M60" s="93"/>
      <c r="N60" s="104"/>
      <c r="O60" s="93"/>
    </row>
    <row r="61" spans="7:25" s="44" customFormat="1">
      <c r="G61" s="93"/>
      <c r="H61" s="107"/>
      <c r="I61" s="93"/>
      <c r="J61" s="101"/>
      <c r="K61" s="93"/>
      <c r="L61" s="106"/>
      <c r="M61" s="93"/>
      <c r="N61" s="93"/>
      <c r="O61" s="93"/>
    </row>
    <row r="62" spans="7:25" s="44" customFormat="1">
      <c r="G62" s="93"/>
      <c r="H62" s="107"/>
      <c r="I62" s="93"/>
      <c r="J62" s="105"/>
      <c r="K62" s="93"/>
      <c r="L62" s="106"/>
      <c r="M62" s="93"/>
      <c r="N62" s="105"/>
      <c r="O62" s="93"/>
    </row>
    <row r="63" spans="7:25" ht="30" customHeight="1">
      <c r="G63" s="93"/>
      <c r="H63" s="93"/>
      <c r="I63" s="93"/>
      <c r="J63" s="93"/>
      <c r="K63" s="93"/>
      <c r="L63" s="93"/>
      <c r="M63" s="93"/>
      <c r="N63" s="93"/>
      <c r="O63" s="93"/>
    </row>
    <row r="64" spans="7:25">
      <c r="G64" s="93"/>
      <c r="H64" s="107"/>
      <c r="I64" s="93"/>
      <c r="J64" s="101"/>
      <c r="K64" s="93"/>
      <c r="L64" s="93"/>
      <c r="M64" s="93"/>
      <c r="N64" s="101"/>
      <c r="O64" s="93"/>
    </row>
    <row r="65" spans="7:15">
      <c r="G65" s="93"/>
      <c r="H65" s="107"/>
      <c r="I65" s="93"/>
      <c r="J65" s="93"/>
      <c r="K65" s="93"/>
      <c r="L65" s="93"/>
      <c r="M65" s="93"/>
      <c r="N65" s="93"/>
      <c r="O65" s="93"/>
    </row>
    <row r="66" spans="7:15">
      <c r="G66" s="93"/>
      <c r="H66" s="107"/>
      <c r="I66" s="93"/>
      <c r="J66" s="93"/>
      <c r="K66" s="93"/>
      <c r="L66" s="93"/>
      <c r="M66" s="93"/>
      <c r="N66" s="105"/>
      <c r="O66" s="93"/>
    </row>
    <row r="67" spans="7:15">
      <c r="G67" s="93"/>
      <c r="H67" s="107"/>
      <c r="I67" s="93"/>
      <c r="J67" s="93"/>
      <c r="K67" s="93"/>
      <c r="L67" s="93"/>
      <c r="M67" s="93"/>
      <c r="N67" s="93"/>
      <c r="O67" s="93"/>
    </row>
    <row r="68" spans="7:15" ht="27.6" customHeight="1">
      <c r="G68" s="93"/>
      <c r="H68" s="107"/>
      <c r="I68" s="93"/>
      <c r="J68" s="105"/>
      <c r="K68" s="93"/>
      <c r="L68" s="93"/>
      <c r="M68" s="93"/>
      <c r="N68" s="105"/>
      <c r="O68" s="93"/>
    </row>
    <row r="69" spans="7:15">
      <c r="G69" s="93"/>
      <c r="H69" s="93"/>
      <c r="I69" s="93"/>
      <c r="J69" s="93"/>
      <c r="K69" s="93"/>
      <c r="L69" s="93"/>
      <c r="M69" s="93"/>
      <c r="N69" s="93"/>
      <c r="O69" s="93"/>
    </row>
    <row r="70" spans="7:15">
      <c r="G70" s="93"/>
      <c r="H70" s="93"/>
      <c r="I70" s="93"/>
      <c r="J70" s="93"/>
      <c r="K70" s="93"/>
      <c r="L70" s="93"/>
      <c r="M70" s="93"/>
      <c r="N70" s="93"/>
      <c r="O70" s="93"/>
    </row>
    <row r="71" spans="7:15">
      <c r="G71" s="93"/>
      <c r="H71" s="93"/>
      <c r="I71" s="93"/>
      <c r="J71" s="93"/>
      <c r="K71" s="93"/>
      <c r="L71" s="93"/>
      <c r="M71" s="93"/>
      <c r="N71" s="93"/>
      <c r="O71" s="93"/>
    </row>
    <row r="72" spans="7:15">
      <c r="G72" s="93"/>
      <c r="H72" s="93"/>
      <c r="I72" s="93"/>
      <c r="J72" s="93"/>
      <c r="K72" s="93"/>
      <c r="L72" s="93"/>
      <c r="M72" s="93"/>
      <c r="N72" s="93"/>
      <c r="O72" s="93"/>
    </row>
    <row r="73" spans="7:15">
      <c r="G73" s="93"/>
      <c r="H73" s="93"/>
      <c r="I73" s="93"/>
      <c r="J73" s="93"/>
      <c r="K73" s="93"/>
      <c r="L73" s="93"/>
      <c r="M73" s="93"/>
      <c r="N73" s="93"/>
      <c r="O73" s="93"/>
    </row>
    <row r="74" spans="7:15">
      <c r="G74" s="93"/>
      <c r="H74" s="93"/>
      <c r="I74" s="93"/>
      <c r="J74" s="93"/>
      <c r="K74" s="93"/>
      <c r="L74" s="93"/>
      <c r="M74" s="93"/>
      <c r="N74" s="93"/>
      <c r="O74" s="93"/>
    </row>
    <row r="75" spans="7:15">
      <c r="G75" s="93"/>
      <c r="H75" s="93"/>
      <c r="I75" s="93"/>
      <c r="J75" s="93"/>
      <c r="K75" s="93"/>
      <c r="L75" s="93"/>
      <c r="M75" s="93"/>
      <c r="N75" s="93"/>
      <c r="O75" s="93"/>
    </row>
    <row r="76" spans="7:15">
      <c r="G76" s="93"/>
      <c r="H76" s="93"/>
      <c r="I76" s="93"/>
      <c r="J76" s="93"/>
      <c r="K76" s="93"/>
      <c r="L76" s="93"/>
      <c r="M76" s="93"/>
      <c r="N76" s="93"/>
      <c r="O76" s="93"/>
    </row>
    <row r="77" spans="7:15">
      <c r="G77" s="93"/>
      <c r="H77" s="93"/>
      <c r="I77" s="93"/>
      <c r="J77" s="93"/>
      <c r="K77" s="93"/>
      <c r="L77" s="93"/>
      <c r="M77" s="93"/>
      <c r="N77" s="93"/>
      <c r="O77" s="93"/>
    </row>
    <row r="78" spans="7:15">
      <c r="G78" s="93"/>
      <c r="H78" s="93"/>
      <c r="I78" s="93"/>
      <c r="J78" s="93"/>
      <c r="K78" s="93"/>
      <c r="L78" s="93"/>
      <c r="M78" s="93"/>
      <c r="N78" s="93"/>
      <c r="O78" s="93"/>
    </row>
    <row r="79" spans="7:15">
      <c r="G79" s="93"/>
      <c r="H79" s="93"/>
      <c r="I79" s="93"/>
      <c r="J79" s="93"/>
      <c r="K79" s="93"/>
      <c r="L79" s="93"/>
      <c r="M79" s="93"/>
      <c r="N79" s="93"/>
      <c r="O79" s="93"/>
    </row>
    <row r="80" spans="7:15">
      <c r="G80" s="93"/>
      <c r="H80" s="93"/>
      <c r="I80" s="93"/>
      <c r="J80" s="93"/>
      <c r="K80" s="93"/>
      <c r="L80" s="93"/>
      <c r="M80" s="93"/>
      <c r="N80" s="93"/>
      <c r="O80" s="93"/>
    </row>
    <row r="81" spans="7:15">
      <c r="G81" s="93"/>
      <c r="H81" s="93"/>
      <c r="I81" s="93"/>
      <c r="J81" s="93"/>
      <c r="K81" s="93"/>
      <c r="L81" s="93"/>
      <c r="M81" s="93"/>
      <c r="N81" s="93"/>
      <c r="O81" s="93"/>
    </row>
    <row r="82" spans="7:15">
      <c r="G82" s="93"/>
      <c r="H82" s="93"/>
      <c r="I82" s="93"/>
      <c r="J82" s="93"/>
      <c r="K82" s="93"/>
      <c r="L82" s="93"/>
      <c r="M82" s="93"/>
      <c r="N82" s="93"/>
      <c r="O82" s="93"/>
    </row>
    <row r="83" spans="7:15">
      <c r="G83" s="93"/>
      <c r="H83" s="93"/>
      <c r="I83" s="93"/>
      <c r="J83" s="93"/>
      <c r="K83" s="93"/>
      <c r="L83" s="93"/>
      <c r="M83" s="93"/>
      <c r="N83" s="93"/>
      <c r="O83" s="93"/>
    </row>
    <row r="84" spans="7:15">
      <c r="G84" s="93"/>
      <c r="H84" s="93"/>
      <c r="I84" s="93"/>
      <c r="J84" s="93"/>
      <c r="K84" s="93"/>
      <c r="L84" s="93"/>
      <c r="M84" s="93"/>
      <c r="N84" s="93"/>
      <c r="O84" s="93"/>
    </row>
    <row r="85" spans="7:15">
      <c r="G85" s="93"/>
      <c r="H85" s="93"/>
      <c r="I85" s="93"/>
      <c r="J85" s="93"/>
      <c r="K85" s="93"/>
      <c r="L85" s="93"/>
      <c r="M85" s="93"/>
      <c r="N85" s="93"/>
      <c r="O85" s="93"/>
    </row>
    <row r="86" spans="7:15">
      <c r="G86" s="93"/>
      <c r="H86" s="93"/>
      <c r="I86" s="93"/>
      <c r="J86" s="93"/>
      <c r="K86" s="93"/>
      <c r="L86" s="93"/>
      <c r="M86" s="93"/>
      <c r="N86" s="93"/>
      <c r="O86" s="93"/>
    </row>
    <row r="87" spans="7:15">
      <c r="G87" s="93"/>
      <c r="H87" s="93"/>
      <c r="I87" s="93"/>
      <c r="J87" s="93"/>
      <c r="K87" s="93"/>
      <c r="L87" s="93"/>
      <c r="M87" s="93"/>
      <c r="N87" s="93"/>
      <c r="O87" s="93"/>
    </row>
    <row r="88" spans="7:15">
      <c r="G88" s="93"/>
      <c r="H88" s="93"/>
      <c r="I88" s="93"/>
      <c r="J88" s="93"/>
      <c r="K88" s="93"/>
      <c r="L88" s="93"/>
      <c r="M88" s="93"/>
      <c r="N88" s="93"/>
      <c r="O88" s="93"/>
    </row>
    <row r="89" spans="7:15">
      <c r="G89" s="93"/>
      <c r="H89" s="93"/>
      <c r="I89" s="93"/>
      <c r="J89" s="93"/>
      <c r="K89" s="93"/>
      <c r="L89" s="93"/>
      <c r="M89" s="93"/>
      <c r="N89" s="93"/>
      <c r="O89" s="93"/>
    </row>
    <row r="90" spans="7:15">
      <c r="G90" s="44"/>
      <c r="H90" s="44"/>
      <c r="I90" s="44"/>
      <c r="J90" s="44"/>
      <c r="K90" s="44"/>
      <c r="L90" s="44"/>
      <c r="M90" s="44"/>
      <c r="N90" s="44"/>
      <c r="O90" s="44"/>
    </row>
    <row r="91" spans="7:15">
      <c r="G91" s="44"/>
      <c r="H91" s="44"/>
      <c r="I91" s="44"/>
      <c r="J91" s="44"/>
      <c r="K91" s="44"/>
      <c r="L91" s="44"/>
      <c r="M91" s="44"/>
      <c r="N91" s="44"/>
      <c r="O91" s="44"/>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0404A-9CEE-437F-A59F-27567353E4E1}">
  <sheetPr>
    <tabColor rgb="FFFF9999"/>
  </sheetPr>
  <dimension ref="A3:Y47"/>
  <sheetViews>
    <sheetView zoomScale="70" zoomScaleNormal="70" workbookViewId="0">
      <selection activeCell="F16" sqref="F16"/>
    </sheetView>
  </sheetViews>
  <sheetFormatPr baseColWidth="10" defaultRowHeight="13.8"/>
  <cols>
    <col min="1" max="3" width="11.5546875" style="50"/>
    <col min="4" max="6" width="18.33203125" style="50" customWidth="1"/>
    <col min="7" max="7" width="20.21875" style="50" customWidth="1"/>
    <col min="8" max="12" width="18.33203125" style="50" customWidth="1"/>
    <col min="13" max="13" width="11.5546875" style="50"/>
    <col min="14" max="14" width="11.5546875" style="64"/>
    <col min="15" max="16" width="11.5546875" style="50"/>
    <col min="17" max="17" width="3.77734375" style="50" customWidth="1"/>
    <col min="18" max="18" width="4.77734375" style="50" customWidth="1"/>
    <col min="19" max="19" width="5.77734375" style="50" customWidth="1"/>
    <col min="20" max="20" width="30.77734375" style="50" customWidth="1"/>
    <col min="21" max="21" width="5.77734375" style="50" customWidth="1"/>
    <col min="22" max="22" width="30.77734375" style="50" customWidth="1"/>
    <col min="23" max="23" width="5.77734375" style="50" customWidth="1"/>
    <col min="24" max="24" width="30.77734375" style="50" customWidth="1"/>
    <col min="25" max="16384" width="11.5546875" style="50"/>
  </cols>
  <sheetData>
    <row r="3" spans="1:25" ht="30" customHeight="1" thickBot="1">
      <c r="A3" s="50" t="s">
        <v>3948</v>
      </c>
      <c r="D3" s="57" t="s">
        <v>43</v>
      </c>
      <c r="E3" s="57" t="s">
        <v>46</v>
      </c>
      <c r="F3" s="57" t="s">
        <v>3916</v>
      </c>
      <c r="G3" s="57" t="s">
        <v>3918</v>
      </c>
      <c r="H3" s="57" t="s">
        <v>3917</v>
      </c>
      <c r="I3" s="57" t="s">
        <v>3919</v>
      </c>
      <c r="J3" s="57" t="s">
        <v>3920</v>
      </c>
      <c r="K3" s="57" t="s">
        <v>3921</v>
      </c>
      <c r="L3" s="57" t="s">
        <v>3663</v>
      </c>
      <c r="O3" s="50" t="s">
        <v>3949</v>
      </c>
    </row>
    <row r="4" spans="1:25" ht="19.95" customHeight="1">
      <c r="D4" s="58" t="s">
        <v>44</v>
      </c>
      <c r="E4" s="58">
        <v>283</v>
      </c>
      <c r="F4" s="58">
        <v>113</v>
      </c>
      <c r="G4" s="58">
        <v>47</v>
      </c>
      <c r="H4" s="58">
        <v>22</v>
      </c>
      <c r="I4" s="58">
        <v>3</v>
      </c>
      <c r="J4" s="58">
        <v>53</v>
      </c>
      <c r="K4" s="58">
        <v>35</v>
      </c>
      <c r="L4" s="58">
        <v>10</v>
      </c>
    </row>
    <row r="5" spans="1:25" ht="19.95" customHeight="1">
      <c r="D5" s="59" t="s">
        <v>805</v>
      </c>
      <c r="E5" s="59">
        <v>954</v>
      </c>
      <c r="F5" s="59">
        <v>433</v>
      </c>
      <c r="G5" s="59">
        <v>134</v>
      </c>
      <c r="H5" s="59">
        <v>272</v>
      </c>
      <c r="I5" s="59">
        <v>29</v>
      </c>
      <c r="J5" s="59">
        <v>1</v>
      </c>
      <c r="K5" s="59">
        <v>69</v>
      </c>
      <c r="L5" s="59">
        <v>16</v>
      </c>
    </row>
    <row r="6" spans="1:25" ht="19.95" customHeight="1">
      <c r="D6" s="59" t="s">
        <v>2824</v>
      </c>
      <c r="E6" s="59">
        <v>236</v>
      </c>
      <c r="F6" s="59">
        <v>68</v>
      </c>
      <c r="G6" s="59">
        <v>89</v>
      </c>
      <c r="H6" s="59">
        <v>34</v>
      </c>
      <c r="I6" s="59">
        <v>1</v>
      </c>
      <c r="J6" s="59">
        <v>8</v>
      </c>
      <c r="K6" s="59">
        <v>20</v>
      </c>
      <c r="L6" s="59">
        <v>16</v>
      </c>
    </row>
    <row r="7" spans="1:25" ht="19.95" customHeight="1">
      <c r="D7" s="60" t="s">
        <v>3440</v>
      </c>
      <c r="E7" s="60">
        <v>50</v>
      </c>
      <c r="F7" s="60">
        <v>22</v>
      </c>
      <c r="G7" s="60">
        <v>16</v>
      </c>
      <c r="H7" s="60">
        <v>2</v>
      </c>
      <c r="I7" s="60">
        <v>0</v>
      </c>
      <c r="J7" s="60">
        <v>0</v>
      </c>
      <c r="K7" s="60">
        <v>2</v>
      </c>
      <c r="L7" s="60">
        <v>8</v>
      </c>
    </row>
    <row r="8" spans="1:25" ht="19.95" customHeight="1" thickBot="1">
      <c r="D8" s="61" t="s">
        <v>3481</v>
      </c>
      <c r="E8" s="61">
        <v>77</v>
      </c>
      <c r="F8" s="61">
        <v>26</v>
      </c>
      <c r="G8" s="61">
        <v>2</v>
      </c>
      <c r="H8" s="61">
        <v>17</v>
      </c>
      <c r="I8" s="61">
        <v>0</v>
      </c>
      <c r="J8" s="61">
        <v>5</v>
      </c>
      <c r="K8" s="61">
        <v>11</v>
      </c>
      <c r="L8" s="61">
        <v>16</v>
      </c>
    </row>
    <row r="9" spans="1:25" ht="19.95" customHeight="1">
      <c r="D9" s="62"/>
      <c r="E9" s="62">
        <v>1600</v>
      </c>
      <c r="F9" s="116">
        <v>1330</v>
      </c>
      <c r="G9" s="117"/>
      <c r="H9" s="117"/>
      <c r="I9" s="118"/>
      <c r="J9" s="116">
        <v>204</v>
      </c>
      <c r="K9" s="118"/>
      <c r="L9" s="63" t="s">
        <v>3947</v>
      </c>
    </row>
    <row r="13" spans="1:25" ht="19.95" customHeight="1">
      <c r="Q13" s="54"/>
      <c r="R13" s="54"/>
      <c r="S13" s="54"/>
      <c r="T13" s="54"/>
      <c r="U13" s="54"/>
      <c r="V13" s="54"/>
      <c r="W13" s="54"/>
      <c r="X13" s="54"/>
      <c r="Y13" s="54"/>
    </row>
    <row r="14" spans="1:25" ht="19.95" customHeight="1">
      <c r="Q14" s="54"/>
      <c r="R14" s="54"/>
      <c r="S14" s="54"/>
      <c r="T14" s="54"/>
      <c r="U14" s="54"/>
      <c r="V14" s="54"/>
      <c r="W14" s="54"/>
      <c r="X14" s="54"/>
      <c r="Y14" s="54"/>
    </row>
    <row r="15" spans="1:25" ht="19.95" customHeight="1">
      <c r="Q15" s="54"/>
      <c r="R15" s="108" t="s">
        <v>3933</v>
      </c>
      <c r="S15" s="54"/>
      <c r="T15" s="88"/>
      <c r="U15" s="54"/>
      <c r="V15" s="89"/>
      <c r="W15" s="54"/>
      <c r="X15" s="54"/>
      <c r="Y15" s="54"/>
    </row>
    <row r="16" spans="1:25" ht="27.6" customHeight="1">
      <c r="Q16" s="54"/>
      <c r="R16" s="109"/>
      <c r="S16" s="54"/>
      <c r="T16" s="67" t="s">
        <v>3936</v>
      </c>
      <c r="U16" s="54"/>
      <c r="V16" s="77" t="s">
        <v>3951</v>
      </c>
      <c r="W16" s="54"/>
      <c r="X16" s="54"/>
      <c r="Y16" s="54"/>
    </row>
    <row r="17" spans="17:25" ht="19.95" customHeight="1">
      <c r="Q17" s="54"/>
      <c r="R17" s="109"/>
      <c r="S17" s="54"/>
      <c r="T17" s="65"/>
      <c r="U17" s="54"/>
      <c r="V17" s="77" t="s">
        <v>3952</v>
      </c>
      <c r="W17" s="54"/>
      <c r="X17" s="54"/>
      <c r="Y17" s="54"/>
    </row>
    <row r="18" spans="17:25" ht="19.95" customHeight="1">
      <c r="Q18" s="54"/>
      <c r="R18" s="109"/>
      <c r="S18" s="54"/>
      <c r="T18" s="65"/>
      <c r="U18" s="54"/>
      <c r="V18" s="77" t="s">
        <v>3953</v>
      </c>
      <c r="W18" s="54"/>
      <c r="X18" s="54"/>
      <c r="Y18" s="54"/>
    </row>
    <row r="19" spans="17:25" ht="19.95" customHeight="1">
      <c r="Q19" s="54"/>
      <c r="R19" s="109"/>
      <c r="S19" s="54"/>
      <c r="T19" s="56"/>
      <c r="U19" s="54"/>
      <c r="V19" s="77" t="s">
        <v>3954</v>
      </c>
      <c r="W19" s="54"/>
      <c r="X19" s="54"/>
      <c r="Y19" s="54"/>
    </row>
    <row r="20" spans="17:25" ht="19.95" customHeight="1">
      <c r="Q20" s="54"/>
      <c r="R20" s="110"/>
      <c r="S20" s="54"/>
      <c r="T20" s="76" t="s">
        <v>3937</v>
      </c>
      <c r="U20" s="54"/>
      <c r="V20" s="78" t="s">
        <v>3967</v>
      </c>
      <c r="W20" s="54"/>
      <c r="X20" s="54"/>
      <c r="Y20" s="54"/>
    </row>
    <row r="21" spans="17:25" ht="19.95" customHeight="1">
      <c r="Q21" s="54"/>
      <c r="R21" s="54"/>
      <c r="S21" s="54"/>
      <c r="T21" s="54"/>
      <c r="U21" s="54"/>
      <c r="V21" s="54"/>
      <c r="W21" s="54"/>
      <c r="X21" s="54"/>
      <c r="Y21" s="54"/>
    </row>
    <row r="22" spans="17:25" ht="19.95" customHeight="1">
      <c r="Q22" s="54"/>
      <c r="R22" s="108" t="s">
        <v>3934</v>
      </c>
      <c r="S22" s="54"/>
      <c r="T22" s="55"/>
      <c r="U22" s="54"/>
      <c r="V22" s="113" t="s">
        <v>3963</v>
      </c>
      <c r="W22" s="54"/>
      <c r="X22" s="54"/>
      <c r="Y22" s="54"/>
    </row>
    <row r="23" spans="17:25" ht="27.6" customHeight="1">
      <c r="Q23" s="54"/>
      <c r="R23" s="109"/>
      <c r="S23" s="54"/>
      <c r="T23" s="70" t="s">
        <v>3964</v>
      </c>
      <c r="U23" s="54"/>
      <c r="V23" s="114"/>
      <c r="W23" s="54"/>
      <c r="X23" s="48"/>
      <c r="Y23" s="54"/>
    </row>
    <row r="24" spans="17:25" ht="19.95" customHeight="1">
      <c r="Q24" s="54"/>
      <c r="R24" s="109"/>
      <c r="S24" s="54"/>
      <c r="T24" s="87" t="s">
        <v>3965</v>
      </c>
      <c r="U24" s="54"/>
      <c r="V24" s="72" t="s">
        <v>3938</v>
      </c>
      <c r="W24" s="54"/>
      <c r="X24" s="48"/>
      <c r="Y24" s="54"/>
    </row>
    <row r="25" spans="17:25" ht="19.95" customHeight="1">
      <c r="Q25" s="54"/>
      <c r="R25" s="109"/>
      <c r="S25" s="54"/>
      <c r="T25" s="69"/>
      <c r="U25" s="54"/>
      <c r="V25" s="72" t="s">
        <v>3939</v>
      </c>
      <c r="W25" s="54"/>
      <c r="X25" s="48"/>
      <c r="Y25" s="54"/>
    </row>
    <row r="26" spans="17:25" ht="19.95" customHeight="1">
      <c r="Q26" s="54"/>
      <c r="R26" s="109"/>
      <c r="S26" s="54"/>
      <c r="T26" s="52"/>
      <c r="U26" s="54"/>
      <c r="V26" s="72" t="s">
        <v>3940</v>
      </c>
      <c r="W26" s="48"/>
      <c r="X26" s="71" t="s">
        <v>3962</v>
      </c>
      <c r="Y26" s="54"/>
    </row>
    <row r="27" spans="17:25" ht="19.95" customHeight="1">
      <c r="Q27" s="54"/>
      <c r="R27" s="109"/>
      <c r="S27" s="54"/>
      <c r="T27" s="52"/>
      <c r="U27" s="54"/>
      <c r="V27" s="72" t="s">
        <v>3941</v>
      </c>
      <c r="W27" s="54"/>
      <c r="X27" s="53"/>
      <c r="Y27" s="54"/>
    </row>
    <row r="28" spans="17:25" ht="19.95" customHeight="1">
      <c r="Q28" s="54"/>
      <c r="R28" s="110"/>
      <c r="S28" s="54"/>
      <c r="T28" s="79" t="s">
        <v>3937</v>
      </c>
      <c r="U28" s="54"/>
      <c r="V28" s="73" t="s">
        <v>3942</v>
      </c>
      <c r="W28" s="54"/>
      <c r="X28" s="79" t="s">
        <v>3955</v>
      </c>
      <c r="Y28" s="54"/>
    </row>
    <row r="29" spans="17:25" ht="19.95" customHeight="1">
      <c r="Q29" s="54"/>
      <c r="R29" s="54"/>
      <c r="S29" s="54"/>
      <c r="T29" s="54"/>
      <c r="U29" s="54"/>
      <c r="V29" s="54"/>
      <c r="W29" s="54"/>
      <c r="X29" s="54"/>
      <c r="Y29" s="54"/>
    </row>
    <row r="30" spans="17:25" ht="19.95" customHeight="1">
      <c r="Q30" s="54"/>
      <c r="R30" s="108" t="s">
        <v>3935</v>
      </c>
      <c r="S30" s="54"/>
      <c r="T30" s="88"/>
      <c r="U30" s="54"/>
      <c r="V30" s="111" t="s">
        <v>3960</v>
      </c>
      <c r="W30" s="54"/>
      <c r="X30" s="54"/>
      <c r="Y30" s="54"/>
    </row>
    <row r="31" spans="17:25" ht="27.6" customHeight="1">
      <c r="Q31" s="49"/>
      <c r="R31" s="109"/>
      <c r="S31" s="49"/>
      <c r="T31" s="67" t="s">
        <v>3961</v>
      </c>
      <c r="U31" s="49"/>
      <c r="V31" s="112"/>
      <c r="W31" s="49"/>
      <c r="X31" s="48"/>
      <c r="Y31" s="49"/>
    </row>
    <row r="32" spans="17:25" ht="27.6" customHeight="1">
      <c r="Q32" s="49"/>
      <c r="R32" s="109"/>
      <c r="S32" s="49"/>
      <c r="T32" s="66"/>
      <c r="U32" s="49"/>
      <c r="V32" s="74" t="s">
        <v>3943</v>
      </c>
      <c r="W32" s="49"/>
      <c r="X32" s="68" t="s">
        <v>3962</v>
      </c>
      <c r="Y32" s="49"/>
    </row>
    <row r="33" spans="17:25" ht="27.6" customHeight="1">
      <c r="Q33" s="49"/>
      <c r="R33" s="109"/>
      <c r="S33" s="49"/>
      <c r="T33" s="66"/>
      <c r="U33" s="49"/>
      <c r="V33" s="74" t="s">
        <v>3950</v>
      </c>
      <c r="W33" s="49"/>
      <c r="X33" s="51"/>
      <c r="Y33" s="49"/>
    </row>
    <row r="34" spans="17:25" ht="27.6" customHeight="1">
      <c r="Q34" s="49"/>
      <c r="R34" s="110"/>
      <c r="S34" s="49"/>
      <c r="T34" s="80" t="s">
        <v>3956</v>
      </c>
      <c r="U34" s="49"/>
      <c r="V34" s="75" t="s">
        <v>3944</v>
      </c>
      <c r="W34" s="49"/>
      <c r="X34" s="80" t="s">
        <v>3957</v>
      </c>
      <c r="Y34" s="49"/>
    </row>
    <row r="35" spans="17:25" ht="19.95" customHeight="1" thickBot="1">
      <c r="Q35" s="54"/>
      <c r="R35" s="54"/>
      <c r="S35" s="54"/>
      <c r="T35" s="54"/>
      <c r="U35" s="54"/>
      <c r="V35" s="54"/>
      <c r="W35" s="54"/>
      <c r="X35" s="54"/>
      <c r="Y35" s="54"/>
    </row>
    <row r="36" spans="17:25" ht="19.95" customHeight="1">
      <c r="Q36" s="54"/>
      <c r="R36" s="108" t="s">
        <v>3663</v>
      </c>
      <c r="S36" s="54"/>
      <c r="T36" s="88"/>
      <c r="U36" s="54"/>
      <c r="V36" s="54"/>
      <c r="W36" s="54"/>
      <c r="X36" s="81"/>
      <c r="Y36" s="54"/>
    </row>
    <row r="37" spans="17:25" ht="27.6" customHeight="1">
      <c r="Q37" s="54"/>
      <c r="R37" s="109"/>
      <c r="S37" s="54"/>
      <c r="T37" s="67" t="s">
        <v>3945</v>
      </c>
      <c r="U37" s="54"/>
      <c r="V37" s="54"/>
      <c r="W37" s="54"/>
      <c r="X37" s="82" t="s">
        <v>3946</v>
      </c>
      <c r="Y37" s="54"/>
    </row>
    <row r="38" spans="17:25" ht="19.95" customHeight="1">
      <c r="Q38" s="54"/>
      <c r="R38" s="109"/>
      <c r="S38" s="54"/>
      <c r="T38" s="53"/>
      <c r="U38" s="54"/>
      <c r="V38" s="54"/>
      <c r="W38" s="54"/>
      <c r="X38" s="83"/>
      <c r="Y38" s="54"/>
    </row>
    <row r="39" spans="17:25" ht="19.95" customHeight="1">
      <c r="Q39" s="54"/>
      <c r="R39" s="109"/>
      <c r="S39" s="54"/>
      <c r="T39" s="53"/>
      <c r="U39" s="54"/>
      <c r="V39" s="54"/>
      <c r="W39" s="54"/>
      <c r="X39" s="84"/>
      <c r="Y39" s="54"/>
    </row>
    <row r="40" spans="17:25" ht="19.95" customHeight="1" thickBot="1">
      <c r="Q40" s="54"/>
      <c r="R40" s="110"/>
      <c r="S40" s="54"/>
      <c r="T40" s="79" t="s">
        <v>3958</v>
      </c>
      <c r="U40" s="54"/>
      <c r="V40" s="54"/>
      <c r="W40" s="54"/>
      <c r="X40" s="85" t="s">
        <v>3959</v>
      </c>
      <c r="Y40" s="54"/>
    </row>
    <row r="41" spans="17:25" ht="19.95" customHeight="1">
      <c r="Q41" s="54"/>
      <c r="R41" s="54"/>
      <c r="S41" s="54"/>
      <c r="T41" s="54"/>
      <c r="U41" s="54"/>
      <c r="V41" s="54"/>
      <c r="W41" s="54"/>
      <c r="X41" s="54"/>
      <c r="Y41" s="54"/>
    </row>
    <row r="42" spans="17:25" ht="19.95" customHeight="1">
      <c r="Q42" s="54"/>
      <c r="R42" s="54"/>
      <c r="S42" s="54"/>
      <c r="T42" s="54"/>
      <c r="U42" s="54"/>
      <c r="V42" s="54"/>
      <c r="W42" s="54"/>
      <c r="X42" s="54"/>
      <c r="Y42" s="54"/>
    </row>
    <row r="43" spans="17:25" ht="19.95" customHeight="1">
      <c r="Q43" s="54"/>
      <c r="R43" s="49"/>
      <c r="S43" s="49"/>
      <c r="T43" s="49"/>
      <c r="U43" s="54"/>
      <c r="V43" s="54"/>
      <c r="W43" s="54"/>
      <c r="X43" s="54"/>
      <c r="Y43" s="54"/>
    </row>
    <row r="44" spans="17:25" ht="19.95" customHeight="1">
      <c r="Q44" s="54"/>
      <c r="R44" s="54"/>
      <c r="S44" s="54"/>
      <c r="T44" s="54"/>
      <c r="U44" s="54"/>
      <c r="V44" s="54"/>
      <c r="W44" s="54"/>
      <c r="X44" s="54"/>
      <c r="Y44" s="54"/>
    </row>
    <row r="45" spans="17:25" ht="19.95" customHeight="1">
      <c r="Q45" s="54"/>
      <c r="R45" s="86" t="s">
        <v>3774</v>
      </c>
      <c r="S45" s="115" t="s">
        <v>3966</v>
      </c>
      <c r="T45" s="115"/>
      <c r="U45" s="54"/>
      <c r="V45" s="54"/>
      <c r="W45" s="54"/>
      <c r="X45" s="54"/>
      <c r="Y45" s="54"/>
    </row>
    <row r="46" spans="17:25" ht="19.95" customHeight="1">
      <c r="Q46" s="54"/>
      <c r="R46" s="54"/>
      <c r="S46" s="54"/>
      <c r="T46" s="54"/>
      <c r="U46" s="54"/>
      <c r="V46" s="54"/>
      <c r="W46" s="54"/>
      <c r="X46" s="54"/>
      <c r="Y46" s="54"/>
    </row>
    <row r="47" spans="17:25" ht="19.95" customHeight="1"/>
  </sheetData>
  <mergeCells count="9">
    <mergeCell ref="R36:R40"/>
    <mergeCell ref="V30:V31"/>
    <mergeCell ref="V22:V23"/>
    <mergeCell ref="S45:T45"/>
    <mergeCell ref="F9:I9"/>
    <mergeCell ref="J9:K9"/>
    <mergeCell ref="R15:R20"/>
    <mergeCell ref="R22:R28"/>
    <mergeCell ref="R30:R34"/>
  </mergeCells>
  <pageMargins left="0.7" right="0.7" top="0.78740157499999996" bottom="0.78740157499999996"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625F4-D3FD-4410-B697-36D3887F2C4D}">
  <sheetPr filterMode="1"/>
  <dimension ref="A1:XFA168"/>
  <sheetViews>
    <sheetView topLeftCell="D1" zoomScale="70" zoomScaleNormal="70" workbookViewId="0">
      <selection activeCell="I19" sqref="I19"/>
    </sheetView>
  </sheetViews>
  <sheetFormatPr baseColWidth="10" defaultRowHeight="14.4"/>
  <cols>
    <col min="1" max="1" width="141" bestFit="1" customWidth="1"/>
    <col min="3" max="3" width="89.33203125" bestFit="1" customWidth="1"/>
    <col min="5" max="5" width="96" bestFit="1" customWidth="1"/>
    <col min="7" max="7" width="16.6640625" bestFit="1" customWidth="1"/>
    <col min="8" max="8" width="12.88671875" bestFit="1" customWidth="1"/>
    <col min="9" max="9" width="13.88671875" bestFit="1" customWidth="1"/>
    <col min="10" max="10" width="21.109375" bestFit="1" customWidth="1"/>
    <col min="11" max="11" width="10.109375" bestFit="1" customWidth="1"/>
    <col min="12" max="12" width="18" bestFit="1" customWidth="1"/>
    <col min="13" max="13" width="38.77734375" bestFit="1" customWidth="1"/>
    <col min="14" max="14" width="16.6640625" bestFit="1" customWidth="1"/>
  </cols>
  <sheetData>
    <row r="1" spans="1:16381">
      <c r="A1" s="9" t="s">
        <v>1</v>
      </c>
      <c r="B1" s="8" t="s">
        <v>0</v>
      </c>
      <c r="C1" s="8" t="s">
        <v>2</v>
      </c>
      <c r="D1" s="8" t="s">
        <v>3</v>
      </c>
      <c r="E1" s="8" t="s">
        <v>4</v>
      </c>
      <c r="F1" s="8" t="s">
        <v>5</v>
      </c>
      <c r="G1" s="8" t="s">
        <v>7</v>
      </c>
      <c r="H1" s="8" t="s">
        <v>35</v>
      </c>
      <c r="I1" s="8" t="s">
        <v>6</v>
      </c>
      <c r="J1" s="8" t="s">
        <v>8</v>
      </c>
      <c r="K1" s="8" t="s">
        <v>37</v>
      </c>
      <c r="L1" s="8" t="s">
        <v>9</v>
      </c>
      <c r="M1" s="8" t="s">
        <v>1340</v>
      </c>
      <c r="N1" s="8" t="s">
        <v>28</v>
      </c>
      <c r="O1" s="8" t="s">
        <v>11</v>
      </c>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c r="GL1" s="10"/>
      <c r="GM1" s="10"/>
      <c r="GN1" s="10"/>
      <c r="GO1" s="10"/>
      <c r="GP1" s="10"/>
      <c r="GQ1" s="10"/>
      <c r="GR1" s="10"/>
      <c r="GS1" s="10"/>
      <c r="GT1" s="10"/>
      <c r="GU1" s="10"/>
      <c r="GV1" s="10"/>
      <c r="GW1" s="10"/>
      <c r="GX1" s="10"/>
      <c r="GY1" s="10"/>
      <c r="GZ1" s="10"/>
      <c r="HA1" s="10"/>
      <c r="HB1" s="10"/>
      <c r="HC1" s="10"/>
      <c r="HD1" s="10"/>
      <c r="HE1" s="10"/>
      <c r="HF1" s="10"/>
      <c r="HG1" s="10"/>
      <c r="HH1" s="10"/>
      <c r="HI1" s="10"/>
      <c r="HJ1" s="10"/>
      <c r="HK1" s="10"/>
      <c r="HL1" s="10"/>
      <c r="HM1" s="10"/>
      <c r="HN1" s="10"/>
      <c r="HO1" s="10"/>
      <c r="HP1" s="10"/>
      <c r="HQ1" s="10"/>
      <c r="HR1" s="10"/>
      <c r="HS1" s="10"/>
      <c r="HT1" s="10"/>
      <c r="HU1" s="10"/>
      <c r="HV1" s="10"/>
      <c r="HW1" s="10"/>
      <c r="HX1" s="10"/>
      <c r="HY1" s="10"/>
      <c r="HZ1" s="10"/>
      <c r="IA1" s="10"/>
      <c r="IB1" s="10"/>
      <c r="IC1" s="10"/>
      <c r="ID1" s="10"/>
      <c r="IE1" s="10"/>
      <c r="IF1" s="10"/>
      <c r="IG1" s="10"/>
      <c r="IH1" s="10"/>
      <c r="II1" s="10"/>
      <c r="IJ1" s="10"/>
      <c r="IK1" s="10"/>
      <c r="IL1" s="10"/>
      <c r="IM1" s="10"/>
      <c r="IN1" s="10"/>
      <c r="IO1" s="10"/>
      <c r="IP1" s="10"/>
      <c r="IQ1" s="10"/>
      <c r="IR1" s="10"/>
      <c r="IS1" s="10"/>
      <c r="IT1" s="10"/>
      <c r="IU1" s="10"/>
      <c r="IV1" s="10"/>
      <c r="IW1" s="10"/>
      <c r="IX1" s="10"/>
      <c r="IY1" s="10"/>
      <c r="IZ1" s="10"/>
      <c r="JA1" s="10"/>
      <c r="JB1" s="10"/>
      <c r="JC1" s="10"/>
      <c r="JD1" s="10"/>
      <c r="JE1" s="10"/>
      <c r="JF1" s="10"/>
      <c r="JG1" s="10"/>
      <c r="JH1" s="10"/>
      <c r="JI1" s="10"/>
      <c r="JJ1" s="10"/>
      <c r="JK1" s="10"/>
      <c r="JL1" s="10"/>
      <c r="JM1" s="10"/>
      <c r="JN1" s="10"/>
      <c r="JO1" s="10"/>
      <c r="JP1" s="10"/>
      <c r="JQ1" s="10"/>
      <c r="JR1" s="10"/>
      <c r="JS1" s="10"/>
      <c r="JT1" s="10"/>
      <c r="JU1" s="10"/>
      <c r="JV1" s="10"/>
      <c r="JW1" s="10"/>
      <c r="JX1" s="10"/>
      <c r="JY1" s="10"/>
      <c r="JZ1" s="10"/>
      <c r="KA1" s="10"/>
      <c r="KB1" s="10"/>
      <c r="KC1" s="10"/>
      <c r="KD1" s="10"/>
      <c r="KE1" s="10"/>
      <c r="KF1" s="10"/>
      <c r="KG1" s="10"/>
      <c r="KH1" s="10"/>
      <c r="KI1" s="10"/>
      <c r="KJ1" s="10"/>
      <c r="KK1" s="10"/>
      <c r="KL1" s="10"/>
      <c r="KM1" s="10"/>
      <c r="KN1" s="10"/>
      <c r="KO1" s="10"/>
      <c r="KP1" s="10"/>
      <c r="KQ1" s="10"/>
      <c r="KR1" s="10"/>
      <c r="KS1" s="10"/>
      <c r="KT1" s="10"/>
      <c r="KU1" s="10"/>
      <c r="KV1" s="10"/>
      <c r="KW1" s="10"/>
      <c r="KX1" s="10"/>
      <c r="KY1" s="10"/>
      <c r="KZ1" s="10"/>
      <c r="LA1" s="10"/>
      <c r="LB1" s="10"/>
      <c r="LC1" s="10"/>
      <c r="LD1" s="10"/>
      <c r="LE1" s="10"/>
      <c r="LF1" s="10"/>
      <c r="LG1" s="10"/>
      <c r="LH1" s="10"/>
      <c r="LI1" s="10"/>
      <c r="LJ1" s="10"/>
      <c r="LK1" s="10"/>
      <c r="LL1" s="10"/>
      <c r="LM1" s="10"/>
      <c r="LN1" s="10"/>
      <c r="LO1" s="10"/>
      <c r="LP1" s="10"/>
      <c r="LQ1" s="10"/>
      <c r="LR1" s="10"/>
      <c r="LS1" s="10"/>
      <c r="LT1" s="10"/>
      <c r="LU1" s="10"/>
      <c r="LV1" s="10"/>
      <c r="LW1" s="10"/>
      <c r="LX1" s="10"/>
      <c r="LY1" s="10"/>
      <c r="LZ1" s="10"/>
      <c r="MA1" s="10"/>
      <c r="MB1" s="10"/>
      <c r="MC1" s="10"/>
      <c r="MD1" s="10"/>
      <c r="ME1" s="10"/>
      <c r="MF1" s="10"/>
      <c r="MG1" s="10"/>
      <c r="MH1" s="10"/>
      <c r="MI1" s="10"/>
      <c r="MJ1" s="10"/>
      <c r="MK1" s="10"/>
      <c r="ML1" s="10"/>
      <c r="MM1" s="10"/>
      <c r="MN1" s="10"/>
      <c r="MO1" s="10"/>
      <c r="MP1" s="10"/>
      <c r="MQ1" s="10"/>
      <c r="MR1" s="10"/>
      <c r="MS1" s="10"/>
      <c r="MT1" s="10"/>
      <c r="MU1" s="10"/>
      <c r="MV1" s="10"/>
      <c r="MW1" s="10"/>
      <c r="MX1" s="10"/>
      <c r="MY1" s="10"/>
      <c r="MZ1" s="10"/>
      <c r="NA1" s="10"/>
      <c r="NB1" s="10"/>
      <c r="NC1" s="10"/>
      <c r="ND1" s="10"/>
      <c r="NE1" s="10"/>
      <c r="NF1" s="10"/>
      <c r="NG1" s="10"/>
      <c r="NH1" s="10"/>
      <c r="NI1" s="10"/>
      <c r="NJ1" s="10"/>
      <c r="NK1" s="10"/>
      <c r="NL1" s="10"/>
      <c r="NM1" s="10"/>
      <c r="NN1" s="10"/>
      <c r="NO1" s="10"/>
      <c r="NP1" s="10"/>
      <c r="NQ1" s="10"/>
      <c r="NR1" s="10"/>
      <c r="NS1" s="10"/>
      <c r="NT1" s="10"/>
      <c r="NU1" s="10"/>
      <c r="NV1" s="10"/>
      <c r="NW1" s="10"/>
      <c r="NX1" s="10"/>
      <c r="NY1" s="10"/>
      <c r="NZ1" s="10"/>
      <c r="OA1" s="10"/>
      <c r="OB1" s="10"/>
      <c r="OC1" s="10"/>
      <c r="OD1" s="10"/>
      <c r="OE1" s="10"/>
      <c r="OF1" s="10"/>
      <c r="OG1" s="10"/>
      <c r="OH1" s="10"/>
      <c r="OI1" s="10"/>
      <c r="OJ1" s="10"/>
      <c r="OK1" s="10"/>
      <c r="OL1" s="10"/>
      <c r="OM1" s="10"/>
      <c r="ON1" s="10"/>
      <c r="OO1" s="10"/>
      <c r="OP1" s="10"/>
      <c r="OQ1" s="10"/>
      <c r="OR1" s="10"/>
      <c r="OS1" s="10"/>
      <c r="OT1" s="10"/>
      <c r="OU1" s="10"/>
      <c r="OV1" s="10"/>
      <c r="OW1" s="10"/>
      <c r="OX1" s="10"/>
      <c r="OY1" s="10"/>
      <c r="OZ1" s="10"/>
      <c r="PA1" s="10"/>
      <c r="PB1" s="10"/>
      <c r="PC1" s="10"/>
      <c r="PD1" s="10"/>
      <c r="PE1" s="10"/>
      <c r="PF1" s="10"/>
      <c r="PG1" s="10"/>
      <c r="PH1" s="10"/>
      <c r="PI1" s="10"/>
      <c r="PJ1" s="10"/>
      <c r="PK1" s="10"/>
      <c r="PL1" s="10"/>
      <c r="PM1" s="10"/>
      <c r="PN1" s="10"/>
      <c r="PO1" s="10"/>
      <c r="PP1" s="10"/>
      <c r="PQ1" s="10"/>
      <c r="PR1" s="10"/>
      <c r="PS1" s="10"/>
      <c r="PT1" s="10"/>
      <c r="PU1" s="10"/>
      <c r="PV1" s="10"/>
      <c r="PW1" s="10"/>
      <c r="PX1" s="10"/>
      <c r="PY1" s="10"/>
      <c r="PZ1" s="10"/>
      <c r="QA1" s="10"/>
      <c r="QB1" s="10"/>
      <c r="QC1" s="10"/>
      <c r="QD1" s="10"/>
      <c r="QE1" s="10"/>
      <c r="QF1" s="10"/>
      <c r="QG1" s="10"/>
      <c r="QH1" s="10"/>
      <c r="QI1" s="10"/>
      <c r="QJ1" s="10"/>
      <c r="QK1" s="10"/>
      <c r="QL1" s="10"/>
      <c r="QM1" s="10"/>
      <c r="QN1" s="10"/>
      <c r="QO1" s="10"/>
      <c r="QP1" s="10"/>
      <c r="QQ1" s="10"/>
      <c r="QR1" s="10"/>
      <c r="QS1" s="10"/>
      <c r="QT1" s="10"/>
      <c r="QU1" s="10"/>
      <c r="QV1" s="10"/>
      <c r="QW1" s="10"/>
      <c r="QX1" s="10"/>
      <c r="QY1" s="10"/>
      <c r="QZ1" s="10"/>
      <c r="RA1" s="10"/>
      <c r="RB1" s="10"/>
      <c r="RC1" s="10"/>
      <c r="RD1" s="10"/>
      <c r="RE1" s="10"/>
      <c r="RF1" s="10"/>
      <c r="RG1" s="10"/>
      <c r="RH1" s="10"/>
      <c r="RI1" s="10"/>
      <c r="RJ1" s="10"/>
      <c r="RK1" s="10"/>
      <c r="RL1" s="10"/>
      <c r="RM1" s="10"/>
      <c r="RN1" s="10"/>
      <c r="RO1" s="10"/>
      <c r="RP1" s="10"/>
      <c r="RQ1" s="10"/>
      <c r="RR1" s="10"/>
      <c r="RS1" s="10"/>
      <c r="RT1" s="10"/>
      <c r="RU1" s="10"/>
      <c r="RV1" s="10"/>
      <c r="RW1" s="10"/>
      <c r="RX1" s="10"/>
      <c r="RY1" s="10"/>
      <c r="RZ1" s="10"/>
      <c r="SA1" s="10"/>
      <c r="SB1" s="10"/>
      <c r="SC1" s="10"/>
      <c r="SD1" s="10"/>
      <c r="SE1" s="10"/>
      <c r="SF1" s="10"/>
      <c r="SG1" s="10"/>
      <c r="SH1" s="10"/>
      <c r="SI1" s="10"/>
      <c r="SJ1" s="10"/>
      <c r="SK1" s="10"/>
      <c r="SL1" s="10"/>
      <c r="SM1" s="10"/>
      <c r="SN1" s="10"/>
      <c r="SO1" s="10"/>
      <c r="SP1" s="10"/>
      <c r="SQ1" s="10"/>
      <c r="SR1" s="10"/>
      <c r="SS1" s="10"/>
      <c r="ST1" s="10"/>
      <c r="SU1" s="10"/>
      <c r="SV1" s="10"/>
      <c r="SW1" s="10"/>
      <c r="SX1" s="10"/>
      <c r="SY1" s="10"/>
      <c r="SZ1" s="10"/>
      <c r="TA1" s="10"/>
      <c r="TB1" s="10"/>
      <c r="TC1" s="10"/>
      <c r="TD1" s="10"/>
      <c r="TE1" s="10"/>
      <c r="TF1" s="10"/>
      <c r="TG1" s="10"/>
      <c r="TH1" s="10"/>
      <c r="TI1" s="10"/>
      <c r="TJ1" s="10"/>
      <c r="TK1" s="10"/>
      <c r="TL1" s="10"/>
      <c r="TM1" s="10"/>
      <c r="TN1" s="10"/>
      <c r="TO1" s="10"/>
      <c r="TP1" s="10"/>
      <c r="TQ1" s="10"/>
      <c r="TR1" s="10"/>
      <c r="TS1" s="10"/>
      <c r="TT1" s="10"/>
      <c r="TU1" s="10"/>
      <c r="TV1" s="10"/>
      <c r="TW1" s="10"/>
      <c r="TX1" s="10"/>
      <c r="TY1" s="10"/>
      <c r="TZ1" s="10"/>
      <c r="UA1" s="10"/>
      <c r="UB1" s="10"/>
      <c r="UC1" s="10"/>
      <c r="UD1" s="10"/>
      <c r="UE1" s="10"/>
      <c r="UF1" s="10"/>
      <c r="UG1" s="10"/>
      <c r="UH1" s="10"/>
      <c r="UI1" s="10"/>
      <c r="UJ1" s="10"/>
      <c r="UK1" s="10"/>
      <c r="UL1" s="10"/>
      <c r="UM1" s="10"/>
      <c r="UN1" s="10"/>
      <c r="UO1" s="10"/>
      <c r="UP1" s="10"/>
      <c r="UQ1" s="10"/>
      <c r="UR1" s="10"/>
      <c r="US1" s="10"/>
      <c r="UT1" s="10"/>
      <c r="UU1" s="10"/>
      <c r="UV1" s="10"/>
      <c r="UW1" s="10"/>
      <c r="UX1" s="10"/>
      <c r="UY1" s="10"/>
      <c r="UZ1" s="10"/>
      <c r="VA1" s="10"/>
      <c r="VB1" s="10"/>
      <c r="VC1" s="10"/>
      <c r="VD1" s="10"/>
      <c r="VE1" s="10"/>
      <c r="VF1" s="10"/>
      <c r="VG1" s="10"/>
      <c r="VH1" s="10"/>
      <c r="VI1" s="10"/>
      <c r="VJ1" s="10"/>
      <c r="VK1" s="10"/>
      <c r="VL1" s="10"/>
      <c r="VM1" s="10"/>
      <c r="VN1" s="10"/>
      <c r="VO1" s="10"/>
      <c r="VP1" s="10"/>
      <c r="VQ1" s="10"/>
      <c r="VR1" s="10"/>
      <c r="VS1" s="10"/>
      <c r="VT1" s="10"/>
      <c r="VU1" s="10"/>
      <c r="VV1" s="10"/>
      <c r="VW1" s="10"/>
      <c r="VX1" s="10"/>
      <c r="VY1" s="10"/>
      <c r="VZ1" s="10"/>
      <c r="WA1" s="10"/>
      <c r="WB1" s="10"/>
      <c r="WC1" s="10"/>
      <c r="WD1" s="10"/>
      <c r="WE1" s="10"/>
      <c r="WF1" s="10"/>
      <c r="WG1" s="10"/>
      <c r="WH1" s="10"/>
      <c r="WI1" s="10"/>
      <c r="WJ1" s="10"/>
      <c r="WK1" s="10"/>
      <c r="WL1" s="10"/>
      <c r="WM1" s="10"/>
      <c r="WN1" s="10"/>
      <c r="WO1" s="10"/>
      <c r="WP1" s="10"/>
      <c r="WQ1" s="10"/>
      <c r="WR1" s="10"/>
      <c r="WS1" s="10"/>
      <c r="WT1" s="10"/>
      <c r="WU1" s="10"/>
      <c r="WV1" s="10"/>
      <c r="WW1" s="10"/>
      <c r="WX1" s="10"/>
      <c r="WY1" s="10"/>
      <c r="WZ1" s="10"/>
      <c r="XA1" s="10"/>
      <c r="XB1" s="10"/>
      <c r="XC1" s="10"/>
      <c r="XD1" s="10"/>
      <c r="XE1" s="10"/>
      <c r="XF1" s="10"/>
      <c r="XG1" s="10"/>
      <c r="XH1" s="10"/>
      <c r="XI1" s="10"/>
      <c r="XJ1" s="10"/>
      <c r="XK1" s="10"/>
      <c r="XL1" s="10"/>
      <c r="XM1" s="10"/>
      <c r="XN1" s="10"/>
      <c r="XO1" s="10"/>
      <c r="XP1" s="10"/>
      <c r="XQ1" s="10"/>
      <c r="XR1" s="10"/>
      <c r="XS1" s="10"/>
      <c r="XT1" s="10"/>
      <c r="XU1" s="10"/>
      <c r="XV1" s="10"/>
      <c r="XW1" s="10"/>
      <c r="XX1" s="10"/>
      <c r="XY1" s="10"/>
      <c r="XZ1" s="10"/>
      <c r="YA1" s="10"/>
      <c r="YB1" s="10"/>
      <c r="YC1" s="10"/>
      <c r="YD1" s="10"/>
      <c r="YE1" s="10"/>
      <c r="YF1" s="10"/>
      <c r="YG1" s="10"/>
      <c r="YH1" s="10"/>
      <c r="YI1" s="10"/>
      <c r="YJ1" s="10"/>
      <c r="YK1" s="10"/>
      <c r="YL1" s="10"/>
      <c r="YM1" s="10"/>
      <c r="YN1" s="10"/>
      <c r="YO1" s="10"/>
      <c r="YP1" s="10"/>
      <c r="YQ1" s="10"/>
      <c r="YR1" s="10"/>
      <c r="YS1" s="10"/>
      <c r="YT1" s="10"/>
      <c r="YU1" s="10"/>
      <c r="YV1" s="10"/>
      <c r="YW1" s="10"/>
      <c r="YX1" s="10"/>
      <c r="YY1" s="10"/>
      <c r="YZ1" s="10"/>
      <c r="ZA1" s="10"/>
      <c r="ZB1" s="10"/>
      <c r="ZC1" s="10"/>
      <c r="ZD1" s="10"/>
      <c r="ZE1" s="10"/>
      <c r="ZF1" s="10"/>
      <c r="ZG1" s="10"/>
      <c r="ZH1" s="10"/>
      <c r="ZI1" s="10"/>
      <c r="ZJ1" s="10"/>
      <c r="ZK1" s="10"/>
      <c r="ZL1" s="10"/>
      <c r="ZM1" s="10"/>
      <c r="ZN1" s="10"/>
      <c r="ZO1" s="10"/>
      <c r="ZP1" s="10"/>
      <c r="ZQ1" s="10"/>
      <c r="ZR1" s="10"/>
      <c r="ZS1" s="10"/>
      <c r="ZT1" s="10"/>
      <c r="ZU1" s="10"/>
      <c r="ZV1" s="10"/>
      <c r="ZW1" s="10"/>
      <c r="ZX1" s="10"/>
      <c r="ZY1" s="10"/>
      <c r="ZZ1" s="10"/>
      <c r="AAA1" s="10"/>
      <c r="AAB1" s="10"/>
      <c r="AAC1" s="10"/>
      <c r="AAD1" s="10"/>
      <c r="AAE1" s="10"/>
      <c r="AAF1" s="10"/>
      <c r="AAG1" s="10"/>
      <c r="AAH1" s="10"/>
      <c r="AAI1" s="10"/>
      <c r="AAJ1" s="10"/>
      <c r="AAK1" s="10"/>
      <c r="AAL1" s="10"/>
      <c r="AAM1" s="10"/>
      <c r="AAN1" s="10"/>
      <c r="AAO1" s="10"/>
      <c r="AAP1" s="10"/>
      <c r="AAQ1" s="10"/>
      <c r="AAR1" s="10"/>
      <c r="AAS1" s="10"/>
      <c r="AAT1" s="10"/>
      <c r="AAU1" s="10"/>
      <c r="AAV1" s="10"/>
      <c r="AAW1" s="10"/>
      <c r="AAX1" s="10"/>
      <c r="AAY1" s="10"/>
      <c r="AAZ1" s="10"/>
      <c r="ABA1" s="10"/>
      <c r="ABB1" s="10"/>
      <c r="ABC1" s="10"/>
      <c r="ABD1" s="10"/>
      <c r="ABE1" s="10"/>
      <c r="ABF1" s="10"/>
      <c r="ABG1" s="10"/>
      <c r="ABH1" s="10"/>
      <c r="ABI1" s="10"/>
      <c r="ABJ1" s="10"/>
      <c r="ABK1" s="10"/>
      <c r="ABL1" s="10"/>
      <c r="ABM1" s="10"/>
      <c r="ABN1" s="10"/>
      <c r="ABO1" s="10"/>
      <c r="ABP1" s="10"/>
      <c r="ABQ1" s="10"/>
      <c r="ABR1" s="10"/>
      <c r="ABS1" s="10"/>
      <c r="ABT1" s="10"/>
      <c r="ABU1" s="10"/>
      <c r="ABV1" s="10"/>
      <c r="ABW1" s="10"/>
      <c r="ABX1" s="10"/>
      <c r="ABY1" s="10"/>
      <c r="ABZ1" s="10"/>
      <c r="ACA1" s="10"/>
      <c r="ACB1" s="10"/>
      <c r="ACC1" s="10"/>
      <c r="ACD1" s="10"/>
      <c r="ACE1" s="10"/>
      <c r="ACF1" s="10"/>
      <c r="ACG1" s="10"/>
      <c r="ACH1" s="10"/>
      <c r="ACI1" s="10"/>
      <c r="ACJ1" s="10"/>
      <c r="ACK1" s="10"/>
      <c r="ACL1" s="10"/>
      <c r="ACM1" s="10"/>
      <c r="ACN1" s="10"/>
      <c r="ACO1" s="10"/>
      <c r="ACP1" s="10"/>
      <c r="ACQ1" s="10"/>
      <c r="ACR1" s="10"/>
      <c r="ACS1" s="10"/>
      <c r="ACT1" s="10"/>
      <c r="ACU1" s="10"/>
      <c r="ACV1" s="10"/>
      <c r="ACW1" s="10"/>
      <c r="ACX1" s="10"/>
      <c r="ACY1" s="10"/>
      <c r="ACZ1" s="10"/>
      <c r="ADA1" s="10"/>
      <c r="ADB1" s="10"/>
      <c r="ADC1" s="10"/>
      <c r="ADD1" s="10"/>
      <c r="ADE1" s="10"/>
      <c r="ADF1" s="10"/>
      <c r="ADG1" s="10"/>
      <c r="ADH1" s="10"/>
      <c r="ADI1" s="10"/>
      <c r="ADJ1" s="10"/>
      <c r="ADK1" s="10"/>
      <c r="ADL1" s="10"/>
      <c r="ADM1" s="10"/>
      <c r="ADN1" s="10"/>
      <c r="ADO1" s="10"/>
      <c r="ADP1" s="10"/>
      <c r="ADQ1" s="10"/>
      <c r="ADR1" s="10"/>
      <c r="ADS1" s="10"/>
      <c r="ADT1" s="10"/>
      <c r="ADU1" s="10"/>
      <c r="ADV1" s="10"/>
      <c r="ADW1" s="10"/>
      <c r="ADX1" s="10"/>
      <c r="ADY1" s="10"/>
      <c r="ADZ1" s="10"/>
      <c r="AEA1" s="10"/>
      <c r="AEB1" s="10"/>
      <c r="AEC1" s="10"/>
      <c r="AED1" s="10"/>
      <c r="AEE1" s="10"/>
      <c r="AEF1" s="10"/>
      <c r="AEG1" s="10"/>
      <c r="AEH1" s="10"/>
      <c r="AEI1" s="10"/>
      <c r="AEJ1" s="10"/>
      <c r="AEK1" s="10"/>
      <c r="AEL1" s="10"/>
      <c r="AEM1" s="10"/>
      <c r="AEN1" s="10"/>
      <c r="AEO1" s="10"/>
      <c r="AEP1" s="10"/>
      <c r="AEQ1" s="10"/>
      <c r="AER1" s="10"/>
      <c r="AES1" s="10"/>
      <c r="AET1" s="10"/>
      <c r="AEU1" s="10"/>
      <c r="AEV1" s="10"/>
      <c r="AEW1" s="10"/>
      <c r="AEX1" s="10"/>
      <c r="AEY1" s="10"/>
      <c r="AEZ1" s="10"/>
      <c r="AFA1" s="10"/>
      <c r="AFB1" s="10"/>
      <c r="AFC1" s="10"/>
      <c r="AFD1" s="10"/>
      <c r="AFE1" s="10"/>
      <c r="AFF1" s="10"/>
      <c r="AFG1" s="10"/>
      <c r="AFH1" s="10"/>
      <c r="AFI1" s="10"/>
      <c r="AFJ1" s="10"/>
      <c r="AFK1" s="10"/>
      <c r="AFL1" s="10"/>
      <c r="AFM1" s="10"/>
      <c r="AFN1" s="10"/>
      <c r="AFO1" s="10"/>
      <c r="AFP1" s="10"/>
      <c r="AFQ1" s="10"/>
      <c r="AFR1" s="10"/>
      <c r="AFS1" s="10"/>
      <c r="AFT1" s="10"/>
      <c r="AFU1" s="10"/>
      <c r="AFV1" s="10"/>
      <c r="AFW1" s="10"/>
      <c r="AFX1" s="10"/>
      <c r="AFY1" s="10"/>
      <c r="AFZ1" s="10"/>
      <c r="AGA1" s="10"/>
      <c r="AGB1" s="10"/>
      <c r="AGC1" s="10"/>
      <c r="AGD1" s="10"/>
      <c r="AGE1" s="10"/>
      <c r="AGF1" s="10"/>
      <c r="AGG1" s="10"/>
      <c r="AGH1" s="10"/>
      <c r="AGI1" s="10"/>
      <c r="AGJ1" s="10"/>
      <c r="AGK1" s="10"/>
      <c r="AGL1" s="10"/>
      <c r="AGM1" s="10"/>
      <c r="AGN1" s="10"/>
      <c r="AGO1" s="10"/>
      <c r="AGP1" s="10"/>
      <c r="AGQ1" s="10"/>
      <c r="AGR1" s="10"/>
      <c r="AGS1" s="10"/>
      <c r="AGT1" s="10"/>
      <c r="AGU1" s="10"/>
      <c r="AGV1" s="10"/>
      <c r="AGW1" s="10"/>
      <c r="AGX1" s="10"/>
      <c r="AGY1" s="10"/>
      <c r="AGZ1" s="10"/>
      <c r="AHA1" s="10"/>
      <c r="AHB1" s="10"/>
      <c r="AHC1" s="10"/>
      <c r="AHD1" s="10"/>
      <c r="AHE1" s="10"/>
      <c r="AHF1" s="10"/>
      <c r="AHG1" s="10"/>
      <c r="AHH1" s="10"/>
      <c r="AHI1" s="10"/>
      <c r="AHJ1" s="10"/>
      <c r="AHK1" s="10"/>
      <c r="AHL1" s="10"/>
      <c r="AHM1" s="10"/>
      <c r="AHN1" s="10"/>
      <c r="AHO1" s="10"/>
      <c r="AHP1" s="10"/>
      <c r="AHQ1" s="10"/>
      <c r="AHR1" s="10"/>
      <c r="AHS1" s="10"/>
      <c r="AHT1" s="10"/>
      <c r="AHU1" s="10"/>
      <c r="AHV1" s="10"/>
      <c r="AHW1" s="10"/>
      <c r="AHX1" s="10"/>
      <c r="AHY1" s="10"/>
      <c r="AHZ1" s="10"/>
      <c r="AIA1" s="10"/>
      <c r="AIB1" s="10"/>
      <c r="AIC1" s="10"/>
      <c r="AID1" s="10"/>
      <c r="AIE1" s="10"/>
      <c r="AIF1" s="10"/>
      <c r="AIG1" s="10"/>
      <c r="AIH1" s="10"/>
      <c r="AII1" s="10"/>
      <c r="AIJ1" s="10"/>
      <c r="AIK1" s="10"/>
      <c r="AIL1" s="10"/>
      <c r="AIM1" s="10"/>
      <c r="AIN1" s="10"/>
      <c r="AIO1" s="10"/>
      <c r="AIP1" s="10"/>
      <c r="AIQ1" s="10"/>
      <c r="AIR1" s="10"/>
      <c r="AIS1" s="10"/>
      <c r="AIT1" s="10"/>
      <c r="AIU1" s="10"/>
      <c r="AIV1" s="10"/>
      <c r="AIW1" s="10"/>
      <c r="AIX1" s="10"/>
      <c r="AIY1" s="10"/>
      <c r="AIZ1" s="10"/>
      <c r="AJA1" s="10"/>
      <c r="AJB1" s="10"/>
      <c r="AJC1" s="10"/>
      <c r="AJD1" s="10"/>
      <c r="AJE1" s="10"/>
      <c r="AJF1" s="10"/>
      <c r="AJG1" s="10"/>
      <c r="AJH1" s="10"/>
      <c r="AJI1" s="10"/>
      <c r="AJJ1" s="10"/>
      <c r="AJK1" s="10"/>
      <c r="AJL1" s="10"/>
      <c r="AJM1" s="10"/>
      <c r="AJN1" s="10"/>
      <c r="AJO1" s="10"/>
      <c r="AJP1" s="10"/>
      <c r="AJQ1" s="10"/>
      <c r="AJR1" s="10"/>
      <c r="AJS1" s="10"/>
      <c r="AJT1" s="10"/>
      <c r="AJU1" s="10"/>
      <c r="AJV1" s="10"/>
      <c r="AJW1" s="10"/>
      <c r="AJX1" s="10"/>
      <c r="AJY1" s="10"/>
      <c r="AJZ1" s="10"/>
      <c r="AKA1" s="10"/>
      <c r="AKB1" s="10"/>
      <c r="AKC1" s="10"/>
      <c r="AKD1" s="10"/>
      <c r="AKE1" s="10"/>
      <c r="AKF1" s="10"/>
      <c r="AKG1" s="10"/>
      <c r="AKH1" s="10"/>
      <c r="AKI1" s="10"/>
      <c r="AKJ1" s="10"/>
      <c r="AKK1" s="10"/>
      <c r="AKL1" s="10"/>
      <c r="AKM1" s="10"/>
      <c r="AKN1" s="10"/>
      <c r="AKO1" s="10"/>
      <c r="AKP1" s="10"/>
      <c r="AKQ1" s="10"/>
      <c r="AKR1" s="10"/>
      <c r="AKS1" s="10"/>
      <c r="AKT1" s="10"/>
      <c r="AKU1" s="10"/>
      <c r="AKV1" s="10"/>
      <c r="AKW1" s="10"/>
      <c r="AKX1" s="10"/>
      <c r="AKY1" s="10"/>
      <c r="AKZ1" s="10"/>
      <c r="ALA1" s="10"/>
      <c r="ALB1" s="10"/>
      <c r="ALC1" s="10"/>
      <c r="ALD1" s="10"/>
      <c r="ALE1" s="10"/>
      <c r="ALF1" s="10"/>
      <c r="ALG1" s="10"/>
      <c r="ALH1" s="10"/>
      <c r="ALI1" s="10"/>
      <c r="ALJ1" s="10"/>
      <c r="ALK1" s="10"/>
      <c r="ALL1" s="10"/>
      <c r="ALM1" s="10"/>
      <c r="ALN1" s="10"/>
      <c r="ALO1" s="10"/>
      <c r="ALP1" s="10"/>
      <c r="ALQ1" s="10"/>
      <c r="ALR1" s="10"/>
      <c r="ALS1" s="10"/>
      <c r="ALT1" s="10"/>
      <c r="ALU1" s="10"/>
      <c r="ALV1" s="10"/>
      <c r="ALW1" s="10"/>
      <c r="ALX1" s="10"/>
      <c r="ALY1" s="10"/>
      <c r="ALZ1" s="10"/>
      <c r="AMA1" s="10"/>
      <c r="AMB1" s="10"/>
      <c r="AMC1" s="10"/>
      <c r="AMD1" s="10"/>
      <c r="AME1" s="10"/>
      <c r="AMF1" s="10"/>
      <c r="AMG1" s="10"/>
      <c r="AMH1" s="10"/>
      <c r="AMI1" s="10"/>
      <c r="AMJ1" s="10"/>
      <c r="AMK1" s="10"/>
      <c r="AML1" s="10"/>
      <c r="AMM1" s="10"/>
      <c r="AMN1" s="10"/>
      <c r="AMO1" s="10"/>
      <c r="AMP1" s="10"/>
      <c r="AMQ1" s="10"/>
      <c r="AMR1" s="10"/>
      <c r="AMS1" s="10"/>
      <c r="AMT1" s="10"/>
      <c r="AMU1" s="10"/>
      <c r="AMV1" s="10"/>
      <c r="AMW1" s="10"/>
      <c r="AMX1" s="10"/>
      <c r="AMY1" s="10"/>
      <c r="AMZ1" s="10"/>
      <c r="ANA1" s="10"/>
      <c r="ANB1" s="10"/>
      <c r="ANC1" s="10"/>
      <c r="AND1" s="10"/>
      <c r="ANE1" s="10"/>
      <c r="ANF1" s="10"/>
      <c r="ANG1" s="10"/>
      <c r="ANH1" s="10"/>
      <c r="ANI1" s="10"/>
      <c r="ANJ1" s="10"/>
      <c r="ANK1" s="10"/>
      <c r="ANL1" s="10"/>
      <c r="ANM1" s="10"/>
      <c r="ANN1" s="10"/>
      <c r="ANO1" s="10"/>
      <c r="ANP1" s="10"/>
      <c r="ANQ1" s="10"/>
      <c r="ANR1" s="10"/>
      <c r="ANS1" s="10"/>
      <c r="ANT1" s="10"/>
      <c r="ANU1" s="10"/>
      <c r="ANV1" s="10"/>
      <c r="ANW1" s="10"/>
      <c r="ANX1" s="10"/>
      <c r="ANY1" s="10"/>
      <c r="ANZ1" s="10"/>
      <c r="AOA1" s="10"/>
      <c r="AOB1" s="10"/>
      <c r="AOC1" s="10"/>
      <c r="AOD1" s="10"/>
      <c r="AOE1" s="10"/>
      <c r="AOF1" s="10"/>
      <c r="AOG1" s="10"/>
      <c r="AOH1" s="10"/>
      <c r="AOI1" s="10"/>
      <c r="AOJ1" s="10"/>
      <c r="AOK1" s="10"/>
      <c r="AOL1" s="10"/>
      <c r="AOM1" s="10"/>
      <c r="AON1" s="10"/>
      <c r="AOO1" s="10"/>
      <c r="AOP1" s="10"/>
      <c r="AOQ1" s="10"/>
      <c r="AOR1" s="10"/>
      <c r="AOS1" s="10"/>
      <c r="AOT1" s="10"/>
      <c r="AOU1" s="10"/>
      <c r="AOV1" s="10"/>
      <c r="AOW1" s="10"/>
      <c r="AOX1" s="10"/>
      <c r="AOY1" s="10"/>
      <c r="AOZ1" s="10"/>
      <c r="APA1" s="10"/>
      <c r="APB1" s="10"/>
      <c r="APC1" s="10"/>
      <c r="APD1" s="10"/>
      <c r="APE1" s="10"/>
      <c r="APF1" s="10"/>
      <c r="APG1" s="10"/>
      <c r="APH1" s="10"/>
      <c r="API1" s="10"/>
      <c r="APJ1" s="10"/>
      <c r="APK1" s="10"/>
      <c r="APL1" s="10"/>
      <c r="APM1" s="10"/>
      <c r="APN1" s="10"/>
      <c r="APO1" s="10"/>
      <c r="APP1" s="10"/>
      <c r="APQ1" s="10"/>
      <c r="APR1" s="10"/>
      <c r="APS1" s="10"/>
      <c r="APT1" s="10"/>
      <c r="APU1" s="10"/>
      <c r="APV1" s="10"/>
      <c r="APW1" s="10"/>
      <c r="APX1" s="10"/>
      <c r="APY1" s="10"/>
      <c r="APZ1" s="10"/>
      <c r="AQA1" s="10"/>
      <c r="AQB1" s="10"/>
      <c r="AQC1" s="10"/>
      <c r="AQD1" s="10"/>
      <c r="AQE1" s="10"/>
      <c r="AQF1" s="10"/>
      <c r="AQG1" s="10"/>
      <c r="AQH1" s="10"/>
      <c r="AQI1" s="10"/>
      <c r="AQJ1" s="10"/>
      <c r="AQK1" s="10"/>
      <c r="AQL1" s="10"/>
      <c r="AQM1" s="10"/>
      <c r="AQN1" s="10"/>
      <c r="AQO1" s="10"/>
      <c r="AQP1" s="10"/>
      <c r="AQQ1" s="10"/>
      <c r="AQR1" s="10"/>
      <c r="AQS1" s="10"/>
      <c r="AQT1" s="10"/>
      <c r="AQU1" s="10"/>
      <c r="AQV1" s="10"/>
      <c r="AQW1" s="10"/>
      <c r="AQX1" s="10"/>
      <c r="AQY1" s="10"/>
      <c r="AQZ1" s="10"/>
      <c r="ARA1" s="10"/>
      <c r="ARB1" s="10"/>
      <c r="ARC1" s="10"/>
      <c r="ARD1" s="10"/>
      <c r="ARE1" s="10"/>
      <c r="ARF1" s="10"/>
      <c r="ARG1" s="10"/>
      <c r="ARH1" s="10"/>
      <c r="ARI1" s="10"/>
      <c r="ARJ1" s="10"/>
      <c r="ARK1" s="10"/>
      <c r="ARL1" s="10"/>
      <c r="ARM1" s="10"/>
      <c r="ARN1" s="10"/>
      <c r="ARO1" s="10"/>
      <c r="ARP1" s="10"/>
      <c r="ARQ1" s="10"/>
      <c r="ARR1" s="10"/>
      <c r="ARS1" s="10"/>
      <c r="ART1" s="10"/>
      <c r="ARU1" s="10"/>
      <c r="ARV1" s="10"/>
      <c r="ARW1" s="10"/>
      <c r="ARX1" s="10"/>
      <c r="ARY1" s="10"/>
      <c r="ARZ1" s="10"/>
      <c r="ASA1" s="10"/>
      <c r="ASB1" s="10"/>
      <c r="ASC1" s="10"/>
      <c r="ASD1" s="10"/>
      <c r="ASE1" s="10"/>
      <c r="ASF1" s="10"/>
      <c r="ASG1" s="10"/>
      <c r="ASH1" s="10"/>
      <c r="ASI1" s="10"/>
      <c r="ASJ1" s="10"/>
      <c r="ASK1" s="10"/>
      <c r="ASL1" s="10"/>
      <c r="ASM1" s="10"/>
      <c r="ASN1" s="10"/>
      <c r="ASO1" s="10"/>
      <c r="ASP1" s="10"/>
      <c r="ASQ1" s="10"/>
      <c r="ASR1" s="10"/>
      <c r="ASS1" s="10"/>
      <c r="AST1" s="10"/>
      <c r="ASU1" s="10"/>
      <c r="ASV1" s="10"/>
      <c r="ASW1" s="10"/>
      <c r="ASX1" s="10"/>
      <c r="ASY1" s="10"/>
      <c r="ASZ1" s="10"/>
      <c r="ATA1" s="10"/>
      <c r="ATB1" s="10"/>
      <c r="ATC1" s="10"/>
      <c r="ATD1" s="10"/>
      <c r="ATE1" s="10"/>
      <c r="ATF1" s="10"/>
      <c r="ATG1" s="10"/>
      <c r="ATH1" s="10"/>
      <c r="ATI1" s="10"/>
      <c r="ATJ1" s="10"/>
      <c r="ATK1" s="10"/>
      <c r="ATL1" s="10"/>
      <c r="ATM1" s="10"/>
      <c r="ATN1" s="10"/>
      <c r="ATO1" s="10"/>
      <c r="ATP1" s="10"/>
      <c r="ATQ1" s="10"/>
      <c r="ATR1" s="10"/>
      <c r="ATS1" s="10"/>
      <c r="ATT1" s="10"/>
      <c r="ATU1" s="10"/>
      <c r="ATV1" s="10"/>
      <c r="ATW1" s="10"/>
      <c r="ATX1" s="10"/>
      <c r="ATY1" s="10"/>
      <c r="ATZ1" s="10"/>
      <c r="AUA1" s="10"/>
      <c r="AUB1" s="10"/>
      <c r="AUC1" s="10"/>
      <c r="AUD1" s="10"/>
      <c r="AUE1" s="10"/>
      <c r="AUF1" s="10"/>
      <c r="AUG1" s="10"/>
      <c r="AUH1" s="10"/>
      <c r="AUI1" s="10"/>
      <c r="AUJ1" s="10"/>
      <c r="AUK1" s="10"/>
      <c r="AUL1" s="10"/>
      <c r="AUM1" s="10"/>
      <c r="AUN1" s="10"/>
      <c r="AUO1" s="10"/>
      <c r="AUP1" s="10"/>
      <c r="AUQ1" s="10"/>
      <c r="AUR1" s="10"/>
      <c r="AUS1" s="10"/>
      <c r="AUT1" s="10"/>
      <c r="AUU1" s="10"/>
      <c r="AUV1" s="10"/>
      <c r="AUW1" s="10"/>
      <c r="AUX1" s="10"/>
      <c r="AUY1" s="10"/>
      <c r="AUZ1" s="10"/>
      <c r="AVA1" s="10"/>
      <c r="AVB1" s="10"/>
      <c r="AVC1" s="10"/>
      <c r="AVD1" s="10"/>
      <c r="AVE1" s="10"/>
      <c r="AVF1" s="10"/>
      <c r="AVG1" s="10"/>
      <c r="AVH1" s="10"/>
      <c r="AVI1" s="10"/>
      <c r="AVJ1" s="10"/>
      <c r="AVK1" s="10"/>
      <c r="AVL1" s="10"/>
      <c r="AVM1" s="10"/>
      <c r="AVN1" s="10"/>
      <c r="AVO1" s="10"/>
      <c r="AVP1" s="10"/>
      <c r="AVQ1" s="10"/>
      <c r="AVR1" s="10"/>
      <c r="AVS1" s="10"/>
      <c r="AVT1" s="10"/>
      <c r="AVU1" s="10"/>
      <c r="AVV1" s="10"/>
      <c r="AVW1" s="10"/>
      <c r="AVX1" s="10"/>
      <c r="AVY1" s="10"/>
      <c r="AVZ1" s="10"/>
      <c r="AWA1" s="10"/>
      <c r="AWB1" s="10"/>
      <c r="AWC1" s="10"/>
      <c r="AWD1" s="10"/>
      <c r="AWE1" s="10"/>
      <c r="AWF1" s="10"/>
      <c r="AWG1" s="10"/>
      <c r="AWH1" s="10"/>
      <c r="AWI1" s="10"/>
      <c r="AWJ1" s="10"/>
      <c r="AWK1" s="10"/>
      <c r="AWL1" s="10"/>
      <c r="AWM1" s="10"/>
      <c r="AWN1" s="10"/>
      <c r="AWO1" s="10"/>
      <c r="AWP1" s="10"/>
      <c r="AWQ1" s="10"/>
      <c r="AWR1" s="10"/>
      <c r="AWS1" s="10"/>
      <c r="AWT1" s="10"/>
      <c r="AWU1" s="10"/>
      <c r="AWV1" s="10"/>
      <c r="AWW1" s="10"/>
      <c r="AWX1" s="10"/>
      <c r="AWY1" s="10"/>
      <c r="AWZ1" s="10"/>
      <c r="AXA1" s="10"/>
      <c r="AXB1" s="10"/>
      <c r="AXC1" s="10"/>
      <c r="AXD1" s="10"/>
      <c r="AXE1" s="10"/>
      <c r="AXF1" s="10"/>
      <c r="AXG1" s="10"/>
      <c r="AXH1" s="10"/>
      <c r="AXI1" s="10"/>
      <c r="AXJ1" s="10"/>
      <c r="AXK1" s="10"/>
      <c r="AXL1" s="10"/>
      <c r="AXM1" s="10"/>
      <c r="AXN1" s="10"/>
      <c r="AXO1" s="10"/>
      <c r="AXP1" s="10"/>
      <c r="AXQ1" s="10"/>
      <c r="AXR1" s="10"/>
      <c r="AXS1" s="10"/>
      <c r="AXT1" s="10"/>
      <c r="AXU1" s="10"/>
      <c r="AXV1" s="10"/>
      <c r="AXW1" s="10"/>
      <c r="AXX1" s="10"/>
      <c r="AXY1" s="10"/>
      <c r="AXZ1" s="10"/>
      <c r="AYA1" s="10"/>
      <c r="AYB1" s="10"/>
      <c r="AYC1" s="10"/>
      <c r="AYD1" s="10"/>
      <c r="AYE1" s="10"/>
      <c r="AYF1" s="10"/>
      <c r="AYG1" s="10"/>
      <c r="AYH1" s="10"/>
      <c r="AYI1" s="10"/>
      <c r="AYJ1" s="10"/>
      <c r="AYK1" s="10"/>
      <c r="AYL1" s="10"/>
      <c r="AYM1" s="10"/>
      <c r="AYN1" s="10"/>
      <c r="AYO1" s="10"/>
      <c r="AYP1" s="10"/>
      <c r="AYQ1" s="10"/>
      <c r="AYR1" s="10"/>
      <c r="AYS1" s="10"/>
      <c r="AYT1" s="10"/>
      <c r="AYU1" s="10"/>
      <c r="AYV1" s="10"/>
      <c r="AYW1" s="10"/>
      <c r="AYX1" s="10"/>
      <c r="AYY1" s="10"/>
      <c r="AYZ1" s="10"/>
      <c r="AZA1" s="10"/>
      <c r="AZB1" s="10"/>
      <c r="AZC1" s="10"/>
      <c r="AZD1" s="10"/>
      <c r="AZE1" s="10"/>
      <c r="AZF1" s="10"/>
      <c r="AZG1" s="10"/>
      <c r="AZH1" s="10"/>
      <c r="AZI1" s="10"/>
      <c r="AZJ1" s="10"/>
      <c r="AZK1" s="10"/>
      <c r="AZL1" s="10"/>
      <c r="AZM1" s="10"/>
      <c r="AZN1" s="10"/>
      <c r="AZO1" s="10"/>
      <c r="AZP1" s="10"/>
      <c r="AZQ1" s="10"/>
      <c r="AZR1" s="10"/>
      <c r="AZS1" s="10"/>
      <c r="AZT1" s="10"/>
      <c r="AZU1" s="10"/>
      <c r="AZV1" s="10"/>
      <c r="AZW1" s="10"/>
      <c r="AZX1" s="10"/>
      <c r="AZY1" s="10"/>
      <c r="AZZ1" s="10"/>
      <c r="BAA1" s="10"/>
      <c r="BAB1" s="10"/>
      <c r="BAC1" s="10"/>
      <c r="BAD1" s="10"/>
      <c r="BAE1" s="10"/>
      <c r="BAF1" s="10"/>
      <c r="BAG1" s="10"/>
      <c r="BAH1" s="10"/>
      <c r="BAI1" s="10"/>
      <c r="BAJ1" s="10"/>
      <c r="BAK1" s="10"/>
      <c r="BAL1" s="10"/>
      <c r="BAM1" s="10"/>
      <c r="BAN1" s="10"/>
      <c r="BAO1" s="10"/>
      <c r="BAP1" s="10"/>
      <c r="BAQ1" s="10"/>
      <c r="BAR1" s="10"/>
      <c r="BAS1" s="10"/>
      <c r="BAT1" s="10"/>
      <c r="BAU1" s="10"/>
      <c r="BAV1" s="10"/>
      <c r="BAW1" s="10"/>
      <c r="BAX1" s="10"/>
      <c r="BAY1" s="10"/>
      <c r="BAZ1" s="10"/>
      <c r="BBA1" s="10"/>
      <c r="BBB1" s="10"/>
      <c r="BBC1" s="10"/>
      <c r="BBD1" s="10"/>
      <c r="BBE1" s="10"/>
      <c r="BBF1" s="10"/>
      <c r="BBG1" s="10"/>
      <c r="BBH1" s="10"/>
      <c r="BBI1" s="10"/>
      <c r="BBJ1" s="10"/>
      <c r="BBK1" s="10"/>
      <c r="BBL1" s="10"/>
      <c r="BBM1" s="10"/>
      <c r="BBN1" s="10"/>
      <c r="BBO1" s="10"/>
      <c r="BBP1" s="10"/>
      <c r="BBQ1" s="10"/>
      <c r="BBR1" s="10"/>
      <c r="BBS1" s="10"/>
      <c r="BBT1" s="10"/>
      <c r="BBU1" s="10"/>
      <c r="BBV1" s="10"/>
      <c r="BBW1" s="10"/>
      <c r="BBX1" s="10"/>
      <c r="BBY1" s="10"/>
      <c r="BBZ1" s="10"/>
      <c r="BCA1" s="10"/>
      <c r="BCB1" s="10"/>
      <c r="BCC1" s="10"/>
      <c r="BCD1" s="10"/>
      <c r="BCE1" s="10"/>
      <c r="BCF1" s="10"/>
      <c r="BCG1" s="10"/>
      <c r="BCH1" s="10"/>
      <c r="BCI1" s="10"/>
      <c r="BCJ1" s="10"/>
      <c r="BCK1" s="10"/>
      <c r="BCL1" s="10"/>
      <c r="BCM1" s="10"/>
      <c r="BCN1" s="10"/>
      <c r="BCO1" s="10"/>
      <c r="BCP1" s="10"/>
      <c r="BCQ1" s="10"/>
      <c r="BCR1" s="10"/>
      <c r="BCS1" s="10"/>
      <c r="BCT1" s="10"/>
      <c r="BCU1" s="10"/>
      <c r="BCV1" s="10"/>
      <c r="BCW1" s="10"/>
      <c r="BCX1" s="10"/>
      <c r="BCY1" s="10"/>
      <c r="BCZ1" s="10"/>
      <c r="BDA1" s="10"/>
      <c r="BDB1" s="10"/>
      <c r="BDC1" s="10"/>
      <c r="BDD1" s="10"/>
      <c r="BDE1" s="10"/>
      <c r="BDF1" s="10"/>
      <c r="BDG1" s="10"/>
      <c r="BDH1" s="10"/>
      <c r="BDI1" s="10"/>
      <c r="BDJ1" s="10"/>
      <c r="BDK1" s="10"/>
      <c r="BDL1" s="10"/>
      <c r="BDM1" s="10"/>
      <c r="BDN1" s="10"/>
      <c r="BDO1" s="10"/>
      <c r="BDP1" s="10"/>
      <c r="BDQ1" s="10"/>
      <c r="BDR1" s="10"/>
      <c r="BDS1" s="10"/>
      <c r="BDT1" s="10"/>
      <c r="BDU1" s="10"/>
      <c r="BDV1" s="10"/>
      <c r="BDW1" s="10"/>
      <c r="BDX1" s="10"/>
      <c r="BDY1" s="10"/>
      <c r="BDZ1" s="10"/>
      <c r="BEA1" s="10"/>
      <c r="BEB1" s="10"/>
      <c r="BEC1" s="10"/>
      <c r="BED1" s="10"/>
      <c r="BEE1" s="10"/>
      <c r="BEF1" s="10"/>
      <c r="BEG1" s="10"/>
      <c r="BEH1" s="10"/>
      <c r="BEI1" s="10"/>
      <c r="BEJ1" s="10"/>
      <c r="BEK1" s="10"/>
      <c r="BEL1" s="10"/>
      <c r="BEM1" s="10"/>
      <c r="BEN1" s="10"/>
      <c r="BEO1" s="10"/>
      <c r="BEP1" s="10"/>
      <c r="BEQ1" s="10"/>
      <c r="BER1" s="10"/>
      <c r="BES1" s="10"/>
      <c r="BET1" s="10"/>
      <c r="BEU1" s="10"/>
      <c r="BEV1" s="10"/>
      <c r="BEW1" s="10"/>
      <c r="BEX1" s="10"/>
      <c r="BEY1" s="10"/>
      <c r="BEZ1" s="10"/>
      <c r="BFA1" s="10"/>
      <c r="BFB1" s="10"/>
      <c r="BFC1" s="10"/>
      <c r="BFD1" s="10"/>
      <c r="BFE1" s="10"/>
      <c r="BFF1" s="10"/>
      <c r="BFG1" s="10"/>
      <c r="BFH1" s="10"/>
      <c r="BFI1" s="10"/>
      <c r="BFJ1" s="10"/>
      <c r="BFK1" s="10"/>
      <c r="BFL1" s="10"/>
      <c r="BFM1" s="10"/>
      <c r="BFN1" s="10"/>
      <c r="BFO1" s="10"/>
      <c r="BFP1" s="10"/>
      <c r="BFQ1" s="10"/>
      <c r="BFR1" s="10"/>
      <c r="BFS1" s="10"/>
      <c r="BFT1" s="10"/>
      <c r="BFU1" s="10"/>
      <c r="BFV1" s="10"/>
      <c r="BFW1" s="10"/>
      <c r="BFX1" s="10"/>
      <c r="BFY1" s="10"/>
      <c r="BFZ1" s="10"/>
      <c r="BGA1" s="10"/>
      <c r="BGB1" s="10"/>
      <c r="BGC1" s="10"/>
      <c r="BGD1" s="10"/>
      <c r="BGE1" s="10"/>
      <c r="BGF1" s="10"/>
      <c r="BGG1" s="10"/>
      <c r="BGH1" s="10"/>
      <c r="BGI1" s="10"/>
      <c r="BGJ1" s="10"/>
      <c r="BGK1" s="10"/>
      <c r="BGL1" s="10"/>
      <c r="BGM1" s="10"/>
      <c r="BGN1" s="10"/>
      <c r="BGO1" s="10"/>
      <c r="BGP1" s="10"/>
      <c r="BGQ1" s="10"/>
      <c r="BGR1" s="10"/>
      <c r="BGS1" s="10"/>
      <c r="BGT1" s="10"/>
      <c r="BGU1" s="10"/>
      <c r="BGV1" s="10"/>
      <c r="BGW1" s="10"/>
      <c r="BGX1" s="10"/>
      <c r="BGY1" s="10"/>
      <c r="BGZ1" s="10"/>
      <c r="BHA1" s="10"/>
      <c r="BHB1" s="10"/>
      <c r="BHC1" s="10"/>
      <c r="BHD1" s="10"/>
      <c r="BHE1" s="10"/>
      <c r="BHF1" s="10"/>
      <c r="BHG1" s="10"/>
      <c r="BHH1" s="10"/>
      <c r="BHI1" s="10"/>
      <c r="BHJ1" s="10"/>
      <c r="BHK1" s="10"/>
      <c r="BHL1" s="10"/>
      <c r="BHM1" s="10"/>
      <c r="BHN1" s="10"/>
      <c r="BHO1" s="10"/>
      <c r="BHP1" s="10"/>
      <c r="BHQ1" s="10"/>
      <c r="BHR1" s="10"/>
      <c r="BHS1" s="10"/>
      <c r="BHT1" s="10"/>
      <c r="BHU1" s="10"/>
      <c r="BHV1" s="10"/>
      <c r="BHW1" s="10"/>
      <c r="BHX1" s="10"/>
      <c r="BHY1" s="10"/>
      <c r="BHZ1" s="10"/>
      <c r="BIA1" s="10"/>
      <c r="BIB1" s="10"/>
      <c r="BIC1" s="10"/>
      <c r="BID1" s="10"/>
      <c r="BIE1" s="10"/>
      <c r="BIF1" s="10"/>
      <c r="BIG1" s="10"/>
      <c r="BIH1" s="10"/>
      <c r="BII1" s="10"/>
      <c r="BIJ1" s="10"/>
      <c r="BIK1" s="10"/>
      <c r="BIL1" s="10"/>
      <c r="BIM1" s="10"/>
      <c r="BIN1" s="10"/>
      <c r="BIO1" s="10"/>
      <c r="BIP1" s="10"/>
      <c r="BIQ1" s="10"/>
      <c r="BIR1" s="10"/>
      <c r="BIS1" s="10"/>
      <c r="BIT1" s="10"/>
      <c r="BIU1" s="10"/>
      <c r="BIV1" s="10"/>
      <c r="BIW1" s="10"/>
      <c r="BIX1" s="10"/>
      <c r="BIY1" s="10"/>
      <c r="BIZ1" s="10"/>
      <c r="BJA1" s="10"/>
      <c r="BJB1" s="10"/>
      <c r="BJC1" s="10"/>
      <c r="BJD1" s="10"/>
      <c r="BJE1" s="10"/>
      <c r="BJF1" s="10"/>
      <c r="BJG1" s="10"/>
      <c r="BJH1" s="10"/>
      <c r="BJI1" s="10"/>
      <c r="BJJ1" s="10"/>
      <c r="BJK1" s="10"/>
      <c r="BJL1" s="10"/>
      <c r="BJM1" s="10"/>
      <c r="BJN1" s="10"/>
      <c r="BJO1" s="10"/>
      <c r="BJP1" s="10"/>
      <c r="BJQ1" s="10"/>
      <c r="BJR1" s="10"/>
      <c r="BJS1" s="10"/>
      <c r="BJT1" s="10"/>
      <c r="BJU1" s="10"/>
      <c r="BJV1" s="10"/>
      <c r="BJW1" s="10"/>
      <c r="BJX1" s="10"/>
      <c r="BJY1" s="10"/>
      <c r="BJZ1" s="10"/>
      <c r="BKA1" s="10"/>
      <c r="BKB1" s="10"/>
      <c r="BKC1" s="10"/>
      <c r="BKD1" s="10"/>
      <c r="BKE1" s="10"/>
      <c r="BKF1" s="10"/>
      <c r="BKG1" s="10"/>
      <c r="BKH1" s="10"/>
      <c r="BKI1" s="10"/>
      <c r="BKJ1" s="10"/>
      <c r="BKK1" s="10"/>
      <c r="BKL1" s="10"/>
      <c r="BKM1" s="10"/>
      <c r="BKN1" s="10"/>
      <c r="BKO1" s="10"/>
      <c r="BKP1" s="10"/>
      <c r="BKQ1" s="10"/>
      <c r="BKR1" s="10"/>
      <c r="BKS1" s="10"/>
      <c r="BKT1" s="10"/>
      <c r="BKU1" s="10"/>
      <c r="BKV1" s="10"/>
      <c r="BKW1" s="10"/>
      <c r="BKX1" s="10"/>
      <c r="BKY1" s="10"/>
      <c r="BKZ1" s="10"/>
      <c r="BLA1" s="10"/>
      <c r="BLB1" s="10"/>
      <c r="BLC1" s="10"/>
      <c r="BLD1" s="10"/>
      <c r="BLE1" s="10"/>
      <c r="BLF1" s="10"/>
      <c r="BLG1" s="10"/>
      <c r="BLH1" s="10"/>
      <c r="BLI1" s="10"/>
      <c r="BLJ1" s="10"/>
      <c r="BLK1" s="10"/>
      <c r="BLL1" s="10"/>
      <c r="BLM1" s="10"/>
      <c r="BLN1" s="10"/>
      <c r="BLO1" s="10"/>
      <c r="BLP1" s="10"/>
      <c r="BLQ1" s="10"/>
      <c r="BLR1" s="10"/>
      <c r="BLS1" s="10"/>
      <c r="BLT1" s="10"/>
      <c r="BLU1" s="10"/>
      <c r="BLV1" s="10"/>
      <c r="BLW1" s="10"/>
      <c r="BLX1" s="10"/>
      <c r="BLY1" s="10"/>
      <c r="BLZ1" s="10"/>
      <c r="BMA1" s="10"/>
      <c r="BMB1" s="10"/>
      <c r="BMC1" s="10"/>
      <c r="BMD1" s="10"/>
      <c r="BME1" s="10"/>
      <c r="BMF1" s="10"/>
      <c r="BMG1" s="10"/>
      <c r="BMH1" s="10"/>
      <c r="BMI1" s="10"/>
      <c r="BMJ1" s="10"/>
      <c r="BMK1" s="10"/>
      <c r="BML1" s="10"/>
      <c r="BMM1" s="10"/>
      <c r="BMN1" s="10"/>
      <c r="BMO1" s="10"/>
      <c r="BMP1" s="10"/>
      <c r="BMQ1" s="10"/>
      <c r="BMR1" s="10"/>
      <c r="BMS1" s="10"/>
      <c r="BMT1" s="10"/>
      <c r="BMU1" s="10"/>
      <c r="BMV1" s="10"/>
      <c r="BMW1" s="10"/>
      <c r="BMX1" s="10"/>
      <c r="BMY1" s="10"/>
      <c r="BMZ1" s="10"/>
      <c r="BNA1" s="10"/>
      <c r="BNB1" s="10"/>
      <c r="BNC1" s="10"/>
      <c r="BND1" s="10"/>
      <c r="BNE1" s="10"/>
      <c r="BNF1" s="10"/>
      <c r="BNG1" s="10"/>
      <c r="BNH1" s="10"/>
      <c r="BNI1" s="10"/>
      <c r="BNJ1" s="10"/>
      <c r="BNK1" s="10"/>
      <c r="BNL1" s="10"/>
      <c r="BNM1" s="10"/>
      <c r="BNN1" s="10"/>
      <c r="BNO1" s="10"/>
      <c r="BNP1" s="10"/>
      <c r="BNQ1" s="10"/>
      <c r="BNR1" s="10"/>
      <c r="BNS1" s="10"/>
      <c r="BNT1" s="10"/>
      <c r="BNU1" s="10"/>
      <c r="BNV1" s="10"/>
      <c r="BNW1" s="10"/>
      <c r="BNX1" s="10"/>
      <c r="BNY1" s="10"/>
      <c r="BNZ1" s="10"/>
      <c r="BOA1" s="10"/>
      <c r="BOB1" s="10"/>
      <c r="BOC1" s="10"/>
      <c r="BOD1" s="10"/>
      <c r="BOE1" s="10"/>
      <c r="BOF1" s="10"/>
      <c r="BOG1" s="10"/>
      <c r="BOH1" s="10"/>
      <c r="BOI1" s="10"/>
      <c r="BOJ1" s="10"/>
      <c r="BOK1" s="10"/>
      <c r="BOL1" s="10"/>
      <c r="BOM1" s="10"/>
      <c r="BON1" s="10"/>
      <c r="BOO1" s="10"/>
      <c r="BOP1" s="10"/>
      <c r="BOQ1" s="10"/>
      <c r="BOR1" s="10"/>
      <c r="BOS1" s="10"/>
      <c r="BOT1" s="10"/>
      <c r="BOU1" s="10"/>
      <c r="BOV1" s="10"/>
      <c r="BOW1" s="10"/>
      <c r="BOX1" s="10"/>
      <c r="BOY1" s="10"/>
      <c r="BOZ1" s="10"/>
      <c r="BPA1" s="10"/>
      <c r="BPB1" s="10"/>
      <c r="BPC1" s="10"/>
      <c r="BPD1" s="10"/>
      <c r="BPE1" s="10"/>
      <c r="BPF1" s="10"/>
      <c r="BPG1" s="10"/>
      <c r="BPH1" s="10"/>
      <c r="BPI1" s="10"/>
      <c r="BPJ1" s="10"/>
      <c r="BPK1" s="10"/>
      <c r="BPL1" s="10"/>
      <c r="BPM1" s="10"/>
      <c r="BPN1" s="10"/>
      <c r="BPO1" s="10"/>
      <c r="BPP1" s="10"/>
      <c r="BPQ1" s="10"/>
      <c r="BPR1" s="10"/>
      <c r="BPS1" s="10"/>
      <c r="BPT1" s="10"/>
      <c r="BPU1" s="10"/>
      <c r="BPV1" s="10"/>
      <c r="BPW1" s="10"/>
      <c r="BPX1" s="10"/>
      <c r="BPY1" s="10"/>
      <c r="BPZ1" s="10"/>
      <c r="BQA1" s="10"/>
      <c r="BQB1" s="10"/>
      <c r="BQC1" s="10"/>
      <c r="BQD1" s="10"/>
      <c r="BQE1" s="10"/>
      <c r="BQF1" s="10"/>
      <c r="BQG1" s="10"/>
      <c r="BQH1" s="10"/>
      <c r="BQI1" s="10"/>
      <c r="BQJ1" s="10"/>
      <c r="BQK1" s="10"/>
      <c r="BQL1" s="10"/>
      <c r="BQM1" s="10"/>
      <c r="BQN1" s="10"/>
      <c r="BQO1" s="10"/>
      <c r="BQP1" s="10"/>
      <c r="BQQ1" s="10"/>
      <c r="BQR1" s="10"/>
      <c r="BQS1" s="10"/>
      <c r="BQT1" s="10"/>
      <c r="BQU1" s="10"/>
      <c r="BQV1" s="10"/>
      <c r="BQW1" s="10"/>
      <c r="BQX1" s="10"/>
      <c r="BQY1" s="10"/>
      <c r="BQZ1" s="10"/>
      <c r="BRA1" s="10"/>
      <c r="BRB1" s="10"/>
      <c r="BRC1" s="10"/>
      <c r="BRD1" s="10"/>
      <c r="BRE1" s="10"/>
      <c r="BRF1" s="10"/>
      <c r="BRG1" s="10"/>
      <c r="BRH1" s="10"/>
      <c r="BRI1" s="10"/>
      <c r="BRJ1" s="10"/>
      <c r="BRK1" s="10"/>
      <c r="BRL1" s="10"/>
      <c r="BRM1" s="10"/>
      <c r="BRN1" s="10"/>
      <c r="BRO1" s="10"/>
      <c r="BRP1" s="10"/>
      <c r="BRQ1" s="10"/>
      <c r="BRR1" s="10"/>
      <c r="BRS1" s="10"/>
      <c r="BRT1" s="10"/>
      <c r="BRU1" s="10"/>
      <c r="BRV1" s="10"/>
      <c r="BRW1" s="10"/>
      <c r="BRX1" s="10"/>
      <c r="BRY1" s="10"/>
      <c r="BRZ1" s="10"/>
      <c r="BSA1" s="10"/>
      <c r="BSB1" s="10"/>
      <c r="BSC1" s="10"/>
      <c r="BSD1" s="10"/>
      <c r="BSE1" s="10"/>
      <c r="BSF1" s="10"/>
      <c r="BSG1" s="10"/>
      <c r="BSH1" s="10"/>
      <c r="BSI1" s="10"/>
      <c r="BSJ1" s="10"/>
      <c r="BSK1" s="10"/>
      <c r="BSL1" s="10"/>
      <c r="BSM1" s="10"/>
      <c r="BSN1" s="10"/>
      <c r="BSO1" s="10"/>
      <c r="BSP1" s="10"/>
      <c r="BSQ1" s="10"/>
      <c r="BSR1" s="10"/>
      <c r="BSS1" s="10"/>
      <c r="BST1" s="10"/>
      <c r="BSU1" s="10"/>
      <c r="BSV1" s="10"/>
      <c r="BSW1" s="10"/>
      <c r="BSX1" s="10"/>
      <c r="BSY1" s="10"/>
      <c r="BSZ1" s="10"/>
      <c r="BTA1" s="10"/>
      <c r="BTB1" s="10"/>
      <c r="BTC1" s="10"/>
      <c r="BTD1" s="10"/>
      <c r="BTE1" s="10"/>
      <c r="BTF1" s="10"/>
      <c r="BTG1" s="10"/>
      <c r="BTH1" s="10"/>
      <c r="BTI1" s="10"/>
      <c r="BTJ1" s="10"/>
      <c r="BTK1" s="10"/>
      <c r="BTL1" s="10"/>
      <c r="BTM1" s="10"/>
      <c r="BTN1" s="10"/>
      <c r="BTO1" s="10"/>
      <c r="BTP1" s="10"/>
      <c r="BTQ1" s="10"/>
      <c r="BTR1" s="10"/>
      <c r="BTS1" s="10"/>
      <c r="BTT1" s="10"/>
      <c r="BTU1" s="10"/>
      <c r="BTV1" s="10"/>
      <c r="BTW1" s="10"/>
      <c r="BTX1" s="10"/>
      <c r="BTY1" s="10"/>
      <c r="BTZ1" s="10"/>
      <c r="BUA1" s="10"/>
      <c r="BUB1" s="10"/>
      <c r="BUC1" s="10"/>
      <c r="BUD1" s="10"/>
      <c r="BUE1" s="10"/>
      <c r="BUF1" s="10"/>
      <c r="BUG1" s="10"/>
      <c r="BUH1" s="10"/>
      <c r="BUI1" s="10"/>
      <c r="BUJ1" s="10"/>
      <c r="BUK1" s="10"/>
      <c r="BUL1" s="10"/>
      <c r="BUM1" s="10"/>
      <c r="BUN1" s="10"/>
      <c r="BUO1" s="10"/>
      <c r="BUP1" s="10"/>
      <c r="BUQ1" s="10"/>
      <c r="BUR1" s="10"/>
      <c r="BUS1" s="10"/>
      <c r="BUT1" s="10"/>
      <c r="BUU1" s="10"/>
      <c r="BUV1" s="10"/>
      <c r="BUW1" s="10"/>
      <c r="BUX1" s="10"/>
      <c r="BUY1" s="10"/>
      <c r="BUZ1" s="10"/>
      <c r="BVA1" s="10"/>
      <c r="BVB1" s="10"/>
      <c r="BVC1" s="10"/>
      <c r="BVD1" s="10"/>
      <c r="BVE1" s="10"/>
      <c r="BVF1" s="10"/>
      <c r="BVG1" s="10"/>
      <c r="BVH1" s="10"/>
      <c r="BVI1" s="10"/>
      <c r="BVJ1" s="10"/>
      <c r="BVK1" s="10"/>
      <c r="BVL1" s="10"/>
      <c r="BVM1" s="10"/>
      <c r="BVN1" s="10"/>
      <c r="BVO1" s="10"/>
      <c r="BVP1" s="10"/>
      <c r="BVQ1" s="10"/>
      <c r="BVR1" s="10"/>
      <c r="BVS1" s="10"/>
      <c r="BVT1" s="10"/>
      <c r="BVU1" s="10"/>
      <c r="BVV1" s="10"/>
      <c r="BVW1" s="10"/>
      <c r="BVX1" s="10"/>
      <c r="BVY1" s="10"/>
      <c r="BVZ1" s="10"/>
      <c r="BWA1" s="10"/>
      <c r="BWB1" s="10"/>
      <c r="BWC1" s="10"/>
      <c r="BWD1" s="10"/>
      <c r="BWE1" s="10"/>
      <c r="BWF1" s="10"/>
      <c r="BWG1" s="10"/>
      <c r="BWH1" s="10"/>
      <c r="BWI1" s="10"/>
      <c r="BWJ1" s="10"/>
      <c r="BWK1" s="10"/>
      <c r="BWL1" s="10"/>
      <c r="BWM1" s="10"/>
      <c r="BWN1" s="10"/>
      <c r="BWO1" s="10"/>
      <c r="BWP1" s="10"/>
      <c r="BWQ1" s="10"/>
      <c r="BWR1" s="10"/>
      <c r="BWS1" s="10"/>
      <c r="BWT1" s="10"/>
      <c r="BWU1" s="10"/>
      <c r="BWV1" s="10"/>
      <c r="BWW1" s="10"/>
      <c r="BWX1" s="10"/>
      <c r="BWY1" s="10"/>
      <c r="BWZ1" s="10"/>
      <c r="BXA1" s="10"/>
      <c r="BXB1" s="10"/>
      <c r="BXC1" s="10"/>
      <c r="BXD1" s="10"/>
      <c r="BXE1" s="10"/>
      <c r="BXF1" s="10"/>
      <c r="BXG1" s="10"/>
      <c r="BXH1" s="10"/>
      <c r="BXI1" s="10"/>
      <c r="BXJ1" s="10"/>
      <c r="BXK1" s="10"/>
      <c r="BXL1" s="10"/>
      <c r="BXM1" s="10"/>
      <c r="BXN1" s="10"/>
      <c r="BXO1" s="10"/>
      <c r="BXP1" s="10"/>
      <c r="BXQ1" s="10"/>
      <c r="BXR1" s="10"/>
      <c r="BXS1" s="10"/>
      <c r="BXT1" s="10"/>
      <c r="BXU1" s="10"/>
      <c r="BXV1" s="10"/>
      <c r="BXW1" s="10"/>
      <c r="BXX1" s="10"/>
      <c r="BXY1" s="10"/>
      <c r="BXZ1" s="10"/>
      <c r="BYA1" s="10"/>
      <c r="BYB1" s="10"/>
      <c r="BYC1" s="10"/>
      <c r="BYD1" s="10"/>
      <c r="BYE1" s="10"/>
      <c r="BYF1" s="10"/>
      <c r="BYG1" s="10"/>
      <c r="BYH1" s="10"/>
      <c r="BYI1" s="10"/>
      <c r="BYJ1" s="10"/>
      <c r="BYK1" s="10"/>
      <c r="BYL1" s="10"/>
      <c r="BYM1" s="10"/>
      <c r="BYN1" s="10"/>
      <c r="BYO1" s="10"/>
      <c r="BYP1" s="10"/>
      <c r="BYQ1" s="10"/>
      <c r="BYR1" s="10"/>
      <c r="BYS1" s="10"/>
      <c r="BYT1" s="10"/>
      <c r="BYU1" s="10"/>
      <c r="BYV1" s="10"/>
      <c r="BYW1" s="10"/>
      <c r="BYX1" s="10"/>
      <c r="BYY1" s="10"/>
      <c r="BYZ1" s="10"/>
      <c r="BZA1" s="10"/>
      <c r="BZB1" s="10"/>
      <c r="BZC1" s="10"/>
      <c r="BZD1" s="10"/>
      <c r="BZE1" s="10"/>
      <c r="BZF1" s="10"/>
      <c r="BZG1" s="10"/>
      <c r="BZH1" s="10"/>
      <c r="BZI1" s="10"/>
      <c r="BZJ1" s="10"/>
      <c r="BZK1" s="10"/>
      <c r="BZL1" s="10"/>
      <c r="BZM1" s="10"/>
      <c r="BZN1" s="10"/>
      <c r="BZO1" s="10"/>
      <c r="BZP1" s="10"/>
      <c r="BZQ1" s="10"/>
      <c r="BZR1" s="10"/>
      <c r="BZS1" s="10"/>
      <c r="BZT1" s="10"/>
      <c r="BZU1" s="10"/>
      <c r="BZV1" s="10"/>
      <c r="BZW1" s="10"/>
      <c r="BZX1" s="10"/>
      <c r="BZY1" s="10"/>
      <c r="BZZ1" s="10"/>
      <c r="CAA1" s="10"/>
      <c r="CAB1" s="10"/>
      <c r="CAC1" s="10"/>
      <c r="CAD1" s="10"/>
      <c r="CAE1" s="10"/>
      <c r="CAF1" s="10"/>
      <c r="CAG1" s="10"/>
      <c r="CAH1" s="10"/>
      <c r="CAI1" s="10"/>
      <c r="CAJ1" s="10"/>
      <c r="CAK1" s="10"/>
      <c r="CAL1" s="10"/>
      <c r="CAM1" s="10"/>
      <c r="CAN1" s="10"/>
      <c r="CAO1" s="10"/>
      <c r="CAP1" s="10"/>
      <c r="CAQ1" s="10"/>
      <c r="CAR1" s="10"/>
      <c r="CAS1" s="10"/>
      <c r="CAT1" s="10"/>
      <c r="CAU1" s="10"/>
      <c r="CAV1" s="10"/>
      <c r="CAW1" s="10"/>
      <c r="CAX1" s="10"/>
      <c r="CAY1" s="10"/>
      <c r="CAZ1" s="10"/>
      <c r="CBA1" s="10"/>
      <c r="CBB1" s="10"/>
      <c r="CBC1" s="10"/>
      <c r="CBD1" s="10"/>
      <c r="CBE1" s="10"/>
      <c r="CBF1" s="10"/>
      <c r="CBG1" s="10"/>
      <c r="CBH1" s="10"/>
      <c r="CBI1" s="10"/>
      <c r="CBJ1" s="10"/>
      <c r="CBK1" s="10"/>
      <c r="CBL1" s="10"/>
      <c r="CBM1" s="10"/>
      <c r="CBN1" s="10"/>
      <c r="CBO1" s="10"/>
      <c r="CBP1" s="10"/>
      <c r="CBQ1" s="10"/>
      <c r="CBR1" s="10"/>
      <c r="CBS1" s="10"/>
      <c r="CBT1" s="10"/>
      <c r="CBU1" s="10"/>
      <c r="CBV1" s="10"/>
      <c r="CBW1" s="10"/>
      <c r="CBX1" s="10"/>
      <c r="CBY1" s="10"/>
      <c r="CBZ1" s="10"/>
      <c r="CCA1" s="10"/>
      <c r="CCB1" s="10"/>
      <c r="CCC1" s="10"/>
      <c r="CCD1" s="10"/>
      <c r="CCE1" s="10"/>
      <c r="CCF1" s="10"/>
      <c r="CCG1" s="10"/>
      <c r="CCH1" s="10"/>
      <c r="CCI1" s="10"/>
      <c r="CCJ1" s="10"/>
      <c r="CCK1" s="10"/>
      <c r="CCL1" s="10"/>
      <c r="CCM1" s="10"/>
      <c r="CCN1" s="10"/>
      <c r="CCO1" s="10"/>
      <c r="CCP1" s="10"/>
      <c r="CCQ1" s="10"/>
      <c r="CCR1" s="10"/>
      <c r="CCS1" s="10"/>
      <c r="CCT1" s="10"/>
      <c r="CCU1" s="10"/>
      <c r="CCV1" s="10"/>
      <c r="CCW1" s="10"/>
      <c r="CCX1" s="10"/>
      <c r="CCY1" s="10"/>
      <c r="CCZ1" s="10"/>
      <c r="CDA1" s="10"/>
      <c r="CDB1" s="10"/>
      <c r="CDC1" s="10"/>
      <c r="CDD1" s="10"/>
      <c r="CDE1" s="10"/>
      <c r="CDF1" s="10"/>
      <c r="CDG1" s="10"/>
      <c r="CDH1" s="10"/>
      <c r="CDI1" s="10"/>
      <c r="CDJ1" s="10"/>
      <c r="CDK1" s="10"/>
      <c r="CDL1" s="10"/>
      <c r="CDM1" s="10"/>
      <c r="CDN1" s="10"/>
      <c r="CDO1" s="10"/>
      <c r="CDP1" s="10"/>
      <c r="CDQ1" s="10"/>
      <c r="CDR1" s="10"/>
      <c r="CDS1" s="10"/>
      <c r="CDT1" s="10"/>
      <c r="CDU1" s="10"/>
      <c r="CDV1" s="10"/>
      <c r="CDW1" s="10"/>
      <c r="CDX1" s="10"/>
      <c r="CDY1" s="10"/>
      <c r="CDZ1" s="10"/>
      <c r="CEA1" s="10"/>
      <c r="CEB1" s="10"/>
      <c r="CEC1" s="10"/>
      <c r="CED1" s="10"/>
      <c r="CEE1" s="10"/>
      <c r="CEF1" s="10"/>
      <c r="CEG1" s="10"/>
      <c r="CEH1" s="10"/>
      <c r="CEI1" s="10"/>
      <c r="CEJ1" s="10"/>
      <c r="CEK1" s="10"/>
      <c r="CEL1" s="10"/>
      <c r="CEM1" s="10"/>
      <c r="CEN1" s="10"/>
      <c r="CEO1" s="10"/>
      <c r="CEP1" s="10"/>
      <c r="CEQ1" s="10"/>
      <c r="CER1" s="10"/>
      <c r="CES1" s="10"/>
      <c r="CET1" s="10"/>
      <c r="CEU1" s="10"/>
      <c r="CEV1" s="10"/>
      <c r="CEW1" s="10"/>
      <c r="CEX1" s="10"/>
      <c r="CEY1" s="10"/>
      <c r="CEZ1" s="10"/>
      <c r="CFA1" s="10"/>
      <c r="CFB1" s="10"/>
      <c r="CFC1" s="10"/>
      <c r="CFD1" s="10"/>
      <c r="CFE1" s="10"/>
      <c r="CFF1" s="10"/>
      <c r="CFG1" s="10"/>
      <c r="CFH1" s="10"/>
      <c r="CFI1" s="10"/>
      <c r="CFJ1" s="10"/>
      <c r="CFK1" s="10"/>
      <c r="CFL1" s="10"/>
      <c r="CFM1" s="10"/>
      <c r="CFN1" s="10"/>
      <c r="CFO1" s="10"/>
      <c r="CFP1" s="10"/>
      <c r="CFQ1" s="10"/>
      <c r="CFR1" s="10"/>
      <c r="CFS1" s="10"/>
      <c r="CFT1" s="10"/>
      <c r="CFU1" s="10"/>
      <c r="CFV1" s="10"/>
      <c r="CFW1" s="10"/>
      <c r="CFX1" s="10"/>
      <c r="CFY1" s="10"/>
      <c r="CFZ1" s="10"/>
      <c r="CGA1" s="10"/>
      <c r="CGB1" s="10"/>
      <c r="CGC1" s="10"/>
      <c r="CGD1" s="10"/>
      <c r="CGE1" s="10"/>
      <c r="CGF1" s="10"/>
      <c r="CGG1" s="10"/>
      <c r="CGH1" s="10"/>
      <c r="CGI1" s="10"/>
      <c r="CGJ1" s="10"/>
      <c r="CGK1" s="10"/>
      <c r="CGL1" s="10"/>
      <c r="CGM1" s="10"/>
      <c r="CGN1" s="10"/>
      <c r="CGO1" s="10"/>
      <c r="CGP1" s="10"/>
      <c r="CGQ1" s="10"/>
      <c r="CGR1" s="10"/>
      <c r="CGS1" s="10"/>
      <c r="CGT1" s="10"/>
      <c r="CGU1" s="10"/>
      <c r="CGV1" s="10"/>
      <c r="CGW1" s="10"/>
      <c r="CGX1" s="10"/>
      <c r="CGY1" s="10"/>
      <c r="CGZ1" s="10"/>
      <c r="CHA1" s="10"/>
      <c r="CHB1" s="10"/>
      <c r="CHC1" s="10"/>
      <c r="CHD1" s="10"/>
      <c r="CHE1" s="10"/>
      <c r="CHF1" s="10"/>
      <c r="CHG1" s="10"/>
      <c r="CHH1" s="10"/>
      <c r="CHI1" s="10"/>
      <c r="CHJ1" s="10"/>
      <c r="CHK1" s="10"/>
      <c r="CHL1" s="10"/>
      <c r="CHM1" s="10"/>
      <c r="CHN1" s="10"/>
      <c r="CHO1" s="10"/>
      <c r="CHP1" s="10"/>
      <c r="CHQ1" s="10"/>
      <c r="CHR1" s="10"/>
      <c r="CHS1" s="10"/>
      <c r="CHT1" s="10"/>
      <c r="CHU1" s="10"/>
      <c r="CHV1" s="10"/>
      <c r="CHW1" s="10"/>
      <c r="CHX1" s="10"/>
      <c r="CHY1" s="10"/>
      <c r="CHZ1" s="10"/>
      <c r="CIA1" s="10"/>
      <c r="CIB1" s="10"/>
      <c r="CIC1" s="10"/>
      <c r="CID1" s="10"/>
      <c r="CIE1" s="10"/>
      <c r="CIF1" s="10"/>
      <c r="CIG1" s="10"/>
      <c r="CIH1" s="10"/>
      <c r="CII1" s="10"/>
      <c r="CIJ1" s="10"/>
      <c r="CIK1" s="10"/>
      <c r="CIL1" s="10"/>
      <c r="CIM1" s="10"/>
      <c r="CIN1" s="10"/>
      <c r="CIO1" s="10"/>
      <c r="CIP1" s="10"/>
      <c r="CIQ1" s="10"/>
      <c r="CIR1" s="10"/>
      <c r="CIS1" s="10"/>
      <c r="CIT1" s="10"/>
      <c r="CIU1" s="10"/>
      <c r="CIV1" s="10"/>
      <c r="CIW1" s="10"/>
      <c r="CIX1" s="10"/>
      <c r="CIY1" s="10"/>
      <c r="CIZ1" s="10"/>
      <c r="CJA1" s="10"/>
      <c r="CJB1" s="10"/>
      <c r="CJC1" s="10"/>
      <c r="CJD1" s="10"/>
      <c r="CJE1" s="10"/>
      <c r="CJF1" s="10"/>
      <c r="CJG1" s="10"/>
      <c r="CJH1" s="10"/>
      <c r="CJI1" s="10"/>
      <c r="CJJ1" s="10"/>
      <c r="CJK1" s="10"/>
      <c r="CJL1" s="10"/>
      <c r="CJM1" s="10"/>
      <c r="CJN1" s="10"/>
      <c r="CJO1" s="10"/>
      <c r="CJP1" s="10"/>
      <c r="CJQ1" s="10"/>
      <c r="CJR1" s="10"/>
      <c r="CJS1" s="10"/>
      <c r="CJT1" s="10"/>
      <c r="CJU1" s="10"/>
      <c r="CJV1" s="10"/>
      <c r="CJW1" s="10"/>
      <c r="CJX1" s="10"/>
      <c r="CJY1" s="10"/>
      <c r="CJZ1" s="10"/>
      <c r="CKA1" s="10"/>
      <c r="CKB1" s="10"/>
      <c r="CKC1" s="10"/>
      <c r="CKD1" s="10"/>
      <c r="CKE1" s="10"/>
      <c r="CKF1" s="10"/>
      <c r="CKG1" s="10"/>
      <c r="CKH1" s="10"/>
      <c r="CKI1" s="10"/>
      <c r="CKJ1" s="10"/>
      <c r="CKK1" s="10"/>
      <c r="CKL1" s="10"/>
      <c r="CKM1" s="10"/>
      <c r="CKN1" s="10"/>
      <c r="CKO1" s="10"/>
      <c r="CKP1" s="10"/>
      <c r="CKQ1" s="10"/>
      <c r="CKR1" s="10"/>
      <c r="CKS1" s="10"/>
      <c r="CKT1" s="10"/>
      <c r="CKU1" s="10"/>
      <c r="CKV1" s="10"/>
      <c r="CKW1" s="10"/>
      <c r="CKX1" s="10"/>
      <c r="CKY1" s="10"/>
      <c r="CKZ1" s="10"/>
      <c r="CLA1" s="10"/>
      <c r="CLB1" s="10"/>
      <c r="CLC1" s="10"/>
      <c r="CLD1" s="10"/>
      <c r="CLE1" s="10"/>
      <c r="CLF1" s="10"/>
      <c r="CLG1" s="10"/>
      <c r="CLH1" s="10"/>
      <c r="CLI1" s="10"/>
      <c r="CLJ1" s="10"/>
      <c r="CLK1" s="10"/>
      <c r="CLL1" s="10"/>
      <c r="CLM1" s="10"/>
      <c r="CLN1" s="10"/>
      <c r="CLO1" s="10"/>
      <c r="CLP1" s="10"/>
      <c r="CLQ1" s="10"/>
      <c r="CLR1" s="10"/>
      <c r="CLS1" s="10"/>
      <c r="CLT1" s="10"/>
      <c r="CLU1" s="10"/>
      <c r="CLV1" s="10"/>
      <c r="CLW1" s="10"/>
      <c r="CLX1" s="10"/>
      <c r="CLY1" s="10"/>
      <c r="CLZ1" s="10"/>
      <c r="CMA1" s="10"/>
      <c r="CMB1" s="10"/>
      <c r="CMC1" s="10"/>
      <c r="CMD1" s="10"/>
      <c r="CME1" s="10"/>
      <c r="CMF1" s="10"/>
      <c r="CMG1" s="10"/>
      <c r="CMH1" s="10"/>
      <c r="CMI1" s="10"/>
      <c r="CMJ1" s="10"/>
      <c r="CMK1" s="10"/>
      <c r="CML1" s="10"/>
      <c r="CMM1" s="10"/>
      <c r="CMN1" s="10"/>
      <c r="CMO1" s="10"/>
      <c r="CMP1" s="10"/>
      <c r="CMQ1" s="10"/>
      <c r="CMR1" s="10"/>
      <c r="CMS1" s="10"/>
      <c r="CMT1" s="10"/>
      <c r="CMU1" s="10"/>
      <c r="CMV1" s="10"/>
      <c r="CMW1" s="10"/>
      <c r="CMX1" s="10"/>
      <c r="CMY1" s="10"/>
      <c r="CMZ1" s="10"/>
      <c r="CNA1" s="10"/>
      <c r="CNB1" s="10"/>
      <c r="CNC1" s="10"/>
      <c r="CND1" s="10"/>
      <c r="CNE1" s="10"/>
      <c r="CNF1" s="10"/>
      <c r="CNG1" s="10"/>
      <c r="CNH1" s="10"/>
      <c r="CNI1" s="10"/>
      <c r="CNJ1" s="10"/>
      <c r="CNK1" s="10"/>
      <c r="CNL1" s="10"/>
      <c r="CNM1" s="10"/>
      <c r="CNN1" s="10"/>
      <c r="CNO1" s="10"/>
      <c r="CNP1" s="10"/>
      <c r="CNQ1" s="10"/>
      <c r="CNR1" s="10"/>
      <c r="CNS1" s="10"/>
      <c r="CNT1" s="10"/>
      <c r="CNU1" s="10"/>
      <c r="CNV1" s="10"/>
      <c r="CNW1" s="10"/>
      <c r="CNX1" s="10"/>
      <c r="CNY1" s="10"/>
      <c r="CNZ1" s="10"/>
      <c r="COA1" s="10"/>
      <c r="COB1" s="10"/>
      <c r="COC1" s="10"/>
      <c r="COD1" s="10"/>
      <c r="COE1" s="10"/>
      <c r="COF1" s="10"/>
      <c r="COG1" s="10"/>
      <c r="COH1" s="10"/>
      <c r="COI1" s="10"/>
      <c r="COJ1" s="10"/>
      <c r="COK1" s="10"/>
      <c r="COL1" s="10"/>
      <c r="COM1" s="10"/>
      <c r="CON1" s="10"/>
      <c r="COO1" s="10"/>
      <c r="COP1" s="10"/>
      <c r="COQ1" s="10"/>
      <c r="COR1" s="10"/>
      <c r="COS1" s="10"/>
      <c r="COT1" s="10"/>
      <c r="COU1" s="10"/>
      <c r="COV1" s="10"/>
      <c r="COW1" s="10"/>
      <c r="COX1" s="10"/>
      <c r="COY1" s="10"/>
      <c r="COZ1" s="10"/>
      <c r="CPA1" s="10"/>
      <c r="CPB1" s="10"/>
      <c r="CPC1" s="10"/>
      <c r="CPD1" s="10"/>
      <c r="CPE1" s="10"/>
      <c r="CPF1" s="10"/>
      <c r="CPG1" s="10"/>
      <c r="CPH1" s="10"/>
      <c r="CPI1" s="10"/>
      <c r="CPJ1" s="10"/>
      <c r="CPK1" s="10"/>
      <c r="CPL1" s="10"/>
      <c r="CPM1" s="10"/>
      <c r="CPN1" s="10"/>
      <c r="CPO1" s="10"/>
      <c r="CPP1" s="10"/>
      <c r="CPQ1" s="10"/>
      <c r="CPR1" s="10"/>
      <c r="CPS1" s="10"/>
      <c r="CPT1" s="10"/>
      <c r="CPU1" s="10"/>
      <c r="CPV1" s="10"/>
      <c r="CPW1" s="10"/>
      <c r="CPX1" s="10"/>
      <c r="CPY1" s="10"/>
      <c r="CPZ1" s="10"/>
      <c r="CQA1" s="10"/>
      <c r="CQB1" s="10"/>
      <c r="CQC1" s="10"/>
      <c r="CQD1" s="10"/>
      <c r="CQE1" s="10"/>
      <c r="CQF1" s="10"/>
      <c r="CQG1" s="10"/>
      <c r="CQH1" s="10"/>
      <c r="CQI1" s="10"/>
      <c r="CQJ1" s="10"/>
      <c r="CQK1" s="10"/>
      <c r="CQL1" s="10"/>
      <c r="CQM1" s="10"/>
      <c r="CQN1" s="10"/>
      <c r="CQO1" s="10"/>
      <c r="CQP1" s="10"/>
      <c r="CQQ1" s="10"/>
      <c r="CQR1" s="10"/>
      <c r="CQS1" s="10"/>
      <c r="CQT1" s="10"/>
      <c r="CQU1" s="10"/>
      <c r="CQV1" s="10"/>
      <c r="CQW1" s="10"/>
      <c r="CQX1" s="10"/>
      <c r="CQY1" s="10"/>
      <c r="CQZ1" s="10"/>
      <c r="CRA1" s="10"/>
      <c r="CRB1" s="10"/>
      <c r="CRC1" s="10"/>
      <c r="CRD1" s="10"/>
      <c r="CRE1" s="10"/>
      <c r="CRF1" s="10"/>
      <c r="CRG1" s="10"/>
      <c r="CRH1" s="10"/>
      <c r="CRI1" s="10"/>
      <c r="CRJ1" s="10"/>
      <c r="CRK1" s="10"/>
      <c r="CRL1" s="10"/>
      <c r="CRM1" s="10"/>
      <c r="CRN1" s="10"/>
      <c r="CRO1" s="10"/>
      <c r="CRP1" s="10"/>
      <c r="CRQ1" s="10"/>
      <c r="CRR1" s="10"/>
      <c r="CRS1" s="10"/>
      <c r="CRT1" s="10"/>
      <c r="CRU1" s="10"/>
      <c r="CRV1" s="10"/>
      <c r="CRW1" s="10"/>
      <c r="CRX1" s="10"/>
      <c r="CRY1" s="10"/>
      <c r="CRZ1" s="10"/>
      <c r="CSA1" s="10"/>
      <c r="CSB1" s="10"/>
      <c r="CSC1" s="10"/>
      <c r="CSD1" s="10"/>
      <c r="CSE1" s="10"/>
      <c r="CSF1" s="10"/>
      <c r="CSG1" s="10"/>
      <c r="CSH1" s="10"/>
      <c r="CSI1" s="10"/>
      <c r="CSJ1" s="10"/>
      <c r="CSK1" s="10"/>
      <c r="CSL1" s="10"/>
      <c r="CSM1" s="10"/>
      <c r="CSN1" s="10"/>
      <c r="CSO1" s="10"/>
      <c r="CSP1" s="10"/>
      <c r="CSQ1" s="10"/>
      <c r="CSR1" s="10"/>
      <c r="CSS1" s="10"/>
      <c r="CST1" s="10"/>
      <c r="CSU1" s="10"/>
      <c r="CSV1" s="10"/>
      <c r="CSW1" s="10"/>
      <c r="CSX1" s="10"/>
      <c r="CSY1" s="10"/>
      <c r="CSZ1" s="10"/>
      <c r="CTA1" s="10"/>
      <c r="CTB1" s="10"/>
      <c r="CTC1" s="10"/>
      <c r="CTD1" s="10"/>
      <c r="CTE1" s="10"/>
      <c r="CTF1" s="10"/>
      <c r="CTG1" s="10"/>
      <c r="CTH1" s="10"/>
      <c r="CTI1" s="10"/>
      <c r="CTJ1" s="10"/>
      <c r="CTK1" s="10"/>
      <c r="CTL1" s="10"/>
      <c r="CTM1" s="10"/>
      <c r="CTN1" s="10"/>
      <c r="CTO1" s="10"/>
      <c r="CTP1" s="10"/>
      <c r="CTQ1" s="10"/>
      <c r="CTR1" s="10"/>
      <c r="CTS1" s="10"/>
      <c r="CTT1" s="10"/>
      <c r="CTU1" s="10"/>
      <c r="CTV1" s="10"/>
      <c r="CTW1" s="10"/>
      <c r="CTX1" s="10"/>
      <c r="CTY1" s="10"/>
      <c r="CTZ1" s="10"/>
      <c r="CUA1" s="10"/>
      <c r="CUB1" s="10"/>
      <c r="CUC1" s="10"/>
      <c r="CUD1" s="10"/>
      <c r="CUE1" s="10"/>
      <c r="CUF1" s="10"/>
      <c r="CUG1" s="10"/>
      <c r="CUH1" s="10"/>
      <c r="CUI1" s="10"/>
      <c r="CUJ1" s="10"/>
      <c r="CUK1" s="10"/>
      <c r="CUL1" s="10"/>
      <c r="CUM1" s="10"/>
      <c r="CUN1" s="10"/>
      <c r="CUO1" s="10"/>
      <c r="CUP1" s="10"/>
      <c r="CUQ1" s="10"/>
      <c r="CUR1" s="10"/>
      <c r="CUS1" s="10"/>
      <c r="CUT1" s="10"/>
      <c r="CUU1" s="10"/>
      <c r="CUV1" s="10"/>
      <c r="CUW1" s="10"/>
      <c r="CUX1" s="10"/>
      <c r="CUY1" s="10"/>
      <c r="CUZ1" s="10"/>
      <c r="CVA1" s="10"/>
      <c r="CVB1" s="10"/>
      <c r="CVC1" s="10"/>
      <c r="CVD1" s="10"/>
      <c r="CVE1" s="10"/>
      <c r="CVF1" s="10"/>
      <c r="CVG1" s="10"/>
      <c r="CVH1" s="10"/>
      <c r="CVI1" s="10"/>
      <c r="CVJ1" s="10"/>
      <c r="CVK1" s="10"/>
      <c r="CVL1" s="10"/>
      <c r="CVM1" s="10"/>
      <c r="CVN1" s="10"/>
      <c r="CVO1" s="10"/>
      <c r="CVP1" s="10"/>
      <c r="CVQ1" s="10"/>
      <c r="CVR1" s="10"/>
      <c r="CVS1" s="10"/>
      <c r="CVT1" s="10"/>
      <c r="CVU1" s="10"/>
      <c r="CVV1" s="10"/>
      <c r="CVW1" s="10"/>
      <c r="CVX1" s="10"/>
      <c r="CVY1" s="10"/>
      <c r="CVZ1" s="10"/>
      <c r="CWA1" s="10"/>
      <c r="CWB1" s="10"/>
      <c r="CWC1" s="10"/>
      <c r="CWD1" s="10"/>
      <c r="CWE1" s="10"/>
      <c r="CWF1" s="10"/>
      <c r="CWG1" s="10"/>
      <c r="CWH1" s="10"/>
      <c r="CWI1" s="10"/>
      <c r="CWJ1" s="10"/>
      <c r="CWK1" s="10"/>
      <c r="CWL1" s="10"/>
      <c r="CWM1" s="10"/>
      <c r="CWN1" s="10"/>
      <c r="CWO1" s="10"/>
      <c r="CWP1" s="10"/>
      <c r="CWQ1" s="10"/>
      <c r="CWR1" s="10"/>
      <c r="CWS1" s="10"/>
      <c r="CWT1" s="10"/>
      <c r="CWU1" s="10"/>
      <c r="CWV1" s="10"/>
      <c r="CWW1" s="10"/>
      <c r="CWX1" s="10"/>
      <c r="CWY1" s="10"/>
      <c r="CWZ1" s="10"/>
      <c r="CXA1" s="10"/>
      <c r="CXB1" s="10"/>
      <c r="CXC1" s="10"/>
      <c r="CXD1" s="10"/>
      <c r="CXE1" s="10"/>
      <c r="CXF1" s="10"/>
      <c r="CXG1" s="10"/>
      <c r="CXH1" s="10"/>
      <c r="CXI1" s="10"/>
      <c r="CXJ1" s="10"/>
      <c r="CXK1" s="10"/>
      <c r="CXL1" s="10"/>
      <c r="CXM1" s="10"/>
      <c r="CXN1" s="10"/>
      <c r="CXO1" s="10"/>
      <c r="CXP1" s="10"/>
      <c r="CXQ1" s="10"/>
      <c r="CXR1" s="10"/>
      <c r="CXS1" s="10"/>
      <c r="CXT1" s="10"/>
      <c r="CXU1" s="10"/>
      <c r="CXV1" s="10"/>
      <c r="CXW1" s="10"/>
      <c r="CXX1" s="10"/>
      <c r="CXY1" s="10"/>
      <c r="CXZ1" s="10"/>
      <c r="CYA1" s="10"/>
      <c r="CYB1" s="10"/>
      <c r="CYC1" s="10"/>
      <c r="CYD1" s="10"/>
      <c r="CYE1" s="10"/>
      <c r="CYF1" s="10"/>
      <c r="CYG1" s="10"/>
      <c r="CYH1" s="10"/>
      <c r="CYI1" s="10"/>
      <c r="CYJ1" s="10"/>
      <c r="CYK1" s="10"/>
      <c r="CYL1" s="10"/>
      <c r="CYM1" s="10"/>
      <c r="CYN1" s="10"/>
      <c r="CYO1" s="10"/>
      <c r="CYP1" s="10"/>
      <c r="CYQ1" s="10"/>
      <c r="CYR1" s="10"/>
      <c r="CYS1" s="10"/>
      <c r="CYT1" s="10"/>
      <c r="CYU1" s="10"/>
      <c r="CYV1" s="10"/>
      <c r="CYW1" s="10"/>
      <c r="CYX1" s="10"/>
      <c r="CYY1" s="10"/>
      <c r="CYZ1" s="10"/>
      <c r="CZA1" s="10"/>
      <c r="CZB1" s="10"/>
      <c r="CZC1" s="10"/>
      <c r="CZD1" s="10"/>
      <c r="CZE1" s="10"/>
      <c r="CZF1" s="10"/>
      <c r="CZG1" s="10"/>
      <c r="CZH1" s="10"/>
      <c r="CZI1" s="10"/>
      <c r="CZJ1" s="10"/>
      <c r="CZK1" s="10"/>
      <c r="CZL1" s="10"/>
      <c r="CZM1" s="10"/>
      <c r="CZN1" s="10"/>
      <c r="CZO1" s="10"/>
      <c r="CZP1" s="10"/>
      <c r="CZQ1" s="10"/>
      <c r="CZR1" s="10"/>
      <c r="CZS1" s="10"/>
      <c r="CZT1" s="10"/>
      <c r="CZU1" s="10"/>
      <c r="CZV1" s="10"/>
      <c r="CZW1" s="10"/>
      <c r="CZX1" s="10"/>
      <c r="CZY1" s="10"/>
      <c r="CZZ1" s="10"/>
      <c r="DAA1" s="10"/>
      <c r="DAB1" s="10"/>
      <c r="DAC1" s="10"/>
      <c r="DAD1" s="10"/>
      <c r="DAE1" s="10"/>
      <c r="DAF1" s="10"/>
      <c r="DAG1" s="10"/>
      <c r="DAH1" s="10"/>
      <c r="DAI1" s="10"/>
      <c r="DAJ1" s="10"/>
      <c r="DAK1" s="10"/>
      <c r="DAL1" s="10"/>
      <c r="DAM1" s="10"/>
      <c r="DAN1" s="10"/>
      <c r="DAO1" s="10"/>
      <c r="DAP1" s="10"/>
      <c r="DAQ1" s="10"/>
      <c r="DAR1" s="10"/>
      <c r="DAS1" s="10"/>
      <c r="DAT1" s="10"/>
      <c r="DAU1" s="10"/>
      <c r="DAV1" s="10"/>
      <c r="DAW1" s="10"/>
      <c r="DAX1" s="10"/>
      <c r="DAY1" s="10"/>
      <c r="DAZ1" s="10"/>
      <c r="DBA1" s="10"/>
      <c r="DBB1" s="10"/>
      <c r="DBC1" s="10"/>
      <c r="DBD1" s="10"/>
      <c r="DBE1" s="10"/>
      <c r="DBF1" s="10"/>
      <c r="DBG1" s="10"/>
      <c r="DBH1" s="10"/>
      <c r="DBI1" s="10"/>
      <c r="DBJ1" s="10"/>
      <c r="DBK1" s="10"/>
      <c r="DBL1" s="10"/>
      <c r="DBM1" s="10"/>
      <c r="DBN1" s="10"/>
      <c r="DBO1" s="10"/>
      <c r="DBP1" s="10"/>
      <c r="DBQ1" s="10"/>
      <c r="DBR1" s="10"/>
      <c r="DBS1" s="10"/>
      <c r="DBT1" s="10"/>
      <c r="DBU1" s="10"/>
      <c r="DBV1" s="10"/>
      <c r="DBW1" s="10"/>
      <c r="DBX1" s="10"/>
      <c r="DBY1" s="10"/>
      <c r="DBZ1" s="10"/>
      <c r="DCA1" s="10"/>
      <c r="DCB1" s="10"/>
      <c r="DCC1" s="10"/>
      <c r="DCD1" s="10"/>
      <c r="DCE1" s="10"/>
      <c r="DCF1" s="10"/>
      <c r="DCG1" s="10"/>
      <c r="DCH1" s="10"/>
      <c r="DCI1" s="10"/>
      <c r="DCJ1" s="10"/>
      <c r="DCK1" s="10"/>
      <c r="DCL1" s="10"/>
      <c r="DCM1" s="10"/>
      <c r="DCN1" s="10"/>
      <c r="DCO1" s="10"/>
      <c r="DCP1" s="10"/>
      <c r="DCQ1" s="10"/>
      <c r="DCR1" s="10"/>
      <c r="DCS1" s="10"/>
      <c r="DCT1" s="10"/>
      <c r="DCU1" s="10"/>
      <c r="DCV1" s="10"/>
      <c r="DCW1" s="10"/>
      <c r="DCX1" s="10"/>
      <c r="DCY1" s="10"/>
      <c r="DCZ1" s="10"/>
      <c r="DDA1" s="10"/>
      <c r="DDB1" s="10"/>
      <c r="DDC1" s="10"/>
      <c r="DDD1" s="10"/>
      <c r="DDE1" s="10"/>
      <c r="DDF1" s="10"/>
      <c r="DDG1" s="10"/>
      <c r="DDH1" s="10"/>
      <c r="DDI1" s="10"/>
      <c r="DDJ1" s="10"/>
      <c r="DDK1" s="10"/>
      <c r="DDL1" s="10"/>
      <c r="DDM1" s="10"/>
      <c r="DDN1" s="10"/>
      <c r="DDO1" s="10"/>
      <c r="DDP1" s="10"/>
      <c r="DDQ1" s="10"/>
      <c r="DDR1" s="10"/>
      <c r="DDS1" s="10"/>
      <c r="DDT1" s="10"/>
      <c r="DDU1" s="10"/>
      <c r="DDV1" s="10"/>
      <c r="DDW1" s="10"/>
      <c r="DDX1" s="10"/>
      <c r="DDY1" s="10"/>
      <c r="DDZ1" s="10"/>
      <c r="DEA1" s="10"/>
      <c r="DEB1" s="10"/>
      <c r="DEC1" s="10"/>
      <c r="DED1" s="10"/>
      <c r="DEE1" s="10"/>
      <c r="DEF1" s="10"/>
      <c r="DEG1" s="10"/>
      <c r="DEH1" s="10"/>
      <c r="DEI1" s="10"/>
      <c r="DEJ1" s="10"/>
      <c r="DEK1" s="10"/>
      <c r="DEL1" s="10"/>
      <c r="DEM1" s="10"/>
      <c r="DEN1" s="10"/>
      <c r="DEO1" s="10"/>
      <c r="DEP1" s="10"/>
      <c r="DEQ1" s="10"/>
      <c r="DER1" s="10"/>
      <c r="DES1" s="10"/>
      <c r="DET1" s="10"/>
      <c r="DEU1" s="10"/>
      <c r="DEV1" s="10"/>
      <c r="DEW1" s="10"/>
      <c r="DEX1" s="10"/>
      <c r="DEY1" s="10"/>
      <c r="DEZ1" s="10"/>
      <c r="DFA1" s="10"/>
      <c r="DFB1" s="10"/>
      <c r="DFC1" s="10"/>
      <c r="DFD1" s="10"/>
      <c r="DFE1" s="10"/>
      <c r="DFF1" s="10"/>
      <c r="DFG1" s="10"/>
      <c r="DFH1" s="10"/>
      <c r="DFI1" s="10"/>
      <c r="DFJ1" s="10"/>
      <c r="DFK1" s="10"/>
      <c r="DFL1" s="10"/>
      <c r="DFM1" s="10"/>
      <c r="DFN1" s="10"/>
      <c r="DFO1" s="10"/>
      <c r="DFP1" s="10"/>
      <c r="DFQ1" s="10"/>
      <c r="DFR1" s="10"/>
      <c r="DFS1" s="10"/>
      <c r="DFT1" s="10"/>
      <c r="DFU1" s="10"/>
      <c r="DFV1" s="10"/>
      <c r="DFW1" s="10"/>
      <c r="DFX1" s="10"/>
      <c r="DFY1" s="10"/>
      <c r="DFZ1" s="10"/>
      <c r="DGA1" s="10"/>
      <c r="DGB1" s="10"/>
      <c r="DGC1" s="10"/>
      <c r="DGD1" s="10"/>
      <c r="DGE1" s="10"/>
      <c r="DGF1" s="10"/>
      <c r="DGG1" s="10"/>
      <c r="DGH1" s="10"/>
      <c r="DGI1" s="10"/>
      <c r="DGJ1" s="10"/>
      <c r="DGK1" s="10"/>
      <c r="DGL1" s="10"/>
      <c r="DGM1" s="10"/>
      <c r="DGN1" s="10"/>
      <c r="DGO1" s="10"/>
      <c r="DGP1" s="10"/>
      <c r="DGQ1" s="10"/>
      <c r="DGR1" s="10"/>
      <c r="DGS1" s="10"/>
      <c r="DGT1" s="10"/>
      <c r="DGU1" s="10"/>
      <c r="DGV1" s="10"/>
      <c r="DGW1" s="10"/>
      <c r="DGX1" s="10"/>
      <c r="DGY1" s="10"/>
      <c r="DGZ1" s="10"/>
      <c r="DHA1" s="10"/>
      <c r="DHB1" s="10"/>
      <c r="DHC1" s="10"/>
      <c r="DHD1" s="10"/>
      <c r="DHE1" s="10"/>
      <c r="DHF1" s="10"/>
      <c r="DHG1" s="10"/>
      <c r="DHH1" s="10"/>
      <c r="DHI1" s="10"/>
      <c r="DHJ1" s="10"/>
      <c r="DHK1" s="10"/>
      <c r="DHL1" s="10"/>
      <c r="DHM1" s="10"/>
      <c r="DHN1" s="10"/>
      <c r="DHO1" s="10"/>
      <c r="DHP1" s="10"/>
      <c r="DHQ1" s="10"/>
      <c r="DHR1" s="10"/>
      <c r="DHS1" s="10"/>
      <c r="DHT1" s="10"/>
      <c r="DHU1" s="10"/>
      <c r="DHV1" s="10"/>
      <c r="DHW1" s="10"/>
      <c r="DHX1" s="10"/>
      <c r="DHY1" s="10"/>
      <c r="DHZ1" s="10"/>
      <c r="DIA1" s="10"/>
      <c r="DIB1" s="10"/>
      <c r="DIC1" s="10"/>
      <c r="DID1" s="10"/>
      <c r="DIE1" s="10"/>
      <c r="DIF1" s="10"/>
      <c r="DIG1" s="10"/>
      <c r="DIH1" s="10"/>
      <c r="DII1" s="10"/>
      <c r="DIJ1" s="10"/>
      <c r="DIK1" s="10"/>
      <c r="DIL1" s="10"/>
      <c r="DIM1" s="10"/>
      <c r="DIN1" s="10"/>
      <c r="DIO1" s="10"/>
      <c r="DIP1" s="10"/>
      <c r="DIQ1" s="10"/>
      <c r="DIR1" s="10"/>
      <c r="DIS1" s="10"/>
      <c r="DIT1" s="10"/>
      <c r="DIU1" s="10"/>
      <c r="DIV1" s="10"/>
      <c r="DIW1" s="10"/>
      <c r="DIX1" s="10"/>
      <c r="DIY1" s="10"/>
      <c r="DIZ1" s="10"/>
      <c r="DJA1" s="10"/>
      <c r="DJB1" s="10"/>
      <c r="DJC1" s="10"/>
      <c r="DJD1" s="10"/>
      <c r="DJE1" s="10"/>
      <c r="DJF1" s="10"/>
      <c r="DJG1" s="10"/>
      <c r="DJH1" s="10"/>
      <c r="DJI1" s="10"/>
      <c r="DJJ1" s="10"/>
      <c r="DJK1" s="10"/>
      <c r="DJL1" s="10"/>
      <c r="DJM1" s="10"/>
      <c r="DJN1" s="10"/>
      <c r="DJO1" s="10"/>
      <c r="DJP1" s="10"/>
      <c r="DJQ1" s="10"/>
      <c r="DJR1" s="10"/>
      <c r="DJS1" s="10"/>
      <c r="DJT1" s="10"/>
      <c r="DJU1" s="10"/>
      <c r="DJV1" s="10"/>
      <c r="DJW1" s="10"/>
      <c r="DJX1" s="10"/>
      <c r="DJY1" s="10"/>
      <c r="DJZ1" s="10"/>
      <c r="DKA1" s="10"/>
      <c r="DKB1" s="10"/>
      <c r="DKC1" s="10"/>
      <c r="DKD1" s="10"/>
      <c r="DKE1" s="10"/>
      <c r="DKF1" s="10"/>
      <c r="DKG1" s="10"/>
      <c r="DKH1" s="10"/>
      <c r="DKI1" s="10"/>
      <c r="DKJ1" s="10"/>
      <c r="DKK1" s="10"/>
      <c r="DKL1" s="10"/>
      <c r="DKM1" s="10"/>
      <c r="DKN1" s="10"/>
      <c r="DKO1" s="10"/>
      <c r="DKP1" s="10"/>
      <c r="DKQ1" s="10"/>
      <c r="DKR1" s="10"/>
      <c r="DKS1" s="10"/>
      <c r="DKT1" s="10"/>
      <c r="DKU1" s="10"/>
      <c r="DKV1" s="10"/>
      <c r="DKW1" s="10"/>
      <c r="DKX1" s="10"/>
      <c r="DKY1" s="10"/>
      <c r="DKZ1" s="10"/>
      <c r="DLA1" s="10"/>
      <c r="DLB1" s="10"/>
      <c r="DLC1" s="10"/>
      <c r="DLD1" s="10"/>
      <c r="DLE1" s="10"/>
      <c r="DLF1" s="10"/>
      <c r="DLG1" s="10"/>
      <c r="DLH1" s="10"/>
      <c r="DLI1" s="10"/>
      <c r="DLJ1" s="10"/>
      <c r="DLK1" s="10"/>
      <c r="DLL1" s="10"/>
      <c r="DLM1" s="10"/>
      <c r="DLN1" s="10"/>
      <c r="DLO1" s="10"/>
      <c r="DLP1" s="10"/>
      <c r="DLQ1" s="10"/>
      <c r="DLR1" s="10"/>
      <c r="DLS1" s="10"/>
      <c r="DLT1" s="10"/>
      <c r="DLU1" s="10"/>
      <c r="DLV1" s="10"/>
      <c r="DLW1" s="10"/>
      <c r="DLX1" s="10"/>
      <c r="DLY1" s="10"/>
      <c r="DLZ1" s="10"/>
      <c r="DMA1" s="10"/>
      <c r="DMB1" s="10"/>
      <c r="DMC1" s="10"/>
      <c r="DMD1" s="10"/>
      <c r="DME1" s="10"/>
      <c r="DMF1" s="10"/>
      <c r="DMG1" s="10"/>
      <c r="DMH1" s="10"/>
      <c r="DMI1" s="10"/>
      <c r="DMJ1" s="10"/>
      <c r="DMK1" s="10"/>
      <c r="DML1" s="10"/>
      <c r="DMM1" s="10"/>
      <c r="DMN1" s="10"/>
      <c r="DMO1" s="10"/>
      <c r="DMP1" s="10"/>
      <c r="DMQ1" s="10"/>
      <c r="DMR1" s="10"/>
      <c r="DMS1" s="10"/>
      <c r="DMT1" s="10"/>
      <c r="DMU1" s="10"/>
      <c r="DMV1" s="10"/>
      <c r="DMW1" s="10"/>
      <c r="DMX1" s="10"/>
      <c r="DMY1" s="10"/>
      <c r="DMZ1" s="10"/>
      <c r="DNA1" s="10"/>
      <c r="DNB1" s="10"/>
      <c r="DNC1" s="10"/>
      <c r="DND1" s="10"/>
      <c r="DNE1" s="10"/>
      <c r="DNF1" s="10"/>
      <c r="DNG1" s="10"/>
      <c r="DNH1" s="10"/>
      <c r="DNI1" s="10"/>
      <c r="DNJ1" s="10"/>
      <c r="DNK1" s="10"/>
      <c r="DNL1" s="10"/>
      <c r="DNM1" s="10"/>
      <c r="DNN1" s="10"/>
      <c r="DNO1" s="10"/>
      <c r="DNP1" s="10"/>
      <c r="DNQ1" s="10"/>
      <c r="DNR1" s="10"/>
      <c r="DNS1" s="10"/>
      <c r="DNT1" s="10"/>
      <c r="DNU1" s="10"/>
      <c r="DNV1" s="10"/>
      <c r="DNW1" s="10"/>
      <c r="DNX1" s="10"/>
      <c r="DNY1" s="10"/>
      <c r="DNZ1" s="10"/>
      <c r="DOA1" s="10"/>
      <c r="DOB1" s="10"/>
      <c r="DOC1" s="10"/>
      <c r="DOD1" s="10"/>
      <c r="DOE1" s="10"/>
      <c r="DOF1" s="10"/>
      <c r="DOG1" s="10"/>
      <c r="DOH1" s="10"/>
      <c r="DOI1" s="10"/>
      <c r="DOJ1" s="10"/>
      <c r="DOK1" s="10"/>
      <c r="DOL1" s="10"/>
      <c r="DOM1" s="10"/>
      <c r="DON1" s="10"/>
      <c r="DOO1" s="10"/>
      <c r="DOP1" s="10"/>
      <c r="DOQ1" s="10"/>
      <c r="DOR1" s="10"/>
      <c r="DOS1" s="10"/>
      <c r="DOT1" s="10"/>
      <c r="DOU1" s="10"/>
      <c r="DOV1" s="10"/>
      <c r="DOW1" s="10"/>
      <c r="DOX1" s="10"/>
      <c r="DOY1" s="10"/>
      <c r="DOZ1" s="10"/>
      <c r="DPA1" s="10"/>
      <c r="DPB1" s="10"/>
      <c r="DPC1" s="10"/>
      <c r="DPD1" s="10"/>
      <c r="DPE1" s="10"/>
      <c r="DPF1" s="10"/>
      <c r="DPG1" s="10"/>
      <c r="DPH1" s="10"/>
      <c r="DPI1" s="10"/>
      <c r="DPJ1" s="10"/>
      <c r="DPK1" s="10"/>
      <c r="DPL1" s="10"/>
      <c r="DPM1" s="10"/>
      <c r="DPN1" s="10"/>
      <c r="DPO1" s="10"/>
      <c r="DPP1" s="10"/>
      <c r="DPQ1" s="10"/>
      <c r="DPR1" s="10"/>
      <c r="DPS1" s="10"/>
      <c r="DPT1" s="10"/>
      <c r="DPU1" s="10"/>
      <c r="DPV1" s="10"/>
      <c r="DPW1" s="10"/>
      <c r="DPX1" s="10"/>
      <c r="DPY1" s="10"/>
      <c r="DPZ1" s="10"/>
      <c r="DQA1" s="10"/>
      <c r="DQB1" s="10"/>
      <c r="DQC1" s="10"/>
      <c r="DQD1" s="10"/>
      <c r="DQE1" s="10"/>
      <c r="DQF1" s="10"/>
      <c r="DQG1" s="10"/>
      <c r="DQH1" s="10"/>
      <c r="DQI1" s="10"/>
      <c r="DQJ1" s="10"/>
      <c r="DQK1" s="10"/>
      <c r="DQL1" s="10"/>
      <c r="DQM1" s="10"/>
      <c r="DQN1" s="10"/>
      <c r="DQO1" s="10"/>
      <c r="DQP1" s="10"/>
      <c r="DQQ1" s="10"/>
      <c r="DQR1" s="10"/>
      <c r="DQS1" s="10"/>
      <c r="DQT1" s="10"/>
      <c r="DQU1" s="10"/>
      <c r="DQV1" s="10"/>
      <c r="DQW1" s="10"/>
      <c r="DQX1" s="10"/>
      <c r="DQY1" s="10"/>
      <c r="DQZ1" s="10"/>
      <c r="DRA1" s="10"/>
      <c r="DRB1" s="10"/>
      <c r="DRC1" s="10"/>
      <c r="DRD1" s="10"/>
      <c r="DRE1" s="10"/>
      <c r="DRF1" s="10"/>
      <c r="DRG1" s="10"/>
      <c r="DRH1" s="10"/>
      <c r="DRI1" s="10"/>
      <c r="DRJ1" s="10"/>
      <c r="DRK1" s="10"/>
      <c r="DRL1" s="10"/>
      <c r="DRM1" s="10"/>
      <c r="DRN1" s="10"/>
      <c r="DRO1" s="10"/>
      <c r="DRP1" s="10"/>
      <c r="DRQ1" s="10"/>
      <c r="DRR1" s="10"/>
      <c r="DRS1" s="10"/>
      <c r="DRT1" s="10"/>
      <c r="DRU1" s="10"/>
      <c r="DRV1" s="10"/>
      <c r="DRW1" s="10"/>
      <c r="DRX1" s="10"/>
      <c r="DRY1" s="10"/>
      <c r="DRZ1" s="10"/>
      <c r="DSA1" s="10"/>
      <c r="DSB1" s="10"/>
      <c r="DSC1" s="10"/>
      <c r="DSD1" s="10"/>
      <c r="DSE1" s="10"/>
      <c r="DSF1" s="10"/>
      <c r="DSG1" s="10"/>
      <c r="DSH1" s="10"/>
      <c r="DSI1" s="10"/>
      <c r="DSJ1" s="10"/>
      <c r="DSK1" s="10"/>
      <c r="DSL1" s="10"/>
      <c r="DSM1" s="10"/>
      <c r="DSN1" s="10"/>
      <c r="DSO1" s="10"/>
      <c r="DSP1" s="10"/>
      <c r="DSQ1" s="10"/>
      <c r="DSR1" s="10"/>
      <c r="DSS1" s="10"/>
      <c r="DST1" s="10"/>
      <c r="DSU1" s="10"/>
      <c r="DSV1" s="10"/>
      <c r="DSW1" s="10"/>
      <c r="DSX1" s="10"/>
      <c r="DSY1" s="10"/>
      <c r="DSZ1" s="10"/>
      <c r="DTA1" s="10"/>
      <c r="DTB1" s="10"/>
      <c r="DTC1" s="10"/>
      <c r="DTD1" s="10"/>
      <c r="DTE1" s="10"/>
      <c r="DTF1" s="10"/>
      <c r="DTG1" s="10"/>
      <c r="DTH1" s="10"/>
      <c r="DTI1" s="10"/>
      <c r="DTJ1" s="10"/>
      <c r="DTK1" s="10"/>
      <c r="DTL1" s="10"/>
      <c r="DTM1" s="10"/>
      <c r="DTN1" s="10"/>
      <c r="DTO1" s="10"/>
      <c r="DTP1" s="10"/>
      <c r="DTQ1" s="10"/>
      <c r="DTR1" s="10"/>
      <c r="DTS1" s="10"/>
      <c r="DTT1" s="10"/>
      <c r="DTU1" s="10"/>
      <c r="DTV1" s="10"/>
      <c r="DTW1" s="10"/>
      <c r="DTX1" s="10"/>
      <c r="DTY1" s="10"/>
      <c r="DTZ1" s="10"/>
      <c r="DUA1" s="10"/>
      <c r="DUB1" s="10"/>
      <c r="DUC1" s="10"/>
      <c r="DUD1" s="10"/>
      <c r="DUE1" s="10"/>
      <c r="DUF1" s="10"/>
      <c r="DUG1" s="10"/>
      <c r="DUH1" s="10"/>
      <c r="DUI1" s="10"/>
      <c r="DUJ1" s="10"/>
      <c r="DUK1" s="10"/>
      <c r="DUL1" s="10"/>
      <c r="DUM1" s="10"/>
      <c r="DUN1" s="10"/>
      <c r="DUO1" s="10"/>
      <c r="DUP1" s="10"/>
      <c r="DUQ1" s="10"/>
      <c r="DUR1" s="10"/>
      <c r="DUS1" s="10"/>
      <c r="DUT1" s="10"/>
      <c r="DUU1" s="10"/>
      <c r="DUV1" s="10"/>
      <c r="DUW1" s="10"/>
      <c r="DUX1" s="10"/>
      <c r="DUY1" s="10"/>
      <c r="DUZ1" s="10"/>
      <c r="DVA1" s="10"/>
      <c r="DVB1" s="10"/>
      <c r="DVC1" s="10"/>
      <c r="DVD1" s="10"/>
      <c r="DVE1" s="10"/>
      <c r="DVF1" s="10"/>
      <c r="DVG1" s="10"/>
      <c r="DVH1" s="10"/>
      <c r="DVI1" s="10"/>
      <c r="DVJ1" s="10"/>
      <c r="DVK1" s="10"/>
      <c r="DVL1" s="10"/>
      <c r="DVM1" s="10"/>
      <c r="DVN1" s="10"/>
      <c r="DVO1" s="10"/>
      <c r="DVP1" s="10"/>
      <c r="DVQ1" s="10"/>
      <c r="DVR1" s="10"/>
      <c r="DVS1" s="10"/>
      <c r="DVT1" s="10"/>
      <c r="DVU1" s="10"/>
      <c r="DVV1" s="10"/>
      <c r="DVW1" s="10"/>
      <c r="DVX1" s="10"/>
      <c r="DVY1" s="10"/>
      <c r="DVZ1" s="10"/>
      <c r="DWA1" s="10"/>
      <c r="DWB1" s="10"/>
      <c r="DWC1" s="10"/>
      <c r="DWD1" s="10"/>
      <c r="DWE1" s="10"/>
      <c r="DWF1" s="10"/>
      <c r="DWG1" s="10"/>
      <c r="DWH1" s="10"/>
      <c r="DWI1" s="10"/>
      <c r="DWJ1" s="10"/>
      <c r="DWK1" s="10"/>
      <c r="DWL1" s="10"/>
      <c r="DWM1" s="10"/>
      <c r="DWN1" s="10"/>
      <c r="DWO1" s="10"/>
      <c r="DWP1" s="10"/>
      <c r="DWQ1" s="10"/>
      <c r="DWR1" s="10"/>
      <c r="DWS1" s="10"/>
      <c r="DWT1" s="10"/>
      <c r="DWU1" s="10"/>
      <c r="DWV1" s="10"/>
      <c r="DWW1" s="10"/>
      <c r="DWX1" s="10"/>
      <c r="DWY1" s="10"/>
      <c r="DWZ1" s="10"/>
      <c r="DXA1" s="10"/>
      <c r="DXB1" s="10"/>
      <c r="DXC1" s="10"/>
      <c r="DXD1" s="10"/>
      <c r="DXE1" s="10"/>
      <c r="DXF1" s="10"/>
      <c r="DXG1" s="10"/>
      <c r="DXH1" s="10"/>
      <c r="DXI1" s="10"/>
      <c r="DXJ1" s="10"/>
      <c r="DXK1" s="10"/>
      <c r="DXL1" s="10"/>
      <c r="DXM1" s="10"/>
      <c r="DXN1" s="10"/>
      <c r="DXO1" s="10"/>
      <c r="DXP1" s="10"/>
      <c r="DXQ1" s="10"/>
      <c r="DXR1" s="10"/>
      <c r="DXS1" s="10"/>
      <c r="DXT1" s="10"/>
      <c r="DXU1" s="10"/>
      <c r="DXV1" s="10"/>
      <c r="DXW1" s="10"/>
      <c r="DXX1" s="10"/>
      <c r="DXY1" s="10"/>
      <c r="DXZ1" s="10"/>
      <c r="DYA1" s="10"/>
      <c r="DYB1" s="10"/>
      <c r="DYC1" s="10"/>
      <c r="DYD1" s="10"/>
      <c r="DYE1" s="10"/>
      <c r="DYF1" s="10"/>
      <c r="DYG1" s="10"/>
      <c r="DYH1" s="10"/>
      <c r="DYI1" s="10"/>
      <c r="DYJ1" s="10"/>
      <c r="DYK1" s="10"/>
      <c r="DYL1" s="10"/>
      <c r="DYM1" s="10"/>
      <c r="DYN1" s="10"/>
      <c r="DYO1" s="10"/>
      <c r="DYP1" s="10"/>
      <c r="DYQ1" s="10"/>
      <c r="DYR1" s="10"/>
      <c r="DYS1" s="10"/>
      <c r="DYT1" s="10"/>
      <c r="DYU1" s="10"/>
      <c r="DYV1" s="10"/>
      <c r="DYW1" s="10"/>
      <c r="DYX1" s="10"/>
      <c r="DYY1" s="10"/>
      <c r="DYZ1" s="10"/>
      <c r="DZA1" s="10"/>
      <c r="DZB1" s="10"/>
      <c r="DZC1" s="10"/>
      <c r="DZD1" s="10"/>
      <c r="DZE1" s="10"/>
      <c r="DZF1" s="10"/>
      <c r="DZG1" s="10"/>
      <c r="DZH1" s="10"/>
      <c r="DZI1" s="10"/>
      <c r="DZJ1" s="10"/>
      <c r="DZK1" s="10"/>
      <c r="DZL1" s="10"/>
      <c r="DZM1" s="10"/>
      <c r="DZN1" s="10"/>
      <c r="DZO1" s="10"/>
      <c r="DZP1" s="10"/>
      <c r="DZQ1" s="10"/>
      <c r="DZR1" s="10"/>
      <c r="DZS1" s="10"/>
      <c r="DZT1" s="10"/>
      <c r="DZU1" s="10"/>
      <c r="DZV1" s="10"/>
      <c r="DZW1" s="10"/>
      <c r="DZX1" s="10"/>
      <c r="DZY1" s="10"/>
      <c r="DZZ1" s="10"/>
      <c r="EAA1" s="10"/>
      <c r="EAB1" s="10"/>
      <c r="EAC1" s="10"/>
      <c r="EAD1" s="10"/>
      <c r="EAE1" s="10"/>
      <c r="EAF1" s="10"/>
      <c r="EAG1" s="10"/>
      <c r="EAH1" s="10"/>
      <c r="EAI1" s="10"/>
      <c r="EAJ1" s="10"/>
      <c r="EAK1" s="10"/>
      <c r="EAL1" s="10"/>
      <c r="EAM1" s="10"/>
      <c r="EAN1" s="10"/>
      <c r="EAO1" s="10"/>
      <c r="EAP1" s="10"/>
      <c r="EAQ1" s="10"/>
      <c r="EAR1" s="10"/>
      <c r="EAS1" s="10"/>
      <c r="EAT1" s="10"/>
      <c r="EAU1" s="10"/>
      <c r="EAV1" s="10"/>
      <c r="EAW1" s="10"/>
      <c r="EAX1" s="10"/>
      <c r="EAY1" s="10"/>
      <c r="EAZ1" s="10"/>
      <c r="EBA1" s="10"/>
      <c r="EBB1" s="10"/>
      <c r="EBC1" s="10"/>
      <c r="EBD1" s="10"/>
      <c r="EBE1" s="10"/>
      <c r="EBF1" s="10"/>
      <c r="EBG1" s="10"/>
      <c r="EBH1" s="10"/>
      <c r="EBI1" s="10"/>
      <c r="EBJ1" s="10"/>
      <c r="EBK1" s="10"/>
      <c r="EBL1" s="10"/>
      <c r="EBM1" s="10"/>
      <c r="EBN1" s="10"/>
      <c r="EBO1" s="10"/>
      <c r="EBP1" s="10"/>
      <c r="EBQ1" s="10"/>
      <c r="EBR1" s="10"/>
      <c r="EBS1" s="10"/>
      <c r="EBT1" s="10"/>
      <c r="EBU1" s="10"/>
      <c r="EBV1" s="10"/>
      <c r="EBW1" s="10"/>
      <c r="EBX1" s="10"/>
      <c r="EBY1" s="10"/>
      <c r="EBZ1" s="10"/>
      <c r="ECA1" s="10"/>
      <c r="ECB1" s="10"/>
      <c r="ECC1" s="10"/>
      <c r="ECD1" s="10"/>
      <c r="ECE1" s="10"/>
      <c r="ECF1" s="10"/>
      <c r="ECG1" s="10"/>
      <c r="ECH1" s="10"/>
      <c r="ECI1" s="10"/>
      <c r="ECJ1" s="10"/>
      <c r="ECK1" s="10"/>
      <c r="ECL1" s="10"/>
      <c r="ECM1" s="10"/>
      <c r="ECN1" s="10"/>
      <c r="ECO1" s="10"/>
      <c r="ECP1" s="10"/>
      <c r="ECQ1" s="10"/>
      <c r="ECR1" s="10"/>
      <c r="ECS1" s="10"/>
      <c r="ECT1" s="10"/>
      <c r="ECU1" s="10"/>
      <c r="ECV1" s="10"/>
      <c r="ECW1" s="10"/>
      <c r="ECX1" s="10"/>
      <c r="ECY1" s="10"/>
      <c r="ECZ1" s="10"/>
      <c r="EDA1" s="10"/>
      <c r="EDB1" s="10"/>
      <c r="EDC1" s="10"/>
      <c r="EDD1" s="10"/>
      <c r="EDE1" s="10"/>
      <c r="EDF1" s="10"/>
      <c r="EDG1" s="10"/>
      <c r="EDH1" s="10"/>
      <c r="EDI1" s="10"/>
      <c r="EDJ1" s="10"/>
      <c r="EDK1" s="10"/>
      <c r="EDL1" s="10"/>
      <c r="EDM1" s="10"/>
      <c r="EDN1" s="10"/>
      <c r="EDO1" s="10"/>
      <c r="EDP1" s="10"/>
      <c r="EDQ1" s="10"/>
      <c r="EDR1" s="10"/>
      <c r="EDS1" s="10"/>
      <c r="EDT1" s="10"/>
      <c r="EDU1" s="10"/>
      <c r="EDV1" s="10"/>
      <c r="EDW1" s="10"/>
      <c r="EDX1" s="10"/>
      <c r="EDY1" s="10"/>
      <c r="EDZ1" s="10"/>
      <c r="EEA1" s="10"/>
      <c r="EEB1" s="10"/>
      <c r="EEC1" s="10"/>
      <c r="EED1" s="10"/>
      <c r="EEE1" s="10"/>
      <c r="EEF1" s="10"/>
      <c r="EEG1" s="10"/>
      <c r="EEH1" s="10"/>
      <c r="EEI1" s="10"/>
      <c r="EEJ1" s="10"/>
      <c r="EEK1" s="10"/>
      <c r="EEL1" s="10"/>
      <c r="EEM1" s="10"/>
      <c r="EEN1" s="10"/>
      <c r="EEO1" s="10"/>
      <c r="EEP1" s="10"/>
      <c r="EEQ1" s="10"/>
      <c r="EER1" s="10"/>
      <c r="EES1" s="10"/>
      <c r="EET1" s="10"/>
      <c r="EEU1" s="10"/>
      <c r="EEV1" s="10"/>
      <c r="EEW1" s="10"/>
      <c r="EEX1" s="10"/>
      <c r="EEY1" s="10"/>
      <c r="EEZ1" s="10"/>
      <c r="EFA1" s="10"/>
      <c r="EFB1" s="10"/>
      <c r="EFC1" s="10"/>
      <c r="EFD1" s="10"/>
      <c r="EFE1" s="10"/>
      <c r="EFF1" s="10"/>
      <c r="EFG1" s="10"/>
      <c r="EFH1" s="10"/>
      <c r="EFI1" s="10"/>
      <c r="EFJ1" s="10"/>
      <c r="EFK1" s="10"/>
      <c r="EFL1" s="10"/>
      <c r="EFM1" s="10"/>
      <c r="EFN1" s="10"/>
      <c r="EFO1" s="10"/>
      <c r="EFP1" s="10"/>
      <c r="EFQ1" s="10"/>
      <c r="EFR1" s="10"/>
      <c r="EFS1" s="10"/>
      <c r="EFT1" s="10"/>
      <c r="EFU1" s="10"/>
      <c r="EFV1" s="10"/>
      <c r="EFW1" s="10"/>
      <c r="EFX1" s="10"/>
      <c r="EFY1" s="10"/>
      <c r="EFZ1" s="10"/>
      <c r="EGA1" s="10"/>
      <c r="EGB1" s="10"/>
      <c r="EGC1" s="10"/>
      <c r="EGD1" s="10"/>
      <c r="EGE1" s="10"/>
      <c r="EGF1" s="10"/>
      <c r="EGG1" s="10"/>
      <c r="EGH1" s="10"/>
      <c r="EGI1" s="10"/>
      <c r="EGJ1" s="10"/>
      <c r="EGK1" s="10"/>
      <c r="EGL1" s="10"/>
      <c r="EGM1" s="10"/>
      <c r="EGN1" s="10"/>
      <c r="EGO1" s="10"/>
      <c r="EGP1" s="10"/>
      <c r="EGQ1" s="10"/>
      <c r="EGR1" s="10"/>
      <c r="EGS1" s="10"/>
      <c r="EGT1" s="10"/>
      <c r="EGU1" s="10"/>
      <c r="EGV1" s="10"/>
      <c r="EGW1" s="10"/>
      <c r="EGX1" s="10"/>
      <c r="EGY1" s="10"/>
      <c r="EGZ1" s="10"/>
      <c r="EHA1" s="10"/>
      <c r="EHB1" s="10"/>
      <c r="EHC1" s="10"/>
      <c r="EHD1" s="10"/>
      <c r="EHE1" s="10"/>
      <c r="EHF1" s="10"/>
      <c r="EHG1" s="10"/>
      <c r="EHH1" s="10"/>
      <c r="EHI1" s="10"/>
      <c r="EHJ1" s="10"/>
      <c r="EHK1" s="10"/>
      <c r="EHL1" s="10"/>
      <c r="EHM1" s="10"/>
      <c r="EHN1" s="10"/>
      <c r="EHO1" s="10"/>
      <c r="EHP1" s="10"/>
      <c r="EHQ1" s="10"/>
      <c r="EHR1" s="10"/>
      <c r="EHS1" s="10"/>
      <c r="EHT1" s="10"/>
      <c r="EHU1" s="10"/>
      <c r="EHV1" s="10"/>
      <c r="EHW1" s="10"/>
      <c r="EHX1" s="10"/>
      <c r="EHY1" s="10"/>
      <c r="EHZ1" s="10"/>
      <c r="EIA1" s="10"/>
      <c r="EIB1" s="10"/>
      <c r="EIC1" s="10"/>
      <c r="EID1" s="10"/>
      <c r="EIE1" s="10"/>
      <c r="EIF1" s="10"/>
      <c r="EIG1" s="10"/>
      <c r="EIH1" s="10"/>
      <c r="EII1" s="10"/>
      <c r="EIJ1" s="10"/>
      <c r="EIK1" s="10"/>
      <c r="EIL1" s="10"/>
      <c r="EIM1" s="10"/>
      <c r="EIN1" s="10"/>
      <c r="EIO1" s="10"/>
      <c r="EIP1" s="10"/>
      <c r="EIQ1" s="10"/>
      <c r="EIR1" s="10"/>
      <c r="EIS1" s="10"/>
      <c r="EIT1" s="10"/>
      <c r="EIU1" s="10"/>
      <c r="EIV1" s="10"/>
      <c r="EIW1" s="10"/>
      <c r="EIX1" s="10"/>
      <c r="EIY1" s="10"/>
      <c r="EIZ1" s="10"/>
      <c r="EJA1" s="10"/>
      <c r="EJB1" s="10"/>
      <c r="EJC1" s="10"/>
      <c r="EJD1" s="10"/>
      <c r="EJE1" s="10"/>
      <c r="EJF1" s="10"/>
      <c r="EJG1" s="10"/>
      <c r="EJH1" s="10"/>
      <c r="EJI1" s="10"/>
      <c r="EJJ1" s="10"/>
      <c r="EJK1" s="10"/>
      <c r="EJL1" s="10"/>
      <c r="EJM1" s="10"/>
      <c r="EJN1" s="10"/>
      <c r="EJO1" s="10"/>
      <c r="EJP1" s="10"/>
      <c r="EJQ1" s="10"/>
      <c r="EJR1" s="10"/>
      <c r="EJS1" s="10"/>
      <c r="EJT1" s="10"/>
      <c r="EJU1" s="10"/>
      <c r="EJV1" s="10"/>
      <c r="EJW1" s="10"/>
      <c r="EJX1" s="10"/>
      <c r="EJY1" s="10"/>
      <c r="EJZ1" s="10"/>
      <c r="EKA1" s="10"/>
      <c r="EKB1" s="10"/>
      <c r="EKC1" s="10"/>
      <c r="EKD1" s="10"/>
      <c r="EKE1" s="10"/>
      <c r="EKF1" s="10"/>
      <c r="EKG1" s="10"/>
      <c r="EKH1" s="10"/>
      <c r="EKI1" s="10"/>
      <c r="EKJ1" s="10"/>
      <c r="EKK1" s="10"/>
      <c r="EKL1" s="10"/>
      <c r="EKM1" s="10"/>
      <c r="EKN1" s="10"/>
      <c r="EKO1" s="10"/>
      <c r="EKP1" s="10"/>
      <c r="EKQ1" s="10"/>
      <c r="EKR1" s="10"/>
      <c r="EKS1" s="10"/>
      <c r="EKT1" s="10"/>
      <c r="EKU1" s="10"/>
      <c r="EKV1" s="10"/>
      <c r="EKW1" s="10"/>
      <c r="EKX1" s="10"/>
      <c r="EKY1" s="10"/>
      <c r="EKZ1" s="10"/>
      <c r="ELA1" s="10"/>
      <c r="ELB1" s="10"/>
      <c r="ELC1" s="10"/>
      <c r="ELD1" s="10"/>
      <c r="ELE1" s="10"/>
      <c r="ELF1" s="10"/>
      <c r="ELG1" s="10"/>
      <c r="ELH1" s="10"/>
      <c r="ELI1" s="10"/>
      <c r="ELJ1" s="10"/>
      <c r="ELK1" s="10"/>
      <c r="ELL1" s="10"/>
      <c r="ELM1" s="10"/>
      <c r="ELN1" s="10"/>
      <c r="ELO1" s="10"/>
      <c r="ELP1" s="10"/>
      <c r="ELQ1" s="10"/>
      <c r="ELR1" s="10"/>
      <c r="ELS1" s="10"/>
      <c r="ELT1" s="10"/>
      <c r="ELU1" s="10"/>
      <c r="ELV1" s="10"/>
      <c r="ELW1" s="10"/>
      <c r="ELX1" s="10"/>
      <c r="ELY1" s="10"/>
      <c r="ELZ1" s="10"/>
      <c r="EMA1" s="10"/>
      <c r="EMB1" s="10"/>
      <c r="EMC1" s="10"/>
      <c r="EMD1" s="10"/>
      <c r="EME1" s="10"/>
      <c r="EMF1" s="10"/>
      <c r="EMG1" s="10"/>
      <c r="EMH1" s="10"/>
      <c r="EMI1" s="10"/>
      <c r="EMJ1" s="10"/>
      <c r="EMK1" s="10"/>
      <c r="EML1" s="10"/>
      <c r="EMM1" s="10"/>
      <c r="EMN1" s="10"/>
      <c r="EMO1" s="10"/>
      <c r="EMP1" s="10"/>
      <c r="EMQ1" s="10"/>
      <c r="EMR1" s="10"/>
      <c r="EMS1" s="10"/>
      <c r="EMT1" s="10"/>
      <c r="EMU1" s="10"/>
      <c r="EMV1" s="10"/>
      <c r="EMW1" s="10"/>
      <c r="EMX1" s="10"/>
      <c r="EMY1" s="10"/>
      <c r="EMZ1" s="10"/>
      <c r="ENA1" s="10"/>
      <c r="ENB1" s="10"/>
      <c r="ENC1" s="10"/>
      <c r="END1" s="10"/>
      <c r="ENE1" s="10"/>
      <c r="ENF1" s="10"/>
      <c r="ENG1" s="10"/>
      <c r="ENH1" s="10"/>
      <c r="ENI1" s="10"/>
      <c r="ENJ1" s="10"/>
      <c r="ENK1" s="10"/>
      <c r="ENL1" s="10"/>
      <c r="ENM1" s="10"/>
      <c r="ENN1" s="10"/>
      <c r="ENO1" s="10"/>
      <c r="ENP1" s="10"/>
      <c r="ENQ1" s="10"/>
      <c r="ENR1" s="10"/>
      <c r="ENS1" s="10"/>
      <c r="ENT1" s="10"/>
      <c r="ENU1" s="10"/>
      <c r="ENV1" s="10"/>
      <c r="ENW1" s="10"/>
      <c r="ENX1" s="10"/>
      <c r="ENY1" s="10"/>
      <c r="ENZ1" s="10"/>
      <c r="EOA1" s="10"/>
      <c r="EOB1" s="10"/>
      <c r="EOC1" s="10"/>
      <c r="EOD1" s="10"/>
      <c r="EOE1" s="10"/>
      <c r="EOF1" s="10"/>
      <c r="EOG1" s="10"/>
      <c r="EOH1" s="10"/>
      <c r="EOI1" s="10"/>
      <c r="EOJ1" s="10"/>
      <c r="EOK1" s="10"/>
      <c r="EOL1" s="10"/>
      <c r="EOM1" s="10"/>
      <c r="EON1" s="10"/>
      <c r="EOO1" s="10"/>
      <c r="EOP1" s="10"/>
      <c r="EOQ1" s="10"/>
      <c r="EOR1" s="10"/>
      <c r="EOS1" s="10"/>
      <c r="EOT1" s="10"/>
      <c r="EOU1" s="10"/>
      <c r="EOV1" s="10"/>
      <c r="EOW1" s="10"/>
      <c r="EOX1" s="10"/>
      <c r="EOY1" s="10"/>
      <c r="EOZ1" s="10"/>
      <c r="EPA1" s="10"/>
      <c r="EPB1" s="10"/>
      <c r="EPC1" s="10"/>
      <c r="EPD1" s="10"/>
      <c r="EPE1" s="10"/>
      <c r="EPF1" s="10"/>
      <c r="EPG1" s="10"/>
      <c r="EPH1" s="10"/>
      <c r="EPI1" s="10"/>
      <c r="EPJ1" s="10"/>
      <c r="EPK1" s="10"/>
      <c r="EPL1" s="10"/>
      <c r="EPM1" s="10"/>
      <c r="EPN1" s="10"/>
      <c r="EPO1" s="10"/>
      <c r="EPP1" s="10"/>
      <c r="EPQ1" s="10"/>
      <c r="EPR1" s="10"/>
      <c r="EPS1" s="10"/>
      <c r="EPT1" s="10"/>
      <c r="EPU1" s="10"/>
      <c r="EPV1" s="10"/>
      <c r="EPW1" s="10"/>
      <c r="EPX1" s="10"/>
      <c r="EPY1" s="10"/>
      <c r="EPZ1" s="10"/>
      <c r="EQA1" s="10"/>
      <c r="EQB1" s="10"/>
      <c r="EQC1" s="10"/>
      <c r="EQD1" s="10"/>
      <c r="EQE1" s="10"/>
      <c r="EQF1" s="10"/>
      <c r="EQG1" s="10"/>
      <c r="EQH1" s="10"/>
      <c r="EQI1" s="10"/>
      <c r="EQJ1" s="10"/>
      <c r="EQK1" s="10"/>
      <c r="EQL1" s="10"/>
      <c r="EQM1" s="10"/>
      <c r="EQN1" s="10"/>
      <c r="EQO1" s="10"/>
      <c r="EQP1" s="10"/>
      <c r="EQQ1" s="10"/>
      <c r="EQR1" s="10"/>
      <c r="EQS1" s="10"/>
      <c r="EQT1" s="10"/>
      <c r="EQU1" s="10"/>
      <c r="EQV1" s="10"/>
      <c r="EQW1" s="10"/>
      <c r="EQX1" s="10"/>
      <c r="EQY1" s="10"/>
      <c r="EQZ1" s="10"/>
      <c r="ERA1" s="10"/>
      <c r="ERB1" s="10"/>
      <c r="ERC1" s="10"/>
      <c r="ERD1" s="10"/>
      <c r="ERE1" s="10"/>
      <c r="ERF1" s="10"/>
      <c r="ERG1" s="10"/>
      <c r="ERH1" s="10"/>
      <c r="ERI1" s="10"/>
      <c r="ERJ1" s="10"/>
      <c r="ERK1" s="10"/>
      <c r="ERL1" s="10"/>
      <c r="ERM1" s="10"/>
      <c r="ERN1" s="10"/>
      <c r="ERO1" s="10"/>
      <c r="ERP1" s="10"/>
      <c r="ERQ1" s="10"/>
      <c r="ERR1" s="10"/>
      <c r="ERS1" s="10"/>
      <c r="ERT1" s="10"/>
      <c r="ERU1" s="10"/>
      <c r="ERV1" s="10"/>
      <c r="ERW1" s="10"/>
      <c r="ERX1" s="10"/>
      <c r="ERY1" s="10"/>
      <c r="ERZ1" s="10"/>
      <c r="ESA1" s="10"/>
      <c r="ESB1" s="10"/>
      <c r="ESC1" s="10"/>
      <c r="ESD1" s="10"/>
      <c r="ESE1" s="10"/>
      <c r="ESF1" s="10"/>
      <c r="ESG1" s="10"/>
      <c r="ESH1" s="10"/>
      <c r="ESI1" s="10"/>
      <c r="ESJ1" s="10"/>
      <c r="ESK1" s="10"/>
      <c r="ESL1" s="10"/>
      <c r="ESM1" s="10"/>
      <c r="ESN1" s="10"/>
      <c r="ESO1" s="10"/>
      <c r="ESP1" s="10"/>
      <c r="ESQ1" s="10"/>
      <c r="ESR1" s="10"/>
      <c r="ESS1" s="10"/>
      <c r="EST1" s="10"/>
      <c r="ESU1" s="10"/>
      <c r="ESV1" s="10"/>
      <c r="ESW1" s="10"/>
      <c r="ESX1" s="10"/>
      <c r="ESY1" s="10"/>
      <c r="ESZ1" s="10"/>
      <c r="ETA1" s="10"/>
      <c r="ETB1" s="10"/>
      <c r="ETC1" s="10"/>
      <c r="ETD1" s="10"/>
      <c r="ETE1" s="10"/>
      <c r="ETF1" s="10"/>
      <c r="ETG1" s="10"/>
      <c r="ETH1" s="10"/>
      <c r="ETI1" s="10"/>
      <c r="ETJ1" s="10"/>
      <c r="ETK1" s="10"/>
      <c r="ETL1" s="10"/>
      <c r="ETM1" s="10"/>
      <c r="ETN1" s="10"/>
      <c r="ETO1" s="10"/>
      <c r="ETP1" s="10"/>
      <c r="ETQ1" s="10"/>
      <c r="ETR1" s="10"/>
      <c r="ETS1" s="10"/>
      <c r="ETT1" s="10"/>
      <c r="ETU1" s="10"/>
      <c r="ETV1" s="10"/>
      <c r="ETW1" s="10"/>
      <c r="ETX1" s="10"/>
      <c r="ETY1" s="10"/>
      <c r="ETZ1" s="10"/>
      <c r="EUA1" s="10"/>
      <c r="EUB1" s="10"/>
      <c r="EUC1" s="10"/>
      <c r="EUD1" s="10"/>
      <c r="EUE1" s="10"/>
      <c r="EUF1" s="10"/>
      <c r="EUG1" s="10"/>
      <c r="EUH1" s="10"/>
      <c r="EUI1" s="10"/>
      <c r="EUJ1" s="10"/>
      <c r="EUK1" s="10"/>
      <c r="EUL1" s="10"/>
      <c r="EUM1" s="10"/>
      <c r="EUN1" s="10"/>
      <c r="EUO1" s="10"/>
      <c r="EUP1" s="10"/>
      <c r="EUQ1" s="10"/>
      <c r="EUR1" s="10"/>
      <c r="EUS1" s="10"/>
      <c r="EUT1" s="10"/>
      <c r="EUU1" s="10"/>
      <c r="EUV1" s="10"/>
      <c r="EUW1" s="10"/>
      <c r="EUX1" s="10"/>
      <c r="EUY1" s="10"/>
      <c r="EUZ1" s="10"/>
      <c r="EVA1" s="10"/>
      <c r="EVB1" s="10"/>
      <c r="EVC1" s="10"/>
      <c r="EVD1" s="10"/>
      <c r="EVE1" s="10"/>
      <c r="EVF1" s="10"/>
      <c r="EVG1" s="10"/>
      <c r="EVH1" s="10"/>
      <c r="EVI1" s="10"/>
      <c r="EVJ1" s="10"/>
      <c r="EVK1" s="10"/>
      <c r="EVL1" s="10"/>
      <c r="EVM1" s="10"/>
      <c r="EVN1" s="10"/>
      <c r="EVO1" s="10"/>
      <c r="EVP1" s="10"/>
      <c r="EVQ1" s="10"/>
      <c r="EVR1" s="10"/>
      <c r="EVS1" s="10"/>
      <c r="EVT1" s="10"/>
      <c r="EVU1" s="10"/>
      <c r="EVV1" s="10"/>
      <c r="EVW1" s="10"/>
      <c r="EVX1" s="10"/>
      <c r="EVY1" s="10"/>
      <c r="EVZ1" s="10"/>
      <c r="EWA1" s="10"/>
      <c r="EWB1" s="10"/>
      <c r="EWC1" s="10"/>
      <c r="EWD1" s="10"/>
      <c r="EWE1" s="10"/>
      <c r="EWF1" s="10"/>
      <c r="EWG1" s="10"/>
      <c r="EWH1" s="10"/>
      <c r="EWI1" s="10"/>
      <c r="EWJ1" s="10"/>
      <c r="EWK1" s="10"/>
      <c r="EWL1" s="10"/>
      <c r="EWM1" s="10"/>
      <c r="EWN1" s="10"/>
      <c r="EWO1" s="10"/>
      <c r="EWP1" s="10"/>
      <c r="EWQ1" s="10"/>
      <c r="EWR1" s="10"/>
      <c r="EWS1" s="10"/>
      <c r="EWT1" s="10"/>
      <c r="EWU1" s="10"/>
      <c r="EWV1" s="10"/>
      <c r="EWW1" s="10"/>
      <c r="EWX1" s="10"/>
      <c r="EWY1" s="10"/>
      <c r="EWZ1" s="10"/>
      <c r="EXA1" s="10"/>
      <c r="EXB1" s="10"/>
      <c r="EXC1" s="10"/>
      <c r="EXD1" s="10"/>
      <c r="EXE1" s="10"/>
      <c r="EXF1" s="10"/>
      <c r="EXG1" s="10"/>
      <c r="EXH1" s="10"/>
      <c r="EXI1" s="10"/>
      <c r="EXJ1" s="10"/>
      <c r="EXK1" s="10"/>
      <c r="EXL1" s="10"/>
      <c r="EXM1" s="10"/>
      <c r="EXN1" s="10"/>
      <c r="EXO1" s="10"/>
      <c r="EXP1" s="10"/>
      <c r="EXQ1" s="10"/>
      <c r="EXR1" s="10"/>
      <c r="EXS1" s="10"/>
      <c r="EXT1" s="10"/>
      <c r="EXU1" s="10"/>
      <c r="EXV1" s="10"/>
      <c r="EXW1" s="10"/>
      <c r="EXX1" s="10"/>
      <c r="EXY1" s="10"/>
      <c r="EXZ1" s="10"/>
      <c r="EYA1" s="10"/>
      <c r="EYB1" s="10"/>
      <c r="EYC1" s="10"/>
      <c r="EYD1" s="10"/>
      <c r="EYE1" s="10"/>
      <c r="EYF1" s="10"/>
      <c r="EYG1" s="10"/>
      <c r="EYH1" s="10"/>
      <c r="EYI1" s="10"/>
      <c r="EYJ1" s="10"/>
      <c r="EYK1" s="10"/>
      <c r="EYL1" s="10"/>
      <c r="EYM1" s="10"/>
      <c r="EYN1" s="10"/>
      <c r="EYO1" s="10"/>
      <c r="EYP1" s="10"/>
      <c r="EYQ1" s="10"/>
      <c r="EYR1" s="10"/>
      <c r="EYS1" s="10"/>
      <c r="EYT1" s="10"/>
      <c r="EYU1" s="10"/>
      <c r="EYV1" s="10"/>
      <c r="EYW1" s="10"/>
      <c r="EYX1" s="10"/>
      <c r="EYY1" s="10"/>
      <c r="EYZ1" s="10"/>
      <c r="EZA1" s="10"/>
      <c r="EZB1" s="10"/>
      <c r="EZC1" s="10"/>
      <c r="EZD1" s="10"/>
      <c r="EZE1" s="10"/>
      <c r="EZF1" s="10"/>
      <c r="EZG1" s="10"/>
      <c r="EZH1" s="10"/>
      <c r="EZI1" s="10"/>
      <c r="EZJ1" s="10"/>
      <c r="EZK1" s="10"/>
      <c r="EZL1" s="10"/>
      <c r="EZM1" s="10"/>
      <c r="EZN1" s="10"/>
      <c r="EZO1" s="10"/>
      <c r="EZP1" s="10"/>
      <c r="EZQ1" s="10"/>
      <c r="EZR1" s="10"/>
      <c r="EZS1" s="10"/>
      <c r="EZT1" s="10"/>
      <c r="EZU1" s="10"/>
      <c r="EZV1" s="10"/>
      <c r="EZW1" s="10"/>
      <c r="EZX1" s="10"/>
      <c r="EZY1" s="10"/>
      <c r="EZZ1" s="10"/>
      <c r="FAA1" s="10"/>
      <c r="FAB1" s="10"/>
      <c r="FAC1" s="10"/>
      <c r="FAD1" s="10"/>
      <c r="FAE1" s="10"/>
      <c r="FAF1" s="10"/>
      <c r="FAG1" s="10"/>
      <c r="FAH1" s="10"/>
      <c r="FAI1" s="10"/>
      <c r="FAJ1" s="10"/>
      <c r="FAK1" s="10"/>
      <c r="FAL1" s="10"/>
      <c r="FAM1" s="10"/>
      <c r="FAN1" s="10"/>
      <c r="FAO1" s="10"/>
      <c r="FAP1" s="10"/>
      <c r="FAQ1" s="10"/>
      <c r="FAR1" s="10"/>
      <c r="FAS1" s="10"/>
      <c r="FAT1" s="10"/>
      <c r="FAU1" s="10"/>
      <c r="FAV1" s="10"/>
      <c r="FAW1" s="10"/>
      <c r="FAX1" s="10"/>
      <c r="FAY1" s="10"/>
      <c r="FAZ1" s="10"/>
      <c r="FBA1" s="10"/>
      <c r="FBB1" s="10"/>
      <c r="FBC1" s="10"/>
      <c r="FBD1" s="10"/>
      <c r="FBE1" s="10"/>
      <c r="FBF1" s="10"/>
      <c r="FBG1" s="10"/>
      <c r="FBH1" s="10"/>
      <c r="FBI1" s="10"/>
      <c r="FBJ1" s="10"/>
      <c r="FBK1" s="10"/>
      <c r="FBL1" s="10"/>
      <c r="FBM1" s="10"/>
      <c r="FBN1" s="10"/>
      <c r="FBO1" s="10"/>
      <c r="FBP1" s="10"/>
      <c r="FBQ1" s="10"/>
      <c r="FBR1" s="10"/>
      <c r="FBS1" s="10"/>
      <c r="FBT1" s="10"/>
      <c r="FBU1" s="10"/>
      <c r="FBV1" s="10"/>
      <c r="FBW1" s="10"/>
      <c r="FBX1" s="10"/>
      <c r="FBY1" s="10"/>
      <c r="FBZ1" s="10"/>
      <c r="FCA1" s="10"/>
      <c r="FCB1" s="10"/>
      <c r="FCC1" s="10"/>
      <c r="FCD1" s="10"/>
      <c r="FCE1" s="10"/>
      <c r="FCF1" s="10"/>
      <c r="FCG1" s="10"/>
      <c r="FCH1" s="10"/>
      <c r="FCI1" s="10"/>
      <c r="FCJ1" s="10"/>
      <c r="FCK1" s="10"/>
      <c r="FCL1" s="10"/>
      <c r="FCM1" s="10"/>
      <c r="FCN1" s="10"/>
      <c r="FCO1" s="10"/>
      <c r="FCP1" s="10"/>
      <c r="FCQ1" s="10"/>
      <c r="FCR1" s="10"/>
      <c r="FCS1" s="10"/>
      <c r="FCT1" s="10"/>
      <c r="FCU1" s="10"/>
      <c r="FCV1" s="10"/>
      <c r="FCW1" s="10"/>
      <c r="FCX1" s="10"/>
      <c r="FCY1" s="10"/>
      <c r="FCZ1" s="10"/>
      <c r="FDA1" s="10"/>
      <c r="FDB1" s="10"/>
      <c r="FDC1" s="10"/>
      <c r="FDD1" s="10"/>
      <c r="FDE1" s="10"/>
      <c r="FDF1" s="10"/>
      <c r="FDG1" s="10"/>
      <c r="FDH1" s="10"/>
      <c r="FDI1" s="10"/>
      <c r="FDJ1" s="10"/>
      <c r="FDK1" s="10"/>
      <c r="FDL1" s="10"/>
      <c r="FDM1" s="10"/>
      <c r="FDN1" s="10"/>
      <c r="FDO1" s="10"/>
      <c r="FDP1" s="10"/>
      <c r="FDQ1" s="10"/>
      <c r="FDR1" s="10"/>
      <c r="FDS1" s="10"/>
      <c r="FDT1" s="10"/>
      <c r="FDU1" s="10"/>
      <c r="FDV1" s="10"/>
      <c r="FDW1" s="10"/>
      <c r="FDX1" s="10"/>
      <c r="FDY1" s="10"/>
      <c r="FDZ1" s="10"/>
      <c r="FEA1" s="10"/>
      <c r="FEB1" s="10"/>
      <c r="FEC1" s="10"/>
      <c r="FED1" s="10"/>
      <c r="FEE1" s="10"/>
      <c r="FEF1" s="10"/>
      <c r="FEG1" s="10"/>
      <c r="FEH1" s="10"/>
      <c r="FEI1" s="10"/>
      <c r="FEJ1" s="10"/>
      <c r="FEK1" s="10"/>
      <c r="FEL1" s="10"/>
      <c r="FEM1" s="10"/>
      <c r="FEN1" s="10"/>
      <c r="FEO1" s="10"/>
      <c r="FEP1" s="10"/>
      <c r="FEQ1" s="10"/>
      <c r="FER1" s="10"/>
      <c r="FES1" s="10"/>
      <c r="FET1" s="10"/>
      <c r="FEU1" s="10"/>
      <c r="FEV1" s="10"/>
      <c r="FEW1" s="10"/>
      <c r="FEX1" s="10"/>
      <c r="FEY1" s="10"/>
      <c r="FEZ1" s="10"/>
      <c r="FFA1" s="10"/>
      <c r="FFB1" s="10"/>
      <c r="FFC1" s="10"/>
      <c r="FFD1" s="10"/>
      <c r="FFE1" s="10"/>
      <c r="FFF1" s="10"/>
      <c r="FFG1" s="10"/>
      <c r="FFH1" s="10"/>
      <c r="FFI1" s="10"/>
      <c r="FFJ1" s="10"/>
      <c r="FFK1" s="10"/>
      <c r="FFL1" s="10"/>
      <c r="FFM1" s="10"/>
      <c r="FFN1" s="10"/>
      <c r="FFO1" s="10"/>
      <c r="FFP1" s="10"/>
      <c r="FFQ1" s="10"/>
      <c r="FFR1" s="10"/>
      <c r="FFS1" s="10"/>
      <c r="FFT1" s="10"/>
      <c r="FFU1" s="10"/>
      <c r="FFV1" s="10"/>
      <c r="FFW1" s="10"/>
      <c r="FFX1" s="10"/>
      <c r="FFY1" s="10"/>
      <c r="FFZ1" s="10"/>
      <c r="FGA1" s="10"/>
      <c r="FGB1" s="10"/>
      <c r="FGC1" s="10"/>
      <c r="FGD1" s="10"/>
      <c r="FGE1" s="10"/>
      <c r="FGF1" s="10"/>
      <c r="FGG1" s="10"/>
      <c r="FGH1" s="10"/>
      <c r="FGI1" s="10"/>
      <c r="FGJ1" s="10"/>
      <c r="FGK1" s="10"/>
      <c r="FGL1" s="10"/>
      <c r="FGM1" s="10"/>
      <c r="FGN1" s="10"/>
      <c r="FGO1" s="10"/>
      <c r="FGP1" s="10"/>
      <c r="FGQ1" s="10"/>
      <c r="FGR1" s="10"/>
      <c r="FGS1" s="10"/>
      <c r="FGT1" s="10"/>
      <c r="FGU1" s="10"/>
      <c r="FGV1" s="10"/>
      <c r="FGW1" s="10"/>
      <c r="FGX1" s="10"/>
      <c r="FGY1" s="10"/>
      <c r="FGZ1" s="10"/>
      <c r="FHA1" s="10"/>
      <c r="FHB1" s="10"/>
      <c r="FHC1" s="10"/>
      <c r="FHD1" s="10"/>
      <c r="FHE1" s="10"/>
      <c r="FHF1" s="10"/>
      <c r="FHG1" s="10"/>
      <c r="FHH1" s="10"/>
      <c r="FHI1" s="10"/>
      <c r="FHJ1" s="10"/>
      <c r="FHK1" s="10"/>
      <c r="FHL1" s="10"/>
      <c r="FHM1" s="10"/>
      <c r="FHN1" s="10"/>
      <c r="FHO1" s="10"/>
      <c r="FHP1" s="10"/>
      <c r="FHQ1" s="10"/>
      <c r="FHR1" s="10"/>
      <c r="FHS1" s="10"/>
      <c r="FHT1" s="10"/>
      <c r="FHU1" s="10"/>
      <c r="FHV1" s="10"/>
      <c r="FHW1" s="10"/>
      <c r="FHX1" s="10"/>
      <c r="FHY1" s="10"/>
      <c r="FHZ1" s="10"/>
      <c r="FIA1" s="10"/>
      <c r="FIB1" s="10"/>
      <c r="FIC1" s="10"/>
      <c r="FID1" s="10"/>
      <c r="FIE1" s="10"/>
      <c r="FIF1" s="10"/>
      <c r="FIG1" s="10"/>
      <c r="FIH1" s="10"/>
      <c r="FII1" s="10"/>
      <c r="FIJ1" s="10"/>
      <c r="FIK1" s="10"/>
      <c r="FIL1" s="10"/>
      <c r="FIM1" s="10"/>
      <c r="FIN1" s="10"/>
      <c r="FIO1" s="10"/>
      <c r="FIP1" s="10"/>
      <c r="FIQ1" s="10"/>
      <c r="FIR1" s="10"/>
      <c r="FIS1" s="10"/>
      <c r="FIT1" s="10"/>
      <c r="FIU1" s="10"/>
      <c r="FIV1" s="10"/>
      <c r="FIW1" s="10"/>
      <c r="FIX1" s="10"/>
      <c r="FIY1" s="10"/>
      <c r="FIZ1" s="10"/>
      <c r="FJA1" s="10"/>
      <c r="FJB1" s="10"/>
      <c r="FJC1" s="10"/>
      <c r="FJD1" s="10"/>
      <c r="FJE1" s="10"/>
      <c r="FJF1" s="10"/>
      <c r="FJG1" s="10"/>
      <c r="FJH1" s="10"/>
      <c r="FJI1" s="10"/>
      <c r="FJJ1" s="10"/>
      <c r="FJK1" s="10"/>
      <c r="FJL1" s="10"/>
      <c r="FJM1" s="10"/>
      <c r="FJN1" s="10"/>
      <c r="FJO1" s="10"/>
      <c r="FJP1" s="10"/>
      <c r="FJQ1" s="10"/>
      <c r="FJR1" s="10"/>
      <c r="FJS1" s="10"/>
      <c r="FJT1" s="10"/>
      <c r="FJU1" s="10"/>
      <c r="FJV1" s="10"/>
      <c r="FJW1" s="10"/>
      <c r="FJX1" s="10"/>
      <c r="FJY1" s="10"/>
      <c r="FJZ1" s="10"/>
      <c r="FKA1" s="10"/>
      <c r="FKB1" s="10"/>
      <c r="FKC1" s="10"/>
      <c r="FKD1" s="10"/>
      <c r="FKE1" s="10"/>
      <c r="FKF1" s="10"/>
      <c r="FKG1" s="10"/>
      <c r="FKH1" s="10"/>
      <c r="FKI1" s="10"/>
      <c r="FKJ1" s="10"/>
      <c r="FKK1" s="10"/>
      <c r="FKL1" s="10"/>
      <c r="FKM1" s="10"/>
      <c r="FKN1" s="10"/>
      <c r="FKO1" s="10"/>
      <c r="FKP1" s="10"/>
      <c r="FKQ1" s="10"/>
      <c r="FKR1" s="10"/>
      <c r="FKS1" s="10"/>
      <c r="FKT1" s="10"/>
      <c r="FKU1" s="10"/>
      <c r="FKV1" s="10"/>
      <c r="FKW1" s="10"/>
      <c r="FKX1" s="10"/>
      <c r="FKY1" s="10"/>
      <c r="FKZ1" s="10"/>
      <c r="FLA1" s="10"/>
      <c r="FLB1" s="10"/>
      <c r="FLC1" s="10"/>
      <c r="FLD1" s="10"/>
      <c r="FLE1" s="10"/>
      <c r="FLF1" s="10"/>
      <c r="FLG1" s="10"/>
      <c r="FLH1" s="10"/>
      <c r="FLI1" s="10"/>
      <c r="FLJ1" s="10"/>
      <c r="FLK1" s="10"/>
      <c r="FLL1" s="10"/>
      <c r="FLM1" s="10"/>
      <c r="FLN1" s="10"/>
      <c r="FLO1" s="10"/>
      <c r="FLP1" s="10"/>
      <c r="FLQ1" s="10"/>
      <c r="FLR1" s="10"/>
      <c r="FLS1" s="10"/>
      <c r="FLT1" s="10"/>
      <c r="FLU1" s="10"/>
      <c r="FLV1" s="10"/>
      <c r="FLW1" s="10"/>
      <c r="FLX1" s="10"/>
      <c r="FLY1" s="10"/>
      <c r="FLZ1" s="10"/>
      <c r="FMA1" s="10"/>
      <c r="FMB1" s="10"/>
      <c r="FMC1" s="10"/>
      <c r="FMD1" s="10"/>
      <c r="FME1" s="10"/>
      <c r="FMF1" s="10"/>
      <c r="FMG1" s="10"/>
      <c r="FMH1" s="10"/>
      <c r="FMI1" s="10"/>
      <c r="FMJ1" s="10"/>
      <c r="FMK1" s="10"/>
      <c r="FML1" s="10"/>
      <c r="FMM1" s="10"/>
      <c r="FMN1" s="10"/>
      <c r="FMO1" s="10"/>
      <c r="FMP1" s="10"/>
      <c r="FMQ1" s="10"/>
      <c r="FMR1" s="10"/>
      <c r="FMS1" s="10"/>
      <c r="FMT1" s="10"/>
      <c r="FMU1" s="10"/>
      <c r="FMV1" s="10"/>
      <c r="FMW1" s="10"/>
      <c r="FMX1" s="10"/>
      <c r="FMY1" s="10"/>
      <c r="FMZ1" s="10"/>
      <c r="FNA1" s="10"/>
      <c r="FNB1" s="10"/>
      <c r="FNC1" s="10"/>
      <c r="FND1" s="10"/>
      <c r="FNE1" s="10"/>
      <c r="FNF1" s="10"/>
      <c r="FNG1" s="10"/>
      <c r="FNH1" s="10"/>
      <c r="FNI1" s="10"/>
      <c r="FNJ1" s="10"/>
      <c r="FNK1" s="10"/>
      <c r="FNL1" s="10"/>
      <c r="FNM1" s="10"/>
      <c r="FNN1" s="10"/>
      <c r="FNO1" s="10"/>
      <c r="FNP1" s="10"/>
      <c r="FNQ1" s="10"/>
      <c r="FNR1" s="10"/>
      <c r="FNS1" s="10"/>
      <c r="FNT1" s="10"/>
      <c r="FNU1" s="10"/>
      <c r="FNV1" s="10"/>
      <c r="FNW1" s="10"/>
      <c r="FNX1" s="10"/>
      <c r="FNY1" s="10"/>
      <c r="FNZ1" s="10"/>
      <c r="FOA1" s="10"/>
      <c r="FOB1" s="10"/>
      <c r="FOC1" s="10"/>
      <c r="FOD1" s="10"/>
      <c r="FOE1" s="10"/>
      <c r="FOF1" s="10"/>
      <c r="FOG1" s="10"/>
      <c r="FOH1" s="10"/>
      <c r="FOI1" s="10"/>
      <c r="FOJ1" s="10"/>
      <c r="FOK1" s="10"/>
      <c r="FOL1" s="10"/>
      <c r="FOM1" s="10"/>
      <c r="FON1" s="10"/>
      <c r="FOO1" s="10"/>
      <c r="FOP1" s="10"/>
      <c r="FOQ1" s="10"/>
      <c r="FOR1" s="10"/>
      <c r="FOS1" s="10"/>
      <c r="FOT1" s="10"/>
      <c r="FOU1" s="10"/>
      <c r="FOV1" s="10"/>
      <c r="FOW1" s="10"/>
      <c r="FOX1" s="10"/>
      <c r="FOY1" s="10"/>
      <c r="FOZ1" s="10"/>
      <c r="FPA1" s="10"/>
      <c r="FPB1" s="10"/>
      <c r="FPC1" s="10"/>
      <c r="FPD1" s="10"/>
      <c r="FPE1" s="10"/>
      <c r="FPF1" s="10"/>
      <c r="FPG1" s="10"/>
      <c r="FPH1" s="10"/>
      <c r="FPI1" s="10"/>
      <c r="FPJ1" s="10"/>
      <c r="FPK1" s="10"/>
      <c r="FPL1" s="10"/>
      <c r="FPM1" s="10"/>
      <c r="FPN1" s="10"/>
      <c r="FPO1" s="10"/>
      <c r="FPP1" s="10"/>
      <c r="FPQ1" s="10"/>
      <c r="FPR1" s="10"/>
      <c r="FPS1" s="10"/>
      <c r="FPT1" s="10"/>
      <c r="FPU1" s="10"/>
      <c r="FPV1" s="10"/>
      <c r="FPW1" s="10"/>
      <c r="FPX1" s="10"/>
      <c r="FPY1" s="10"/>
      <c r="FPZ1" s="10"/>
      <c r="FQA1" s="10"/>
      <c r="FQB1" s="10"/>
      <c r="FQC1" s="10"/>
      <c r="FQD1" s="10"/>
      <c r="FQE1" s="10"/>
      <c r="FQF1" s="10"/>
      <c r="FQG1" s="10"/>
      <c r="FQH1" s="10"/>
      <c r="FQI1" s="10"/>
      <c r="FQJ1" s="10"/>
      <c r="FQK1" s="10"/>
      <c r="FQL1" s="10"/>
      <c r="FQM1" s="10"/>
      <c r="FQN1" s="10"/>
      <c r="FQO1" s="10"/>
      <c r="FQP1" s="10"/>
      <c r="FQQ1" s="10"/>
      <c r="FQR1" s="10"/>
      <c r="FQS1" s="10"/>
      <c r="FQT1" s="10"/>
      <c r="FQU1" s="10"/>
      <c r="FQV1" s="10"/>
      <c r="FQW1" s="10"/>
      <c r="FQX1" s="10"/>
      <c r="FQY1" s="10"/>
      <c r="FQZ1" s="10"/>
      <c r="FRA1" s="10"/>
      <c r="FRB1" s="10"/>
      <c r="FRC1" s="10"/>
      <c r="FRD1" s="10"/>
      <c r="FRE1" s="10"/>
      <c r="FRF1" s="10"/>
      <c r="FRG1" s="10"/>
      <c r="FRH1" s="10"/>
      <c r="FRI1" s="10"/>
      <c r="FRJ1" s="10"/>
      <c r="FRK1" s="10"/>
      <c r="FRL1" s="10"/>
      <c r="FRM1" s="10"/>
      <c r="FRN1" s="10"/>
      <c r="FRO1" s="10"/>
      <c r="FRP1" s="10"/>
      <c r="FRQ1" s="10"/>
      <c r="FRR1" s="10"/>
      <c r="FRS1" s="10"/>
      <c r="FRT1" s="10"/>
      <c r="FRU1" s="10"/>
      <c r="FRV1" s="10"/>
      <c r="FRW1" s="10"/>
      <c r="FRX1" s="10"/>
      <c r="FRY1" s="10"/>
      <c r="FRZ1" s="10"/>
      <c r="FSA1" s="10"/>
      <c r="FSB1" s="10"/>
      <c r="FSC1" s="10"/>
      <c r="FSD1" s="10"/>
      <c r="FSE1" s="10"/>
      <c r="FSF1" s="10"/>
      <c r="FSG1" s="10"/>
      <c r="FSH1" s="10"/>
      <c r="FSI1" s="10"/>
      <c r="FSJ1" s="10"/>
      <c r="FSK1" s="10"/>
      <c r="FSL1" s="10"/>
      <c r="FSM1" s="10"/>
      <c r="FSN1" s="10"/>
      <c r="FSO1" s="10"/>
      <c r="FSP1" s="10"/>
      <c r="FSQ1" s="10"/>
      <c r="FSR1" s="10"/>
      <c r="FSS1" s="10"/>
      <c r="FST1" s="10"/>
      <c r="FSU1" s="10"/>
      <c r="FSV1" s="10"/>
      <c r="FSW1" s="10"/>
      <c r="FSX1" s="10"/>
      <c r="FSY1" s="10"/>
      <c r="FSZ1" s="10"/>
      <c r="FTA1" s="10"/>
      <c r="FTB1" s="10"/>
      <c r="FTC1" s="10"/>
      <c r="FTD1" s="10"/>
      <c r="FTE1" s="10"/>
      <c r="FTF1" s="10"/>
      <c r="FTG1" s="10"/>
      <c r="FTH1" s="10"/>
      <c r="FTI1" s="10"/>
      <c r="FTJ1" s="10"/>
      <c r="FTK1" s="10"/>
      <c r="FTL1" s="10"/>
      <c r="FTM1" s="10"/>
      <c r="FTN1" s="10"/>
      <c r="FTO1" s="10"/>
      <c r="FTP1" s="10"/>
      <c r="FTQ1" s="10"/>
      <c r="FTR1" s="10"/>
      <c r="FTS1" s="10"/>
      <c r="FTT1" s="10"/>
      <c r="FTU1" s="10"/>
      <c r="FTV1" s="10"/>
      <c r="FTW1" s="10"/>
      <c r="FTX1" s="10"/>
      <c r="FTY1" s="10"/>
      <c r="FTZ1" s="10"/>
      <c r="FUA1" s="10"/>
      <c r="FUB1" s="10"/>
      <c r="FUC1" s="10"/>
      <c r="FUD1" s="10"/>
      <c r="FUE1" s="10"/>
      <c r="FUF1" s="10"/>
      <c r="FUG1" s="10"/>
      <c r="FUH1" s="10"/>
      <c r="FUI1" s="10"/>
      <c r="FUJ1" s="10"/>
      <c r="FUK1" s="10"/>
      <c r="FUL1" s="10"/>
      <c r="FUM1" s="10"/>
      <c r="FUN1" s="10"/>
      <c r="FUO1" s="10"/>
      <c r="FUP1" s="10"/>
      <c r="FUQ1" s="10"/>
      <c r="FUR1" s="10"/>
      <c r="FUS1" s="10"/>
      <c r="FUT1" s="10"/>
      <c r="FUU1" s="10"/>
      <c r="FUV1" s="10"/>
      <c r="FUW1" s="10"/>
      <c r="FUX1" s="10"/>
      <c r="FUY1" s="10"/>
      <c r="FUZ1" s="10"/>
      <c r="FVA1" s="10"/>
      <c r="FVB1" s="10"/>
      <c r="FVC1" s="10"/>
      <c r="FVD1" s="10"/>
      <c r="FVE1" s="10"/>
      <c r="FVF1" s="10"/>
      <c r="FVG1" s="10"/>
      <c r="FVH1" s="10"/>
      <c r="FVI1" s="10"/>
      <c r="FVJ1" s="10"/>
      <c r="FVK1" s="10"/>
      <c r="FVL1" s="10"/>
      <c r="FVM1" s="10"/>
      <c r="FVN1" s="10"/>
      <c r="FVO1" s="10"/>
      <c r="FVP1" s="10"/>
      <c r="FVQ1" s="10"/>
      <c r="FVR1" s="10"/>
      <c r="FVS1" s="10"/>
      <c r="FVT1" s="10"/>
      <c r="FVU1" s="10"/>
      <c r="FVV1" s="10"/>
      <c r="FVW1" s="10"/>
      <c r="FVX1" s="10"/>
      <c r="FVY1" s="10"/>
      <c r="FVZ1" s="10"/>
      <c r="FWA1" s="10"/>
      <c r="FWB1" s="10"/>
      <c r="FWC1" s="10"/>
      <c r="FWD1" s="10"/>
      <c r="FWE1" s="10"/>
      <c r="FWF1" s="10"/>
      <c r="FWG1" s="10"/>
      <c r="FWH1" s="10"/>
      <c r="FWI1" s="10"/>
      <c r="FWJ1" s="10"/>
      <c r="FWK1" s="10"/>
      <c r="FWL1" s="10"/>
      <c r="FWM1" s="10"/>
      <c r="FWN1" s="10"/>
      <c r="FWO1" s="10"/>
      <c r="FWP1" s="10"/>
      <c r="FWQ1" s="10"/>
      <c r="FWR1" s="10"/>
      <c r="FWS1" s="10"/>
      <c r="FWT1" s="10"/>
      <c r="FWU1" s="10"/>
      <c r="FWV1" s="10"/>
      <c r="FWW1" s="10"/>
      <c r="FWX1" s="10"/>
      <c r="FWY1" s="10"/>
      <c r="FWZ1" s="10"/>
      <c r="FXA1" s="10"/>
      <c r="FXB1" s="10"/>
      <c r="FXC1" s="10"/>
      <c r="FXD1" s="10"/>
      <c r="FXE1" s="10"/>
      <c r="FXF1" s="10"/>
      <c r="FXG1" s="10"/>
      <c r="FXH1" s="10"/>
      <c r="FXI1" s="10"/>
      <c r="FXJ1" s="10"/>
      <c r="FXK1" s="10"/>
      <c r="FXL1" s="10"/>
      <c r="FXM1" s="10"/>
      <c r="FXN1" s="10"/>
      <c r="FXO1" s="10"/>
      <c r="FXP1" s="10"/>
      <c r="FXQ1" s="10"/>
      <c r="FXR1" s="10"/>
      <c r="FXS1" s="10"/>
      <c r="FXT1" s="10"/>
      <c r="FXU1" s="10"/>
      <c r="FXV1" s="10"/>
      <c r="FXW1" s="10"/>
      <c r="FXX1" s="10"/>
      <c r="FXY1" s="10"/>
      <c r="FXZ1" s="10"/>
      <c r="FYA1" s="10"/>
      <c r="FYB1" s="10"/>
      <c r="FYC1" s="10"/>
      <c r="FYD1" s="10"/>
      <c r="FYE1" s="10"/>
      <c r="FYF1" s="10"/>
      <c r="FYG1" s="10"/>
      <c r="FYH1" s="10"/>
      <c r="FYI1" s="10"/>
      <c r="FYJ1" s="10"/>
      <c r="FYK1" s="10"/>
      <c r="FYL1" s="10"/>
      <c r="FYM1" s="10"/>
      <c r="FYN1" s="10"/>
      <c r="FYO1" s="10"/>
      <c r="FYP1" s="10"/>
      <c r="FYQ1" s="10"/>
      <c r="FYR1" s="10"/>
      <c r="FYS1" s="10"/>
      <c r="FYT1" s="10"/>
      <c r="FYU1" s="10"/>
      <c r="FYV1" s="10"/>
      <c r="FYW1" s="10"/>
      <c r="FYX1" s="10"/>
      <c r="FYY1" s="10"/>
      <c r="FYZ1" s="10"/>
      <c r="FZA1" s="10"/>
      <c r="FZB1" s="10"/>
      <c r="FZC1" s="10"/>
      <c r="FZD1" s="10"/>
      <c r="FZE1" s="10"/>
      <c r="FZF1" s="10"/>
      <c r="FZG1" s="10"/>
      <c r="FZH1" s="10"/>
      <c r="FZI1" s="10"/>
      <c r="FZJ1" s="10"/>
      <c r="FZK1" s="10"/>
      <c r="FZL1" s="10"/>
      <c r="FZM1" s="10"/>
      <c r="FZN1" s="10"/>
      <c r="FZO1" s="10"/>
      <c r="FZP1" s="10"/>
      <c r="FZQ1" s="10"/>
      <c r="FZR1" s="10"/>
      <c r="FZS1" s="10"/>
      <c r="FZT1" s="10"/>
      <c r="FZU1" s="10"/>
      <c r="FZV1" s="10"/>
      <c r="FZW1" s="10"/>
      <c r="FZX1" s="10"/>
      <c r="FZY1" s="10"/>
      <c r="FZZ1" s="10"/>
      <c r="GAA1" s="10"/>
      <c r="GAB1" s="10"/>
      <c r="GAC1" s="10"/>
      <c r="GAD1" s="10"/>
      <c r="GAE1" s="10"/>
      <c r="GAF1" s="10"/>
      <c r="GAG1" s="10"/>
      <c r="GAH1" s="10"/>
      <c r="GAI1" s="10"/>
      <c r="GAJ1" s="10"/>
      <c r="GAK1" s="10"/>
      <c r="GAL1" s="10"/>
      <c r="GAM1" s="10"/>
      <c r="GAN1" s="10"/>
      <c r="GAO1" s="10"/>
      <c r="GAP1" s="10"/>
      <c r="GAQ1" s="10"/>
      <c r="GAR1" s="10"/>
      <c r="GAS1" s="10"/>
      <c r="GAT1" s="10"/>
      <c r="GAU1" s="10"/>
      <c r="GAV1" s="10"/>
      <c r="GAW1" s="10"/>
      <c r="GAX1" s="10"/>
      <c r="GAY1" s="10"/>
      <c r="GAZ1" s="10"/>
      <c r="GBA1" s="10"/>
      <c r="GBB1" s="10"/>
      <c r="GBC1" s="10"/>
      <c r="GBD1" s="10"/>
      <c r="GBE1" s="10"/>
      <c r="GBF1" s="10"/>
      <c r="GBG1" s="10"/>
      <c r="GBH1" s="10"/>
      <c r="GBI1" s="10"/>
      <c r="GBJ1" s="10"/>
      <c r="GBK1" s="10"/>
      <c r="GBL1" s="10"/>
      <c r="GBM1" s="10"/>
      <c r="GBN1" s="10"/>
      <c r="GBO1" s="10"/>
      <c r="GBP1" s="10"/>
      <c r="GBQ1" s="10"/>
      <c r="GBR1" s="10"/>
      <c r="GBS1" s="10"/>
      <c r="GBT1" s="10"/>
      <c r="GBU1" s="10"/>
      <c r="GBV1" s="10"/>
      <c r="GBW1" s="10"/>
      <c r="GBX1" s="10"/>
      <c r="GBY1" s="10"/>
      <c r="GBZ1" s="10"/>
      <c r="GCA1" s="10"/>
      <c r="GCB1" s="10"/>
      <c r="GCC1" s="10"/>
      <c r="GCD1" s="10"/>
      <c r="GCE1" s="10"/>
      <c r="GCF1" s="10"/>
      <c r="GCG1" s="10"/>
      <c r="GCH1" s="10"/>
      <c r="GCI1" s="10"/>
      <c r="GCJ1" s="10"/>
      <c r="GCK1" s="10"/>
      <c r="GCL1" s="10"/>
      <c r="GCM1" s="10"/>
      <c r="GCN1" s="10"/>
      <c r="GCO1" s="10"/>
      <c r="GCP1" s="10"/>
      <c r="GCQ1" s="10"/>
      <c r="GCR1" s="10"/>
      <c r="GCS1" s="10"/>
      <c r="GCT1" s="10"/>
      <c r="GCU1" s="10"/>
      <c r="GCV1" s="10"/>
      <c r="GCW1" s="10"/>
      <c r="GCX1" s="10"/>
      <c r="GCY1" s="10"/>
      <c r="GCZ1" s="10"/>
      <c r="GDA1" s="10"/>
      <c r="GDB1" s="10"/>
      <c r="GDC1" s="10"/>
      <c r="GDD1" s="10"/>
      <c r="GDE1" s="10"/>
      <c r="GDF1" s="10"/>
      <c r="GDG1" s="10"/>
      <c r="GDH1" s="10"/>
      <c r="GDI1" s="10"/>
      <c r="GDJ1" s="10"/>
      <c r="GDK1" s="10"/>
      <c r="GDL1" s="10"/>
      <c r="GDM1" s="10"/>
      <c r="GDN1" s="10"/>
      <c r="GDO1" s="10"/>
      <c r="GDP1" s="10"/>
      <c r="GDQ1" s="10"/>
      <c r="GDR1" s="10"/>
      <c r="GDS1" s="10"/>
      <c r="GDT1" s="10"/>
      <c r="GDU1" s="10"/>
      <c r="GDV1" s="10"/>
      <c r="GDW1" s="10"/>
      <c r="GDX1" s="10"/>
      <c r="GDY1" s="10"/>
      <c r="GDZ1" s="10"/>
      <c r="GEA1" s="10"/>
      <c r="GEB1" s="10"/>
      <c r="GEC1" s="10"/>
      <c r="GED1" s="10"/>
      <c r="GEE1" s="10"/>
      <c r="GEF1" s="10"/>
      <c r="GEG1" s="10"/>
      <c r="GEH1" s="10"/>
      <c r="GEI1" s="10"/>
      <c r="GEJ1" s="10"/>
      <c r="GEK1" s="10"/>
      <c r="GEL1" s="10"/>
      <c r="GEM1" s="10"/>
      <c r="GEN1" s="10"/>
      <c r="GEO1" s="10"/>
      <c r="GEP1" s="10"/>
      <c r="GEQ1" s="10"/>
      <c r="GER1" s="10"/>
      <c r="GES1" s="10"/>
      <c r="GET1" s="10"/>
      <c r="GEU1" s="10"/>
      <c r="GEV1" s="10"/>
      <c r="GEW1" s="10"/>
      <c r="GEX1" s="10"/>
      <c r="GEY1" s="10"/>
      <c r="GEZ1" s="10"/>
      <c r="GFA1" s="10"/>
      <c r="GFB1" s="10"/>
      <c r="GFC1" s="10"/>
      <c r="GFD1" s="10"/>
      <c r="GFE1" s="10"/>
      <c r="GFF1" s="10"/>
      <c r="GFG1" s="10"/>
      <c r="GFH1" s="10"/>
      <c r="GFI1" s="10"/>
      <c r="GFJ1" s="10"/>
      <c r="GFK1" s="10"/>
      <c r="GFL1" s="10"/>
      <c r="GFM1" s="10"/>
      <c r="GFN1" s="10"/>
      <c r="GFO1" s="10"/>
      <c r="GFP1" s="10"/>
      <c r="GFQ1" s="10"/>
      <c r="GFR1" s="10"/>
      <c r="GFS1" s="10"/>
      <c r="GFT1" s="10"/>
      <c r="GFU1" s="10"/>
      <c r="GFV1" s="10"/>
      <c r="GFW1" s="10"/>
      <c r="GFX1" s="10"/>
      <c r="GFY1" s="10"/>
      <c r="GFZ1" s="10"/>
      <c r="GGA1" s="10"/>
      <c r="GGB1" s="10"/>
      <c r="GGC1" s="10"/>
      <c r="GGD1" s="10"/>
      <c r="GGE1" s="10"/>
      <c r="GGF1" s="10"/>
      <c r="GGG1" s="10"/>
      <c r="GGH1" s="10"/>
      <c r="GGI1" s="10"/>
      <c r="GGJ1" s="10"/>
      <c r="GGK1" s="10"/>
      <c r="GGL1" s="10"/>
      <c r="GGM1" s="10"/>
      <c r="GGN1" s="10"/>
      <c r="GGO1" s="10"/>
      <c r="GGP1" s="10"/>
      <c r="GGQ1" s="10"/>
      <c r="GGR1" s="10"/>
      <c r="GGS1" s="10"/>
      <c r="GGT1" s="10"/>
      <c r="GGU1" s="10"/>
      <c r="GGV1" s="10"/>
      <c r="GGW1" s="10"/>
      <c r="GGX1" s="10"/>
      <c r="GGY1" s="10"/>
      <c r="GGZ1" s="10"/>
      <c r="GHA1" s="10"/>
      <c r="GHB1" s="10"/>
      <c r="GHC1" s="10"/>
      <c r="GHD1" s="10"/>
      <c r="GHE1" s="10"/>
      <c r="GHF1" s="10"/>
      <c r="GHG1" s="10"/>
      <c r="GHH1" s="10"/>
      <c r="GHI1" s="10"/>
      <c r="GHJ1" s="10"/>
      <c r="GHK1" s="10"/>
      <c r="GHL1" s="10"/>
      <c r="GHM1" s="10"/>
      <c r="GHN1" s="10"/>
      <c r="GHO1" s="10"/>
      <c r="GHP1" s="10"/>
      <c r="GHQ1" s="10"/>
      <c r="GHR1" s="10"/>
      <c r="GHS1" s="10"/>
      <c r="GHT1" s="10"/>
      <c r="GHU1" s="10"/>
      <c r="GHV1" s="10"/>
      <c r="GHW1" s="10"/>
      <c r="GHX1" s="10"/>
      <c r="GHY1" s="10"/>
      <c r="GHZ1" s="10"/>
      <c r="GIA1" s="10"/>
      <c r="GIB1" s="10"/>
      <c r="GIC1" s="10"/>
      <c r="GID1" s="10"/>
      <c r="GIE1" s="10"/>
      <c r="GIF1" s="10"/>
      <c r="GIG1" s="10"/>
      <c r="GIH1" s="10"/>
      <c r="GII1" s="10"/>
      <c r="GIJ1" s="10"/>
      <c r="GIK1" s="10"/>
      <c r="GIL1" s="10"/>
      <c r="GIM1" s="10"/>
      <c r="GIN1" s="10"/>
      <c r="GIO1" s="10"/>
      <c r="GIP1" s="10"/>
      <c r="GIQ1" s="10"/>
      <c r="GIR1" s="10"/>
      <c r="GIS1" s="10"/>
      <c r="GIT1" s="10"/>
      <c r="GIU1" s="10"/>
      <c r="GIV1" s="10"/>
      <c r="GIW1" s="10"/>
      <c r="GIX1" s="10"/>
      <c r="GIY1" s="10"/>
      <c r="GIZ1" s="10"/>
      <c r="GJA1" s="10"/>
      <c r="GJB1" s="10"/>
      <c r="GJC1" s="10"/>
      <c r="GJD1" s="10"/>
      <c r="GJE1" s="10"/>
      <c r="GJF1" s="10"/>
      <c r="GJG1" s="10"/>
      <c r="GJH1" s="10"/>
      <c r="GJI1" s="10"/>
      <c r="GJJ1" s="10"/>
      <c r="GJK1" s="10"/>
      <c r="GJL1" s="10"/>
      <c r="GJM1" s="10"/>
      <c r="GJN1" s="10"/>
      <c r="GJO1" s="10"/>
      <c r="GJP1" s="10"/>
      <c r="GJQ1" s="10"/>
      <c r="GJR1" s="10"/>
      <c r="GJS1" s="10"/>
      <c r="GJT1" s="10"/>
      <c r="GJU1" s="10"/>
      <c r="GJV1" s="10"/>
      <c r="GJW1" s="10"/>
      <c r="GJX1" s="10"/>
      <c r="GJY1" s="10"/>
      <c r="GJZ1" s="10"/>
      <c r="GKA1" s="10"/>
      <c r="GKB1" s="10"/>
      <c r="GKC1" s="10"/>
      <c r="GKD1" s="10"/>
      <c r="GKE1" s="10"/>
      <c r="GKF1" s="10"/>
      <c r="GKG1" s="10"/>
      <c r="GKH1" s="10"/>
      <c r="GKI1" s="10"/>
      <c r="GKJ1" s="10"/>
      <c r="GKK1" s="10"/>
      <c r="GKL1" s="10"/>
      <c r="GKM1" s="10"/>
      <c r="GKN1" s="10"/>
      <c r="GKO1" s="10"/>
      <c r="GKP1" s="10"/>
      <c r="GKQ1" s="10"/>
      <c r="GKR1" s="10"/>
      <c r="GKS1" s="10"/>
      <c r="GKT1" s="10"/>
      <c r="GKU1" s="10"/>
      <c r="GKV1" s="10"/>
      <c r="GKW1" s="10"/>
      <c r="GKX1" s="10"/>
      <c r="GKY1" s="10"/>
      <c r="GKZ1" s="10"/>
      <c r="GLA1" s="10"/>
      <c r="GLB1" s="10"/>
      <c r="GLC1" s="10"/>
      <c r="GLD1" s="10"/>
      <c r="GLE1" s="10"/>
      <c r="GLF1" s="10"/>
      <c r="GLG1" s="10"/>
      <c r="GLH1" s="10"/>
      <c r="GLI1" s="10"/>
      <c r="GLJ1" s="10"/>
      <c r="GLK1" s="10"/>
      <c r="GLL1" s="10"/>
      <c r="GLM1" s="10"/>
      <c r="GLN1" s="10"/>
      <c r="GLO1" s="10"/>
      <c r="GLP1" s="10"/>
      <c r="GLQ1" s="10"/>
      <c r="GLR1" s="10"/>
      <c r="GLS1" s="10"/>
      <c r="GLT1" s="10"/>
      <c r="GLU1" s="10"/>
      <c r="GLV1" s="10"/>
      <c r="GLW1" s="10"/>
      <c r="GLX1" s="10"/>
      <c r="GLY1" s="10"/>
      <c r="GLZ1" s="10"/>
      <c r="GMA1" s="10"/>
      <c r="GMB1" s="10"/>
      <c r="GMC1" s="10"/>
      <c r="GMD1" s="10"/>
      <c r="GME1" s="10"/>
      <c r="GMF1" s="10"/>
      <c r="GMG1" s="10"/>
      <c r="GMH1" s="10"/>
      <c r="GMI1" s="10"/>
      <c r="GMJ1" s="10"/>
      <c r="GMK1" s="10"/>
      <c r="GML1" s="10"/>
      <c r="GMM1" s="10"/>
      <c r="GMN1" s="10"/>
      <c r="GMO1" s="10"/>
      <c r="GMP1" s="10"/>
      <c r="GMQ1" s="10"/>
      <c r="GMR1" s="10"/>
      <c r="GMS1" s="10"/>
      <c r="GMT1" s="10"/>
      <c r="GMU1" s="10"/>
      <c r="GMV1" s="10"/>
      <c r="GMW1" s="10"/>
      <c r="GMX1" s="10"/>
      <c r="GMY1" s="10"/>
      <c r="GMZ1" s="10"/>
      <c r="GNA1" s="10"/>
      <c r="GNB1" s="10"/>
      <c r="GNC1" s="10"/>
      <c r="GND1" s="10"/>
      <c r="GNE1" s="10"/>
      <c r="GNF1" s="10"/>
      <c r="GNG1" s="10"/>
      <c r="GNH1" s="10"/>
      <c r="GNI1" s="10"/>
      <c r="GNJ1" s="10"/>
      <c r="GNK1" s="10"/>
      <c r="GNL1" s="10"/>
      <c r="GNM1" s="10"/>
      <c r="GNN1" s="10"/>
      <c r="GNO1" s="10"/>
      <c r="GNP1" s="10"/>
      <c r="GNQ1" s="10"/>
      <c r="GNR1" s="10"/>
      <c r="GNS1" s="10"/>
      <c r="GNT1" s="10"/>
      <c r="GNU1" s="10"/>
      <c r="GNV1" s="10"/>
      <c r="GNW1" s="10"/>
      <c r="GNX1" s="10"/>
      <c r="GNY1" s="10"/>
      <c r="GNZ1" s="10"/>
      <c r="GOA1" s="10"/>
      <c r="GOB1" s="10"/>
      <c r="GOC1" s="10"/>
      <c r="GOD1" s="10"/>
      <c r="GOE1" s="10"/>
      <c r="GOF1" s="10"/>
      <c r="GOG1" s="10"/>
      <c r="GOH1" s="10"/>
      <c r="GOI1" s="10"/>
      <c r="GOJ1" s="10"/>
      <c r="GOK1" s="10"/>
      <c r="GOL1" s="10"/>
      <c r="GOM1" s="10"/>
      <c r="GON1" s="10"/>
      <c r="GOO1" s="10"/>
      <c r="GOP1" s="10"/>
      <c r="GOQ1" s="10"/>
      <c r="GOR1" s="10"/>
      <c r="GOS1" s="10"/>
      <c r="GOT1" s="10"/>
      <c r="GOU1" s="10"/>
      <c r="GOV1" s="10"/>
      <c r="GOW1" s="10"/>
      <c r="GOX1" s="10"/>
      <c r="GOY1" s="10"/>
      <c r="GOZ1" s="10"/>
      <c r="GPA1" s="10"/>
      <c r="GPB1" s="10"/>
      <c r="GPC1" s="10"/>
      <c r="GPD1" s="10"/>
      <c r="GPE1" s="10"/>
      <c r="GPF1" s="10"/>
      <c r="GPG1" s="10"/>
      <c r="GPH1" s="10"/>
      <c r="GPI1" s="10"/>
      <c r="GPJ1" s="10"/>
      <c r="GPK1" s="10"/>
      <c r="GPL1" s="10"/>
      <c r="GPM1" s="10"/>
      <c r="GPN1" s="10"/>
      <c r="GPO1" s="10"/>
      <c r="GPP1" s="10"/>
      <c r="GPQ1" s="10"/>
      <c r="GPR1" s="10"/>
      <c r="GPS1" s="10"/>
      <c r="GPT1" s="10"/>
      <c r="GPU1" s="10"/>
      <c r="GPV1" s="10"/>
      <c r="GPW1" s="10"/>
      <c r="GPX1" s="10"/>
      <c r="GPY1" s="10"/>
      <c r="GPZ1" s="10"/>
      <c r="GQA1" s="10"/>
      <c r="GQB1" s="10"/>
      <c r="GQC1" s="10"/>
      <c r="GQD1" s="10"/>
      <c r="GQE1" s="10"/>
      <c r="GQF1" s="10"/>
      <c r="GQG1" s="10"/>
      <c r="GQH1" s="10"/>
      <c r="GQI1" s="10"/>
      <c r="GQJ1" s="10"/>
      <c r="GQK1" s="10"/>
      <c r="GQL1" s="10"/>
      <c r="GQM1" s="10"/>
      <c r="GQN1" s="10"/>
      <c r="GQO1" s="10"/>
      <c r="GQP1" s="10"/>
      <c r="GQQ1" s="10"/>
      <c r="GQR1" s="10"/>
      <c r="GQS1" s="10"/>
      <c r="GQT1" s="10"/>
      <c r="GQU1" s="10"/>
      <c r="GQV1" s="10"/>
      <c r="GQW1" s="10"/>
      <c r="GQX1" s="10"/>
      <c r="GQY1" s="10"/>
      <c r="GQZ1" s="10"/>
      <c r="GRA1" s="10"/>
      <c r="GRB1" s="10"/>
      <c r="GRC1" s="10"/>
      <c r="GRD1" s="10"/>
      <c r="GRE1" s="10"/>
      <c r="GRF1" s="10"/>
      <c r="GRG1" s="10"/>
      <c r="GRH1" s="10"/>
      <c r="GRI1" s="10"/>
      <c r="GRJ1" s="10"/>
      <c r="GRK1" s="10"/>
      <c r="GRL1" s="10"/>
      <c r="GRM1" s="10"/>
      <c r="GRN1" s="10"/>
      <c r="GRO1" s="10"/>
      <c r="GRP1" s="10"/>
      <c r="GRQ1" s="10"/>
      <c r="GRR1" s="10"/>
      <c r="GRS1" s="10"/>
      <c r="GRT1" s="10"/>
      <c r="GRU1" s="10"/>
      <c r="GRV1" s="10"/>
      <c r="GRW1" s="10"/>
      <c r="GRX1" s="10"/>
      <c r="GRY1" s="10"/>
      <c r="GRZ1" s="10"/>
      <c r="GSA1" s="10"/>
      <c r="GSB1" s="10"/>
      <c r="GSC1" s="10"/>
      <c r="GSD1" s="10"/>
      <c r="GSE1" s="10"/>
      <c r="GSF1" s="10"/>
      <c r="GSG1" s="10"/>
      <c r="GSH1" s="10"/>
      <c r="GSI1" s="10"/>
      <c r="GSJ1" s="10"/>
      <c r="GSK1" s="10"/>
      <c r="GSL1" s="10"/>
      <c r="GSM1" s="10"/>
      <c r="GSN1" s="10"/>
      <c r="GSO1" s="10"/>
      <c r="GSP1" s="10"/>
      <c r="GSQ1" s="10"/>
      <c r="GSR1" s="10"/>
      <c r="GSS1" s="10"/>
      <c r="GST1" s="10"/>
      <c r="GSU1" s="10"/>
      <c r="GSV1" s="10"/>
      <c r="GSW1" s="10"/>
      <c r="GSX1" s="10"/>
      <c r="GSY1" s="10"/>
      <c r="GSZ1" s="10"/>
      <c r="GTA1" s="10"/>
      <c r="GTB1" s="10"/>
      <c r="GTC1" s="10"/>
      <c r="GTD1" s="10"/>
      <c r="GTE1" s="10"/>
      <c r="GTF1" s="10"/>
      <c r="GTG1" s="10"/>
      <c r="GTH1" s="10"/>
      <c r="GTI1" s="10"/>
      <c r="GTJ1" s="10"/>
      <c r="GTK1" s="10"/>
      <c r="GTL1" s="10"/>
      <c r="GTM1" s="10"/>
      <c r="GTN1" s="10"/>
      <c r="GTO1" s="10"/>
      <c r="GTP1" s="10"/>
      <c r="GTQ1" s="10"/>
      <c r="GTR1" s="10"/>
      <c r="GTS1" s="10"/>
      <c r="GTT1" s="10"/>
      <c r="GTU1" s="10"/>
      <c r="GTV1" s="10"/>
      <c r="GTW1" s="10"/>
      <c r="GTX1" s="10"/>
      <c r="GTY1" s="10"/>
      <c r="GTZ1" s="10"/>
      <c r="GUA1" s="10"/>
      <c r="GUB1" s="10"/>
      <c r="GUC1" s="10"/>
      <c r="GUD1" s="10"/>
      <c r="GUE1" s="10"/>
      <c r="GUF1" s="10"/>
      <c r="GUG1" s="10"/>
      <c r="GUH1" s="10"/>
      <c r="GUI1" s="10"/>
      <c r="GUJ1" s="10"/>
      <c r="GUK1" s="10"/>
      <c r="GUL1" s="10"/>
      <c r="GUM1" s="10"/>
      <c r="GUN1" s="10"/>
      <c r="GUO1" s="10"/>
      <c r="GUP1" s="10"/>
      <c r="GUQ1" s="10"/>
      <c r="GUR1" s="10"/>
      <c r="GUS1" s="10"/>
      <c r="GUT1" s="10"/>
      <c r="GUU1" s="10"/>
      <c r="GUV1" s="10"/>
      <c r="GUW1" s="10"/>
      <c r="GUX1" s="10"/>
      <c r="GUY1" s="10"/>
      <c r="GUZ1" s="10"/>
      <c r="GVA1" s="10"/>
      <c r="GVB1" s="10"/>
      <c r="GVC1" s="10"/>
      <c r="GVD1" s="10"/>
      <c r="GVE1" s="10"/>
      <c r="GVF1" s="10"/>
      <c r="GVG1" s="10"/>
      <c r="GVH1" s="10"/>
      <c r="GVI1" s="10"/>
      <c r="GVJ1" s="10"/>
      <c r="GVK1" s="10"/>
      <c r="GVL1" s="10"/>
      <c r="GVM1" s="10"/>
      <c r="GVN1" s="10"/>
      <c r="GVO1" s="10"/>
      <c r="GVP1" s="10"/>
      <c r="GVQ1" s="10"/>
      <c r="GVR1" s="10"/>
      <c r="GVS1" s="10"/>
      <c r="GVT1" s="10"/>
      <c r="GVU1" s="10"/>
      <c r="GVV1" s="10"/>
      <c r="GVW1" s="10"/>
      <c r="GVX1" s="10"/>
      <c r="GVY1" s="10"/>
      <c r="GVZ1" s="10"/>
      <c r="GWA1" s="10"/>
      <c r="GWB1" s="10"/>
      <c r="GWC1" s="10"/>
      <c r="GWD1" s="10"/>
      <c r="GWE1" s="10"/>
      <c r="GWF1" s="10"/>
      <c r="GWG1" s="10"/>
      <c r="GWH1" s="10"/>
      <c r="GWI1" s="10"/>
      <c r="GWJ1" s="10"/>
      <c r="GWK1" s="10"/>
      <c r="GWL1" s="10"/>
      <c r="GWM1" s="10"/>
      <c r="GWN1" s="10"/>
      <c r="GWO1" s="10"/>
      <c r="GWP1" s="10"/>
      <c r="GWQ1" s="10"/>
      <c r="GWR1" s="10"/>
      <c r="GWS1" s="10"/>
      <c r="GWT1" s="10"/>
      <c r="GWU1" s="10"/>
      <c r="GWV1" s="10"/>
      <c r="GWW1" s="10"/>
      <c r="GWX1" s="10"/>
      <c r="GWY1" s="10"/>
      <c r="GWZ1" s="10"/>
      <c r="GXA1" s="10"/>
      <c r="GXB1" s="10"/>
      <c r="GXC1" s="10"/>
      <c r="GXD1" s="10"/>
      <c r="GXE1" s="10"/>
      <c r="GXF1" s="10"/>
      <c r="GXG1" s="10"/>
      <c r="GXH1" s="10"/>
      <c r="GXI1" s="10"/>
      <c r="GXJ1" s="10"/>
      <c r="GXK1" s="10"/>
      <c r="GXL1" s="10"/>
      <c r="GXM1" s="10"/>
      <c r="GXN1" s="10"/>
      <c r="GXO1" s="10"/>
      <c r="GXP1" s="10"/>
      <c r="GXQ1" s="10"/>
      <c r="GXR1" s="10"/>
      <c r="GXS1" s="10"/>
      <c r="GXT1" s="10"/>
      <c r="GXU1" s="10"/>
      <c r="GXV1" s="10"/>
      <c r="GXW1" s="10"/>
      <c r="GXX1" s="10"/>
      <c r="GXY1" s="10"/>
      <c r="GXZ1" s="10"/>
      <c r="GYA1" s="10"/>
      <c r="GYB1" s="10"/>
      <c r="GYC1" s="10"/>
      <c r="GYD1" s="10"/>
      <c r="GYE1" s="10"/>
      <c r="GYF1" s="10"/>
      <c r="GYG1" s="10"/>
      <c r="GYH1" s="10"/>
      <c r="GYI1" s="10"/>
      <c r="GYJ1" s="10"/>
      <c r="GYK1" s="10"/>
      <c r="GYL1" s="10"/>
      <c r="GYM1" s="10"/>
      <c r="GYN1" s="10"/>
      <c r="GYO1" s="10"/>
      <c r="GYP1" s="10"/>
      <c r="GYQ1" s="10"/>
      <c r="GYR1" s="10"/>
      <c r="GYS1" s="10"/>
      <c r="GYT1" s="10"/>
      <c r="GYU1" s="10"/>
      <c r="GYV1" s="10"/>
      <c r="GYW1" s="10"/>
      <c r="GYX1" s="10"/>
      <c r="GYY1" s="10"/>
      <c r="GYZ1" s="10"/>
      <c r="GZA1" s="10"/>
      <c r="GZB1" s="10"/>
      <c r="GZC1" s="10"/>
      <c r="GZD1" s="10"/>
      <c r="GZE1" s="10"/>
      <c r="GZF1" s="10"/>
      <c r="GZG1" s="10"/>
      <c r="GZH1" s="10"/>
      <c r="GZI1" s="10"/>
      <c r="GZJ1" s="10"/>
      <c r="GZK1" s="10"/>
      <c r="GZL1" s="10"/>
      <c r="GZM1" s="10"/>
      <c r="GZN1" s="10"/>
      <c r="GZO1" s="10"/>
      <c r="GZP1" s="10"/>
      <c r="GZQ1" s="10"/>
      <c r="GZR1" s="10"/>
      <c r="GZS1" s="10"/>
      <c r="GZT1" s="10"/>
      <c r="GZU1" s="10"/>
      <c r="GZV1" s="10"/>
      <c r="GZW1" s="10"/>
      <c r="GZX1" s="10"/>
      <c r="GZY1" s="10"/>
      <c r="GZZ1" s="10"/>
      <c r="HAA1" s="10"/>
      <c r="HAB1" s="10"/>
      <c r="HAC1" s="10"/>
      <c r="HAD1" s="10"/>
      <c r="HAE1" s="10"/>
      <c r="HAF1" s="10"/>
      <c r="HAG1" s="10"/>
      <c r="HAH1" s="10"/>
      <c r="HAI1" s="10"/>
      <c r="HAJ1" s="10"/>
      <c r="HAK1" s="10"/>
      <c r="HAL1" s="10"/>
      <c r="HAM1" s="10"/>
      <c r="HAN1" s="10"/>
      <c r="HAO1" s="10"/>
      <c r="HAP1" s="10"/>
      <c r="HAQ1" s="10"/>
      <c r="HAR1" s="10"/>
      <c r="HAS1" s="10"/>
      <c r="HAT1" s="10"/>
      <c r="HAU1" s="10"/>
      <c r="HAV1" s="10"/>
      <c r="HAW1" s="10"/>
      <c r="HAX1" s="10"/>
      <c r="HAY1" s="10"/>
      <c r="HAZ1" s="10"/>
      <c r="HBA1" s="10"/>
      <c r="HBB1" s="10"/>
      <c r="HBC1" s="10"/>
      <c r="HBD1" s="10"/>
      <c r="HBE1" s="10"/>
      <c r="HBF1" s="10"/>
      <c r="HBG1" s="10"/>
      <c r="HBH1" s="10"/>
      <c r="HBI1" s="10"/>
      <c r="HBJ1" s="10"/>
      <c r="HBK1" s="10"/>
      <c r="HBL1" s="10"/>
      <c r="HBM1" s="10"/>
      <c r="HBN1" s="10"/>
      <c r="HBO1" s="10"/>
      <c r="HBP1" s="10"/>
      <c r="HBQ1" s="10"/>
      <c r="HBR1" s="10"/>
      <c r="HBS1" s="10"/>
      <c r="HBT1" s="10"/>
      <c r="HBU1" s="10"/>
      <c r="HBV1" s="10"/>
      <c r="HBW1" s="10"/>
      <c r="HBX1" s="10"/>
      <c r="HBY1" s="10"/>
      <c r="HBZ1" s="10"/>
      <c r="HCA1" s="10"/>
      <c r="HCB1" s="10"/>
      <c r="HCC1" s="10"/>
      <c r="HCD1" s="10"/>
      <c r="HCE1" s="10"/>
      <c r="HCF1" s="10"/>
      <c r="HCG1" s="10"/>
      <c r="HCH1" s="10"/>
      <c r="HCI1" s="10"/>
      <c r="HCJ1" s="10"/>
      <c r="HCK1" s="10"/>
      <c r="HCL1" s="10"/>
      <c r="HCM1" s="10"/>
      <c r="HCN1" s="10"/>
      <c r="HCO1" s="10"/>
      <c r="HCP1" s="10"/>
      <c r="HCQ1" s="10"/>
      <c r="HCR1" s="10"/>
      <c r="HCS1" s="10"/>
      <c r="HCT1" s="10"/>
      <c r="HCU1" s="10"/>
      <c r="HCV1" s="10"/>
      <c r="HCW1" s="10"/>
      <c r="HCX1" s="10"/>
      <c r="HCY1" s="10"/>
      <c r="HCZ1" s="10"/>
      <c r="HDA1" s="10"/>
      <c r="HDB1" s="10"/>
      <c r="HDC1" s="10"/>
      <c r="HDD1" s="10"/>
      <c r="HDE1" s="10"/>
      <c r="HDF1" s="10"/>
      <c r="HDG1" s="10"/>
      <c r="HDH1" s="10"/>
      <c r="HDI1" s="10"/>
      <c r="HDJ1" s="10"/>
      <c r="HDK1" s="10"/>
      <c r="HDL1" s="10"/>
      <c r="HDM1" s="10"/>
      <c r="HDN1" s="10"/>
      <c r="HDO1" s="10"/>
      <c r="HDP1" s="10"/>
      <c r="HDQ1" s="10"/>
      <c r="HDR1" s="10"/>
      <c r="HDS1" s="10"/>
      <c r="HDT1" s="10"/>
      <c r="HDU1" s="10"/>
      <c r="HDV1" s="10"/>
      <c r="HDW1" s="10"/>
      <c r="HDX1" s="10"/>
      <c r="HDY1" s="10"/>
      <c r="HDZ1" s="10"/>
      <c r="HEA1" s="10"/>
      <c r="HEB1" s="10"/>
      <c r="HEC1" s="10"/>
      <c r="HED1" s="10"/>
      <c r="HEE1" s="10"/>
      <c r="HEF1" s="10"/>
      <c r="HEG1" s="10"/>
      <c r="HEH1" s="10"/>
      <c r="HEI1" s="10"/>
      <c r="HEJ1" s="10"/>
      <c r="HEK1" s="10"/>
      <c r="HEL1" s="10"/>
      <c r="HEM1" s="10"/>
      <c r="HEN1" s="10"/>
      <c r="HEO1" s="10"/>
      <c r="HEP1" s="10"/>
      <c r="HEQ1" s="10"/>
      <c r="HER1" s="10"/>
      <c r="HES1" s="10"/>
      <c r="HET1" s="10"/>
      <c r="HEU1" s="10"/>
      <c r="HEV1" s="10"/>
      <c r="HEW1" s="10"/>
      <c r="HEX1" s="10"/>
      <c r="HEY1" s="10"/>
      <c r="HEZ1" s="10"/>
      <c r="HFA1" s="10"/>
      <c r="HFB1" s="10"/>
      <c r="HFC1" s="10"/>
      <c r="HFD1" s="10"/>
      <c r="HFE1" s="10"/>
      <c r="HFF1" s="10"/>
      <c r="HFG1" s="10"/>
      <c r="HFH1" s="10"/>
      <c r="HFI1" s="10"/>
      <c r="HFJ1" s="10"/>
      <c r="HFK1" s="10"/>
      <c r="HFL1" s="10"/>
      <c r="HFM1" s="10"/>
      <c r="HFN1" s="10"/>
      <c r="HFO1" s="10"/>
      <c r="HFP1" s="10"/>
      <c r="HFQ1" s="10"/>
      <c r="HFR1" s="10"/>
      <c r="HFS1" s="10"/>
      <c r="HFT1" s="10"/>
      <c r="HFU1" s="10"/>
      <c r="HFV1" s="10"/>
      <c r="HFW1" s="10"/>
      <c r="HFX1" s="10"/>
      <c r="HFY1" s="10"/>
      <c r="HFZ1" s="10"/>
      <c r="HGA1" s="10"/>
      <c r="HGB1" s="10"/>
      <c r="HGC1" s="10"/>
      <c r="HGD1" s="10"/>
      <c r="HGE1" s="10"/>
      <c r="HGF1" s="10"/>
      <c r="HGG1" s="10"/>
      <c r="HGH1" s="10"/>
      <c r="HGI1" s="10"/>
      <c r="HGJ1" s="10"/>
      <c r="HGK1" s="10"/>
      <c r="HGL1" s="10"/>
      <c r="HGM1" s="10"/>
      <c r="HGN1" s="10"/>
      <c r="HGO1" s="10"/>
      <c r="HGP1" s="10"/>
      <c r="HGQ1" s="10"/>
      <c r="HGR1" s="10"/>
      <c r="HGS1" s="10"/>
      <c r="HGT1" s="10"/>
      <c r="HGU1" s="10"/>
      <c r="HGV1" s="10"/>
      <c r="HGW1" s="10"/>
      <c r="HGX1" s="10"/>
      <c r="HGY1" s="10"/>
      <c r="HGZ1" s="10"/>
      <c r="HHA1" s="10"/>
      <c r="HHB1" s="10"/>
      <c r="HHC1" s="10"/>
      <c r="HHD1" s="10"/>
      <c r="HHE1" s="10"/>
      <c r="HHF1" s="10"/>
      <c r="HHG1" s="10"/>
      <c r="HHH1" s="10"/>
      <c r="HHI1" s="10"/>
      <c r="HHJ1" s="10"/>
      <c r="HHK1" s="10"/>
      <c r="HHL1" s="10"/>
      <c r="HHM1" s="10"/>
      <c r="HHN1" s="10"/>
      <c r="HHO1" s="10"/>
      <c r="HHP1" s="10"/>
      <c r="HHQ1" s="10"/>
      <c r="HHR1" s="10"/>
      <c r="HHS1" s="10"/>
      <c r="HHT1" s="10"/>
      <c r="HHU1" s="10"/>
      <c r="HHV1" s="10"/>
      <c r="HHW1" s="10"/>
      <c r="HHX1" s="10"/>
      <c r="HHY1" s="10"/>
      <c r="HHZ1" s="10"/>
      <c r="HIA1" s="10"/>
      <c r="HIB1" s="10"/>
      <c r="HIC1" s="10"/>
      <c r="HID1" s="10"/>
      <c r="HIE1" s="10"/>
      <c r="HIF1" s="10"/>
      <c r="HIG1" s="10"/>
      <c r="HIH1" s="10"/>
      <c r="HII1" s="10"/>
      <c r="HIJ1" s="10"/>
      <c r="HIK1" s="10"/>
      <c r="HIL1" s="10"/>
      <c r="HIM1" s="10"/>
      <c r="HIN1" s="10"/>
      <c r="HIO1" s="10"/>
      <c r="HIP1" s="10"/>
      <c r="HIQ1" s="10"/>
      <c r="HIR1" s="10"/>
      <c r="HIS1" s="10"/>
      <c r="HIT1" s="10"/>
      <c r="HIU1" s="10"/>
      <c r="HIV1" s="10"/>
      <c r="HIW1" s="10"/>
      <c r="HIX1" s="10"/>
      <c r="HIY1" s="10"/>
      <c r="HIZ1" s="10"/>
      <c r="HJA1" s="10"/>
      <c r="HJB1" s="10"/>
      <c r="HJC1" s="10"/>
      <c r="HJD1" s="10"/>
      <c r="HJE1" s="10"/>
      <c r="HJF1" s="10"/>
      <c r="HJG1" s="10"/>
      <c r="HJH1" s="10"/>
      <c r="HJI1" s="10"/>
      <c r="HJJ1" s="10"/>
      <c r="HJK1" s="10"/>
      <c r="HJL1" s="10"/>
      <c r="HJM1" s="10"/>
      <c r="HJN1" s="10"/>
      <c r="HJO1" s="10"/>
      <c r="HJP1" s="10"/>
      <c r="HJQ1" s="10"/>
      <c r="HJR1" s="10"/>
      <c r="HJS1" s="10"/>
      <c r="HJT1" s="10"/>
      <c r="HJU1" s="10"/>
      <c r="HJV1" s="10"/>
      <c r="HJW1" s="10"/>
      <c r="HJX1" s="10"/>
      <c r="HJY1" s="10"/>
      <c r="HJZ1" s="10"/>
      <c r="HKA1" s="10"/>
      <c r="HKB1" s="10"/>
      <c r="HKC1" s="10"/>
      <c r="HKD1" s="10"/>
      <c r="HKE1" s="10"/>
      <c r="HKF1" s="10"/>
      <c r="HKG1" s="10"/>
      <c r="HKH1" s="10"/>
      <c r="HKI1" s="10"/>
      <c r="HKJ1" s="10"/>
      <c r="HKK1" s="10"/>
      <c r="HKL1" s="10"/>
      <c r="HKM1" s="10"/>
      <c r="HKN1" s="10"/>
      <c r="HKO1" s="10"/>
      <c r="HKP1" s="10"/>
      <c r="HKQ1" s="10"/>
      <c r="HKR1" s="10"/>
      <c r="HKS1" s="10"/>
      <c r="HKT1" s="10"/>
      <c r="HKU1" s="10"/>
      <c r="HKV1" s="10"/>
      <c r="HKW1" s="10"/>
      <c r="HKX1" s="10"/>
      <c r="HKY1" s="10"/>
      <c r="HKZ1" s="10"/>
      <c r="HLA1" s="10"/>
      <c r="HLB1" s="10"/>
      <c r="HLC1" s="10"/>
      <c r="HLD1" s="10"/>
      <c r="HLE1" s="10"/>
      <c r="HLF1" s="10"/>
      <c r="HLG1" s="10"/>
      <c r="HLH1" s="10"/>
      <c r="HLI1" s="10"/>
      <c r="HLJ1" s="10"/>
      <c r="HLK1" s="10"/>
      <c r="HLL1" s="10"/>
      <c r="HLM1" s="10"/>
      <c r="HLN1" s="10"/>
      <c r="HLO1" s="10"/>
      <c r="HLP1" s="10"/>
      <c r="HLQ1" s="10"/>
      <c r="HLR1" s="10"/>
      <c r="HLS1" s="10"/>
      <c r="HLT1" s="10"/>
      <c r="HLU1" s="10"/>
      <c r="HLV1" s="10"/>
      <c r="HLW1" s="10"/>
      <c r="HLX1" s="10"/>
      <c r="HLY1" s="10"/>
      <c r="HLZ1" s="10"/>
      <c r="HMA1" s="10"/>
      <c r="HMB1" s="10"/>
      <c r="HMC1" s="10"/>
      <c r="HMD1" s="10"/>
      <c r="HME1" s="10"/>
      <c r="HMF1" s="10"/>
      <c r="HMG1" s="10"/>
      <c r="HMH1" s="10"/>
      <c r="HMI1" s="10"/>
      <c r="HMJ1" s="10"/>
      <c r="HMK1" s="10"/>
      <c r="HML1" s="10"/>
      <c r="HMM1" s="10"/>
      <c r="HMN1" s="10"/>
      <c r="HMO1" s="10"/>
      <c r="HMP1" s="10"/>
      <c r="HMQ1" s="10"/>
      <c r="HMR1" s="10"/>
      <c r="HMS1" s="10"/>
      <c r="HMT1" s="10"/>
      <c r="HMU1" s="10"/>
      <c r="HMV1" s="10"/>
      <c r="HMW1" s="10"/>
      <c r="HMX1" s="10"/>
      <c r="HMY1" s="10"/>
      <c r="HMZ1" s="10"/>
      <c r="HNA1" s="10"/>
      <c r="HNB1" s="10"/>
      <c r="HNC1" s="10"/>
      <c r="HND1" s="10"/>
      <c r="HNE1" s="10"/>
      <c r="HNF1" s="10"/>
      <c r="HNG1" s="10"/>
      <c r="HNH1" s="10"/>
      <c r="HNI1" s="10"/>
      <c r="HNJ1" s="10"/>
      <c r="HNK1" s="10"/>
      <c r="HNL1" s="10"/>
      <c r="HNM1" s="10"/>
      <c r="HNN1" s="10"/>
      <c r="HNO1" s="10"/>
      <c r="HNP1" s="10"/>
      <c r="HNQ1" s="10"/>
      <c r="HNR1" s="10"/>
      <c r="HNS1" s="10"/>
      <c r="HNT1" s="10"/>
      <c r="HNU1" s="10"/>
      <c r="HNV1" s="10"/>
      <c r="HNW1" s="10"/>
      <c r="HNX1" s="10"/>
      <c r="HNY1" s="10"/>
      <c r="HNZ1" s="10"/>
      <c r="HOA1" s="10"/>
      <c r="HOB1" s="10"/>
      <c r="HOC1" s="10"/>
      <c r="HOD1" s="10"/>
      <c r="HOE1" s="10"/>
      <c r="HOF1" s="10"/>
      <c r="HOG1" s="10"/>
      <c r="HOH1" s="10"/>
      <c r="HOI1" s="10"/>
      <c r="HOJ1" s="10"/>
      <c r="HOK1" s="10"/>
      <c r="HOL1" s="10"/>
      <c r="HOM1" s="10"/>
      <c r="HON1" s="10"/>
      <c r="HOO1" s="10"/>
      <c r="HOP1" s="10"/>
      <c r="HOQ1" s="10"/>
      <c r="HOR1" s="10"/>
      <c r="HOS1" s="10"/>
      <c r="HOT1" s="10"/>
      <c r="HOU1" s="10"/>
      <c r="HOV1" s="10"/>
      <c r="HOW1" s="10"/>
      <c r="HOX1" s="10"/>
      <c r="HOY1" s="10"/>
      <c r="HOZ1" s="10"/>
      <c r="HPA1" s="10"/>
      <c r="HPB1" s="10"/>
      <c r="HPC1" s="10"/>
      <c r="HPD1" s="10"/>
      <c r="HPE1" s="10"/>
      <c r="HPF1" s="10"/>
      <c r="HPG1" s="10"/>
      <c r="HPH1" s="10"/>
      <c r="HPI1" s="10"/>
      <c r="HPJ1" s="10"/>
      <c r="HPK1" s="10"/>
      <c r="HPL1" s="10"/>
      <c r="HPM1" s="10"/>
      <c r="HPN1" s="10"/>
      <c r="HPO1" s="10"/>
      <c r="HPP1" s="10"/>
      <c r="HPQ1" s="10"/>
      <c r="HPR1" s="10"/>
      <c r="HPS1" s="10"/>
      <c r="HPT1" s="10"/>
      <c r="HPU1" s="10"/>
      <c r="HPV1" s="10"/>
      <c r="HPW1" s="10"/>
      <c r="HPX1" s="10"/>
      <c r="HPY1" s="10"/>
      <c r="HPZ1" s="10"/>
      <c r="HQA1" s="10"/>
      <c r="HQB1" s="10"/>
      <c r="HQC1" s="10"/>
      <c r="HQD1" s="10"/>
      <c r="HQE1" s="10"/>
      <c r="HQF1" s="10"/>
      <c r="HQG1" s="10"/>
      <c r="HQH1" s="10"/>
      <c r="HQI1" s="10"/>
      <c r="HQJ1" s="10"/>
      <c r="HQK1" s="10"/>
      <c r="HQL1" s="10"/>
      <c r="HQM1" s="10"/>
      <c r="HQN1" s="10"/>
      <c r="HQO1" s="10"/>
      <c r="HQP1" s="10"/>
      <c r="HQQ1" s="10"/>
      <c r="HQR1" s="10"/>
      <c r="HQS1" s="10"/>
      <c r="HQT1" s="10"/>
      <c r="HQU1" s="10"/>
      <c r="HQV1" s="10"/>
      <c r="HQW1" s="10"/>
      <c r="HQX1" s="10"/>
      <c r="HQY1" s="10"/>
      <c r="HQZ1" s="10"/>
      <c r="HRA1" s="10"/>
      <c r="HRB1" s="10"/>
      <c r="HRC1" s="10"/>
      <c r="HRD1" s="10"/>
      <c r="HRE1" s="10"/>
      <c r="HRF1" s="10"/>
      <c r="HRG1" s="10"/>
      <c r="HRH1" s="10"/>
      <c r="HRI1" s="10"/>
      <c r="HRJ1" s="10"/>
      <c r="HRK1" s="10"/>
      <c r="HRL1" s="10"/>
      <c r="HRM1" s="10"/>
      <c r="HRN1" s="10"/>
      <c r="HRO1" s="10"/>
      <c r="HRP1" s="10"/>
      <c r="HRQ1" s="10"/>
      <c r="HRR1" s="10"/>
      <c r="HRS1" s="10"/>
      <c r="HRT1" s="10"/>
      <c r="HRU1" s="10"/>
      <c r="HRV1" s="10"/>
      <c r="HRW1" s="10"/>
      <c r="HRX1" s="10"/>
      <c r="HRY1" s="10"/>
      <c r="HRZ1" s="10"/>
      <c r="HSA1" s="10"/>
      <c r="HSB1" s="10"/>
      <c r="HSC1" s="10"/>
      <c r="HSD1" s="10"/>
      <c r="HSE1" s="10"/>
      <c r="HSF1" s="10"/>
      <c r="HSG1" s="10"/>
      <c r="HSH1" s="10"/>
      <c r="HSI1" s="10"/>
      <c r="HSJ1" s="10"/>
      <c r="HSK1" s="10"/>
      <c r="HSL1" s="10"/>
      <c r="HSM1" s="10"/>
      <c r="HSN1" s="10"/>
      <c r="HSO1" s="10"/>
      <c r="HSP1" s="10"/>
      <c r="HSQ1" s="10"/>
      <c r="HSR1" s="10"/>
      <c r="HSS1" s="10"/>
      <c r="HST1" s="10"/>
      <c r="HSU1" s="10"/>
      <c r="HSV1" s="10"/>
      <c r="HSW1" s="10"/>
      <c r="HSX1" s="10"/>
      <c r="HSY1" s="10"/>
      <c r="HSZ1" s="10"/>
      <c r="HTA1" s="10"/>
      <c r="HTB1" s="10"/>
      <c r="HTC1" s="10"/>
      <c r="HTD1" s="10"/>
      <c r="HTE1" s="10"/>
      <c r="HTF1" s="10"/>
      <c r="HTG1" s="10"/>
      <c r="HTH1" s="10"/>
      <c r="HTI1" s="10"/>
      <c r="HTJ1" s="10"/>
      <c r="HTK1" s="10"/>
      <c r="HTL1" s="10"/>
      <c r="HTM1" s="10"/>
      <c r="HTN1" s="10"/>
      <c r="HTO1" s="10"/>
      <c r="HTP1" s="10"/>
      <c r="HTQ1" s="10"/>
      <c r="HTR1" s="10"/>
      <c r="HTS1" s="10"/>
      <c r="HTT1" s="10"/>
      <c r="HTU1" s="10"/>
      <c r="HTV1" s="10"/>
      <c r="HTW1" s="10"/>
      <c r="HTX1" s="10"/>
      <c r="HTY1" s="10"/>
      <c r="HTZ1" s="10"/>
      <c r="HUA1" s="10"/>
      <c r="HUB1" s="10"/>
      <c r="HUC1" s="10"/>
      <c r="HUD1" s="10"/>
      <c r="HUE1" s="10"/>
      <c r="HUF1" s="10"/>
      <c r="HUG1" s="10"/>
      <c r="HUH1" s="10"/>
      <c r="HUI1" s="10"/>
      <c r="HUJ1" s="10"/>
      <c r="HUK1" s="10"/>
      <c r="HUL1" s="10"/>
      <c r="HUM1" s="10"/>
      <c r="HUN1" s="10"/>
      <c r="HUO1" s="10"/>
      <c r="HUP1" s="10"/>
      <c r="HUQ1" s="10"/>
      <c r="HUR1" s="10"/>
      <c r="HUS1" s="10"/>
      <c r="HUT1" s="10"/>
      <c r="HUU1" s="10"/>
      <c r="HUV1" s="10"/>
      <c r="HUW1" s="10"/>
      <c r="HUX1" s="10"/>
      <c r="HUY1" s="10"/>
      <c r="HUZ1" s="10"/>
      <c r="HVA1" s="10"/>
      <c r="HVB1" s="10"/>
      <c r="HVC1" s="10"/>
      <c r="HVD1" s="10"/>
      <c r="HVE1" s="10"/>
      <c r="HVF1" s="10"/>
      <c r="HVG1" s="10"/>
      <c r="HVH1" s="10"/>
      <c r="HVI1" s="10"/>
      <c r="HVJ1" s="10"/>
      <c r="HVK1" s="10"/>
      <c r="HVL1" s="10"/>
      <c r="HVM1" s="10"/>
      <c r="HVN1" s="10"/>
      <c r="HVO1" s="10"/>
      <c r="HVP1" s="10"/>
      <c r="HVQ1" s="10"/>
      <c r="HVR1" s="10"/>
      <c r="HVS1" s="10"/>
      <c r="HVT1" s="10"/>
      <c r="HVU1" s="10"/>
      <c r="HVV1" s="10"/>
      <c r="HVW1" s="10"/>
      <c r="HVX1" s="10"/>
      <c r="HVY1" s="10"/>
      <c r="HVZ1" s="10"/>
      <c r="HWA1" s="10"/>
      <c r="HWB1" s="10"/>
      <c r="HWC1" s="10"/>
      <c r="HWD1" s="10"/>
      <c r="HWE1" s="10"/>
      <c r="HWF1" s="10"/>
      <c r="HWG1" s="10"/>
      <c r="HWH1" s="10"/>
      <c r="HWI1" s="10"/>
      <c r="HWJ1" s="10"/>
      <c r="HWK1" s="10"/>
      <c r="HWL1" s="10"/>
      <c r="HWM1" s="10"/>
      <c r="HWN1" s="10"/>
      <c r="HWO1" s="10"/>
      <c r="HWP1" s="10"/>
      <c r="HWQ1" s="10"/>
      <c r="HWR1" s="10"/>
      <c r="HWS1" s="10"/>
      <c r="HWT1" s="10"/>
      <c r="HWU1" s="10"/>
      <c r="HWV1" s="10"/>
      <c r="HWW1" s="10"/>
      <c r="HWX1" s="10"/>
      <c r="HWY1" s="10"/>
      <c r="HWZ1" s="10"/>
      <c r="HXA1" s="10"/>
      <c r="HXB1" s="10"/>
      <c r="HXC1" s="10"/>
      <c r="HXD1" s="10"/>
      <c r="HXE1" s="10"/>
      <c r="HXF1" s="10"/>
      <c r="HXG1" s="10"/>
      <c r="HXH1" s="10"/>
      <c r="HXI1" s="10"/>
      <c r="HXJ1" s="10"/>
      <c r="HXK1" s="10"/>
      <c r="HXL1" s="10"/>
      <c r="HXM1" s="10"/>
      <c r="HXN1" s="10"/>
      <c r="HXO1" s="10"/>
      <c r="HXP1" s="10"/>
      <c r="HXQ1" s="10"/>
      <c r="HXR1" s="10"/>
      <c r="HXS1" s="10"/>
      <c r="HXT1" s="10"/>
      <c r="HXU1" s="10"/>
      <c r="HXV1" s="10"/>
      <c r="HXW1" s="10"/>
      <c r="HXX1" s="10"/>
      <c r="HXY1" s="10"/>
      <c r="HXZ1" s="10"/>
      <c r="HYA1" s="10"/>
      <c r="HYB1" s="10"/>
      <c r="HYC1" s="10"/>
      <c r="HYD1" s="10"/>
      <c r="HYE1" s="10"/>
      <c r="HYF1" s="10"/>
      <c r="HYG1" s="10"/>
      <c r="HYH1" s="10"/>
      <c r="HYI1" s="10"/>
      <c r="HYJ1" s="10"/>
      <c r="HYK1" s="10"/>
      <c r="HYL1" s="10"/>
      <c r="HYM1" s="10"/>
      <c r="HYN1" s="10"/>
      <c r="HYO1" s="10"/>
      <c r="HYP1" s="10"/>
      <c r="HYQ1" s="10"/>
      <c r="HYR1" s="10"/>
      <c r="HYS1" s="10"/>
      <c r="HYT1" s="10"/>
      <c r="HYU1" s="10"/>
      <c r="HYV1" s="10"/>
      <c r="HYW1" s="10"/>
      <c r="HYX1" s="10"/>
      <c r="HYY1" s="10"/>
      <c r="HYZ1" s="10"/>
      <c r="HZA1" s="10"/>
      <c r="HZB1" s="10"/>
      <c r="HZC1" s="10"/>
      <c r="HZD1" s="10"/>
      <c r="HZE1" s="10"/>
      <c r="HZF1" s="10"/>
      <c r="HZG1" s="10"/>
      <c r="HZH1" s="10"/>
      <c r="HZI1" s="10"/>
      <c r="HZJ1" s="10"/>
      <c r="HZK1" s="10"/>
      <c r="HZL1" s="10"/>
      <c r="HZM1" s="10"/>
      <c r="HZN1" s="10"/>
      <c r="HZO1" s="10"/>
      <c r="HZP1" s="10"/>
      <c r="HZQ1" s="10"/>
      <c r="HZR1" s="10"/>
      <c r="HZS1" s="10"/>
      <c r="HZT1" s="10"/>
      <c r="HZU1" s="10"/>
      <c r="HZV1" s="10"/>
      <c r="HZW1" s="10"/>
      <c r="HZX1" s="10"/>
      <c r="HZY1" s="10"/>
      <c r="HZZ1" s="10"/>
      <c r="IAA1" s="10"/>
      <c r="IAB1" s="10"/>
      <c r="IAC1" s="10"/>
      <c r="IAD1" s="10"/>
      <c r="IAE1" s="10"/>
      <c r="IAF1" s="10"/>
      <c r="IAG1" s="10"/>
      <c r="IAH1" s="10"/>
      <c r="IAI1" s="10"/>
      <c r="IAJ1" s="10"/>
      <c r="IAK1" s="10"/>
      <c r="IAL1" s="10"/>
      <c r="IAM1" s="10"/>
      <c r="IAN1" s="10"/>
      <c r="IAO1" s="10"/>
      <c r="IAP1" s="10"/>
      <c r="IAQ1" s="10"/>
      <c r="IAR1" s="10"/>
      <c r="IAS1" s="10"/>
      <c r="IAT1" s="10"/>
      <c r="IAU1" s="10"/>
      <c r="IAV1" s="10"/>
      <c r="IAW1" s="10"/>
      <c r="IAX1" s="10"/>
      <c r="IAY1" s="10"/>
      <c r="IAZ1" s="10"/>
      <c r="IBA1" s="10"/>
      <c r="IBB1" s="10"/>
      <c r="IBC1" s="10"/>
      <c r="IBD1" s="10"/>
      <c r="IBE1" s="10"/>
      <c r="IBF1" s="10"/>
      <c r="IBG1" s="10"/>
      <c r="IBH1" s="10"/>
      <c r="IBI1" s="10"/>
      <c r="IBJ1" s="10"/>
      <c r="IBK1" s="10"/>
      <c r="IBL1" s="10"/>
      <c r="IBM1" s="10"/>
      <c r="IBN1" s="10"/>
      <c r="IBO1" s="10"/>
      <c r="IBP1" s="10"/>
      <c r="IBQ1" s="10"/>
      <c r="IBR1" s="10"/>
      <c r="IBS1" s="10"/>
      <c r="IBT1" s="10"/>
      <c r="IBU1" s="10"/>
      <c r="IBV1" s="10"/>
      <c r="IBW1" s="10"/>
      <c r="IBX1" s="10"/>
      <c r="IBY1" s="10"/>
      <c r="IBZ1" s="10"/>
      <c r="ICA1" s="10"/>
      <c r="ICB1" s="10"/>
      <c r="ICC1" s="10"/>
      <c r="ICD1" s="10"/>
      <c r="ICE1" s="10"/>
      <c r="ICF1" s="10"/>
      <c r="ICG1" s="10"/>
      <c r="ICH1" s="10"/>
      <c r="ICI1" s="10"/>
      <c r="ICJ1" s="10"/>
      <c r="ICK1" s="10"/>
      <c r="ICL1" s="10"/>
      <c r="ICM1" s="10"/>
      <c r="ICN1" s="10"/>
      <c r="ICO1" s="10"/>
      <c r="ICP1" s="10"/>
      <c r="ICQ1" s="10"/>
      <c r="ICR1" s="10"/>
      <c r="ICS1" s="10"/>
      <c r="ICT1" s="10"/>
      <c r="ICU1" s="10"/>
      <c r="ICV1" s="10"/>
      <c r="ICW1" s="10"/>
      <c r="ICX1" s="10"/>
      <c r="ICY1" s="10"/>
      <c r="ICZ1" s="10"/>
      <c r="IDA1" s="10"/>
      <c r="IDB1" s="10"/>
      <c r="IDC1" s="10"/>
      <c r="IDD1" s="10"/>
      <c r="IDE1" s="10"/>
      <c r="IDF1" s="10"/>
      <c r="IDG1" s="10"/>
      <c r="IDH1" s="10"/>
      <c r="IDI1" s="10"/>
      <c r="IDJ1" s="10"/>
      <c r="IDK1" s="10"/>
      <c r="IDL1" s="10"/>
      <c r="IDM1" s="10"/>
      <c r="IDN1" s="10"/>
      <c r="IDO1" s="10"/>
      <c r="IDP1" s="10"/>
      <c r="IDQ1" s="10"/>
      <c r="IDR1" s="10"/>
      <c r="IDS1" s="10"/>
      <c r="IDT1" s="10"/>
      <c r="IDU1" s="10"/>
      <c r="IDV1" s="10"/>
      <c r="IDW1" s="10"/>
      <c r="IDX1" s="10"/>
      <c r="IDY1" s="10"/>
      <c r="IDZ1" s="10"/>
      <c r="IEA1" s="10"/>
      <c r="IEB1" s="10"/>
      <c r="IEC1" s="10"/>
      <c r="IED1" s="10"/>
      <c r="IEE1" s="10"/>
      <c r="IEF1" s="10"/>
      <c r="IEG1" s="10"/>
      <c r="IEH1" s="10"/>
      <c r="IEI1" s="10"/>
      <c r="IEJ1" s="10"/>
      <c r="IEK1" s="10"/>
      <c r="IEL1" s="10"/>
      <c r="IEM1" s="10"/>
      <c r="IEN1" s="10"/>
      <c r="IEO1" s="10"/>
      <c r="IEP1" s="10"/>
      <c r="IEQ1" s="10"/>
      <c r="IER1" s="10"/>
      <c r="IES1" s="10"/>
      <c r="IET1" s="10"/>
      <c r="IEU1" s="10"/>
      <c r="IEV1" s="10"/>
      <c r="IEW1" s="10"/>
      <c r="IEX1" s="10"/>
      <c r="IEY1" s="10"/>
      <c r="IEZ1" s="10"/>
      <c r="IFA1" s="10"/>
      <c r="IFB1" s="10"/>
      <c r="IFC1" s="10"/>
      <c r="IFD1" s="10"/>
      <c r="IFE1" s="10"/>
      <c r="IFF1" s="10"/>
      <c r="IFG1" s="10"/>
      <c r="IFH1" s="10"/>
      <c r="IFI1" s="10"/>
      <c r="IFJ1" s="10"/>
      <c r="IFK1" s="10"/>
      <c r="IFL1" s="10"/>
      <c r="IFM1" s="10"/>
      <c r="IFN1" s="10"/>
      <c r="IFO1" s="10"/>
      <c r="IFP1" s="10"/>
      <c r="IFQ1" s="10"/>
      <c r="IFR1" s="10"/>
      <c r="IFS1" s="10"/>
      <c r="IFT1" s="10"/>
      <c r="IFU1" s="10"/>
      <c r="IFV1" s="10"/>
      <c r="IFW1" s="10"/>
      <c r="IFX1" s="10"/>
      <c r="IFY1" s="10"/>
      <c r="IFZ1" s="10"/>
      <c r="IGA1" s="10"/>
      <c r="IGB1" s="10"/>
      <c r="IGC1" s="10"/>
      <c r="IGD1" s="10"/>
      <c r="IGE1" s="10"/>
      <c r="IGF1" s="10"/>
      <c r="IGG1" s="10"/>
      <c r="IGH1" s="10"/>
      <c r="IGI1" s="10"/>
      <c r="IGJ1" s="10"/>
      <c r="IGK1" s="10"/>
      <c r="IGL1" s="10"/>
      <c r="IGM1" s="10"/>
      <c r="IGN1" s="10"/>
      <c r="IGO1" s="10"/>
      <c r="IGP1" s="10"/>
      <c r="IGQ1" s="10"/>
      <c r="IGR1" s="10"/>
      <c r="IGS1" s="10"/>
      <c r="IGT1" s="10"/>
      <c r="IGU1" s="10"/>
      <c r="IGV1" s="10"/>
      <c r="IGW1" s="10"/>
      <c r="IGX1" s="10"/>
      <c r="IGY1" s="10"/>
      <c r="IGZ1" s="10"/>
      <c r="IHA1" s="10"/>
      <c r="IHB1" s="10"/>
      <c r="IHC1" s="10"/>
      <c r="IHD1" s="10"/>
      <c r="IHE1" s="10"/>
      <c r="IHF1" s="10"/>
      <c r="IHG1" s="10"/>
      <c r="IHH1" s="10"/>
      <c r="IHI1" s="10"/>
      <c r="IHJ1" s="10"/>
      <c r="IHK1" s="10"/>
      <c r="IHL1" s="10"/>
      <c r="IHM1" s="10"/>
      <c r="IHN1" s="10"/>
      <c r="IHO1" s="10"/>
      <c r="IHP1" s="10"/>
      <c r="IHQ1" s="10"/>
      <c r="IHR1" s="10"/>
      <c r="IHS1" s="10"/>
      <c r="IHT1" s="10"/>
      <c r="IHU1" s="10"/>
      <c r="IHV1" s="10"/>
      <c r="IHW1" s="10"/>
      <c r="IHX1" s="10"/>
      <c r="IHY1" s="10"/>
      <c r="IHZ1" s="10"/>
      <c r="IIA1" s="10"/>
      <c r="IIB1" s="10"/>
      <c r="IIC1" s="10"/>
      <c r="IID1" s="10"/>
      <c r="IIE1" s="10"/>
      <c r="IIF1" s="10"/>
      <c r="IIG1" s="10"/>
      <c r="IIH1" s="10"/>
      <c r="III1" s="10"/>
      <c r="IIJ1" s="10"/>
      <c r="IIK1" s="10"/>
      <c r="IIL1" s="10"/>
      <c r="IIM1" s="10"/>
      <c r="IIN1" s="10"/>
      <c r="IIO1" s="10"/>
      <c r="IIP1" s="10"/>
      <c r="IIQ1" s="10"/>
      <c r="IIR1" s="10"/>
      <c r="IIS1" s="10"/>
      <c r="IIT1" s="10"/>
      <c r="IIU1" s="10"/>
      <c r="IIV1" s="10"/>
      <c r="IIW1" s="10"/>
      <c r="IIX1" s="10"/>
      <c r="IIY1" s="10"/>
      <c r="IIZ1" s="10"/>
      <c r="IJA1" s="10"/>
      <c r="IJB1" s="10"/>
      <c r="IJC1" s="10"/>
      <c r="IJD1" s="10"/>
      <c r="IJE1" s="10"/>
      <c r="IJF1" s="10"/>
      <c r="IJG1" s="10"/>
      <c r="IJH1" s="10"/>
      <c r="IJI1" s="10"/>
      <c r="IJJ1" s="10"/>
      <c r="IJK1" s="10"/>
      <c r="IJL1" s="10"/>
      <c r="IJM1" s="10"/>
      <c r="IJN1" s="10"/>
      <c r="IJO1" s="10"/>
      <c r="IJP1" s="10"/>
      <c r="IJQ1" s="10"/>
      <c r="IJR1" s="10"/>
      <c r="IJS1" s="10"/>
      <c r="IJT1" s="10"/>
      <c r="IJU1" s="10"/>
      <c r="IJV1" s="10"/>
      <c r="IJW1" s="10"/>
      <c r="IJX1" s="10"/>
      <c r="IJY1" s="10"/>
      <c r="IJZ1" s="10"/>
      <c r="IKA1" s="10"/>
      <c r="IKB1" s="10"/>
      <c r="IKC1" s="10"/>
      <c r="IKD1" s="10"/>
      <c r="IKE1" s="10"/>
      <c r="IKF1" s="10"/>
      <c r="IKG1" s="10"/>
      <c r="IKH1" s="10"/>
      <c r="IKI1" s="10"/>
      <c r="IKJ1" s="10"/>
      <c r="IKK1" s="10"/>
      <c r="IKL1" s="10"/>
      <c r="IKM1" s="10"/>
      <c r="IKN1" s="10"/>
      <c r="IKO1" s="10"/>
      <c r="IKP1" s="10"/>
      <c r="IKQ1" s="10"/>
      <c r="IKR1" s="10"/>
      <c r="IKS1" s="10"/>
      <c r="IKT1" s="10"/>
      <c r="IKU1" s="10"/>
      <c r="IKV1" s="10"/>
      <c r="IKW1" s="10"/>
      <c r="IKX1" s="10"/>
      <c r="IKY1" s="10"/>
      <c r="IKZ1" s="10"/>
      <c r="ILA1" s="10"/>
      <c r="ILB1" s="10"/>
      <c r="ILC1" s="10"/>
      <c r="ILD1" s="10"/>
      <c r="ILE1" s="10"/>
      <c r="ILF1" s="10"/>
      <c r="ILG1" s="10"/>
      <c r="ILH1" s="10"/>
      <c r="ILI1" s="10"/>
      <c r="ILJ1" s="10"/>
      <c r="ILK1" s="10"/>
      <c r="ILL1" s="10"/>
      <c r="ILM1" s="10"/>
      <c r="ILN1" s="10"/>
      <c r="ILO1" s="10"/>
      <c r="ILP1" s="10"/>
      <c r="ILQ1" s="10"/>
      <c r="ILR1" s="10"/>
      <c r="ILS1" s="10"/>
      <c r="ILT1" s="10"/>
      <c r="ILU1" s="10"/>
      <c r="ILV1" s="10"/>
      <c r="ILW1" s="10"/>
      <c r="ILX1" s="10"/>
      <c r="ILY1" s="10"/>
      <c r="ILZ1" s="10"/>
      <c r="IMA1" s="10"/>
      <c r="IMB1" s="10"/>
      <c r="IMC1" s="10"/>
      <c r="IMD1" s="10"/>
      <c r="IME1" s="10"/>
      <c r="IMF1" s="10"/>
      <c r="IMG1" s="10"/>
      <c r="IMH1" s="10"/>
      <c r="IMI1" s="10"/>
      <c r="IMJ1" s="10"/>
      <c r="IMK1" s="10"/>
      <c r="IML1" s="10"/>
      <c r="IMM1" s="10"/>
      <c r="IMN1" s="10"/>
      <c r="IMO1" s="10"/>
      <c r="IMP1" s="10"/>
      <c r="IMQ1" s="10"/>
      <c r="IMR1" s="10"/>
      <c r="IMS1" s="10"/>
      <c r="IMT1" s="10"/>
      <c r="IMU1" s="10"/>
      <c r="IMV1" s="10"/>
      <c r="IMW1" s="10"/>
      <c r="IMX1" s="10"/>
      <c r="IMY1" s="10"/>
      <c r="IMZ1" s="10"/>
      <c r="INA1" s="10"/>
      <c r="INB1" s="10"/>
      <c r="INC1" s="10"/>
      <c r="IND1" s="10"/>
      <c r="INE1" s="10"/>
      <c r="INF1" s="10"/>
      <c r="ING1" s="10"/>
      <c r="INH1" s="10"/>
      <c r="INI1" s="10"/>
      <c r="INJ1" s="10"/>
      <c r="INK1" s="10"/>
      <c r="INL1" s="10"/>
      <c r="INM1" s="10"/>
      <c r="INN1" s="10"/>
      <c r="INO1" s="10"/>
      <c r="INP1" s="10"/>
      <c r="INQ1" s="10"/>
      <c r="INR1" s="10"/>
      <c r="INS1" s="10"/>
      <c r="INT1" s="10"/>
      <c r="INU1" s="10"/>
      <c r="INV1" s="10"/>
      <c r="INW1" s="10"/>
      <c r="INX1" s="10"/>
      <c r="INY1" s="10"/>
      <c r="INZ1" s="10"/>
      <c r="IOA1" s="10"/>
      <c r="IOB1" s="10"/>
      <c r="IOC1" s="10"/>
      <c r="IOD1" s="10"/>
      <c r="IOE1" s="10"/>
      <c r="IOF1" s="10"/>
      <c r="IOG1" s="10"/>
      <c r="IOH1" s="10"/>
      <c r="IOI1" s="10"/>
      <c r="IOJ1" s="10"/>
      <c r="IOK1" s="10"/>
      <c r="IOL1" s="10"/>
      <c r="IOM1" s="10"/>
      <c r="ION1" s="10"/>
      <c r="IOO1" s="10"/>
      <c r="IOP1" s="10"/>
      <c r="IOQ1" s="10"/>
      <c r="IOR1" s="10"/>
      <c r="IOS1" s="10"/>
      <c r="IOT1" s="10"/>
      <c r="IOU1" s="10"/>
      <c r="IOV1" s="10"/>
      <c r="IOW1" s="10"/>
      <c r="IOX1" s="10"/>
      <c r="IOY1" s="10"/>
      <c r="IOZ1" s="10"/>
      <c r="IPA1" s="10"/>
      <c r="IPB1" s="10"/>
      <c r="IPC1" s="10"/>
      <c r="IPD1" s="10"/>
      <c r="IPE1" s="10"/>
      <c r="IPF1" s="10"/>
      <c r="IPG1" s="10"/>
      <c r="IPH1" s="10"/>
      <c r="IPI1" s="10"/>
      <c r="IPJ1" s="10"/>
      <c r="IPK1" s="10"/>
      <c r="IPL1" s="10"/>
      <c r="IPM1" s="10"/>
      <c r="IPN1" s="10"/>
      <c r="IPO1" s="10"/>
      <c r="IPP1" s="10"/>
      <c r="IPQ1" s="10"/>
      <c r="IPR1" s="10"/>
      <c r="IPS1" s="10"/>
      <c r="IPT1" s="10"/>
      <c r="IPU1" s="10"/>
      <c r="IPV1" s="10"/>
      <c r="IPW1" s="10"/>
      <c r="IPX1" s="10"/>
      <c r="IPY1" s="10"/>
      <c r="IPZ1" s="10"/>
      <c r="IQA1" s="10"/>
      <c r="IQB1" s="10"/>
      <c r="IQC1" s="10"/>
      <c r="IQD1" s="10"/>
      <c r="IQE1" s="10"/>
      <c r="IQF1" s="10"/>
      <c r="IQG1" s="10"/>
      <c r="IQH1" s="10"/>
      <c r="IQI1" s="10"/>
      <c r="IQJ1" s="10"/>
      <c r="IQK1" s="10"/>
      <c r="IQL1" s="10"/>
      <c r="IQM1" s="10"/>
      <c r="IQN1" s="10"/>
      <c r="IQO1" s="10"/>
      <c r="IQP1" s="10"/>
      <c r="IQQ1" s="10"/>
      <c r="IQR1" s="10"/>
      <c r="IQS1" s="10"/>
      <c r="IQT1" s="10"/>
      <c r="IQU1" s="10"/>
      <c r="IQV1" s="10"/>
      <c r="IQW1" s="10"/>
      <c r="IQX1" s="10"/>
      <c r="IQY1" s="10"/>
      <c r="IQZ1" s="10"/>
      <c r="IRA1" s="10"/>
      <c r="IRB1" s="10"/>
      <c r="IRC1" s="10"/>
      <c r="IRD1" s="10"/>
      <c r="IRE1" s="10"/>
      <c r="IRF1" s="10"/>
      <c r="IRG1" s="10"/>
      <c r="IRH1" s="10"/>
      <c r="IRI1" s="10"/>
      <c r="IRJ1" s="10"/>
      <c r="IRK1" s="10"/>
      <c r="IRL1" s="10"/>
      <c r="IRM1" s="10"/>
      <c r="IRN1" s="10"/>
      <c r="IRO1" s="10"/>
      <c r="IRP1" s="10"/>
      <c r="IRQ1" s="10"/>
      <c r="IRR1" s="10"/>
      <c r="IRS1" s="10"/>
      <c r="IRT1" s="10"/>
      <c r="IRU1" s="10"/>
      <c r="IRV1" s="10"/>
      <c r="IRW1" s="10"/>
      <c r="IRX1" s="10"/>
      <c r="IRY1" s="10"/>
      <c r="IRZ1" s="10"/>
      <c r="ISA1" s="10"/>
      <c r="ISB1" s="10"/>
      <c r="ISC1" s="10"/>
      <c r="ISD1" s="10"/>
      <c r="ISE1" s="10"/>
      <c r="ISF1" s="10"/>
      <c r="ISG1" s="10"/>
      <c r="ISH1" s="10"/>
      <c r="ISI1" s="10"/>
      <c r="ISJ1" s="10"/>
      <c r="ISK1" s="10"/>
      <c r="ISL1" s="10"/>
      <c r="ISM1" s="10"/>
      <c r="ISN1" s="10"/>
      <c r="ISO1" s="10"/>
      <c r="ISP1" s="10"/>
      <c r="ISQ1" s="10"/>
      <c r="ISR1" s="10"/>
      <c r="ISS1" s="10"/>
      <c r="IST1" s="10"/>
      <c r="ISU1" s="10"/>
      <c r="ISV1" s="10"/>
      <c r="ISW1" s="10"/>
      <c r="ISX1" s="10"/>
      <c r="ISY1" s="10"/>
      <c r="ISZ1" s="10"/>
      <c r="ITA1" s="10"/>
      <c r="ITB1" s="10"/>
      <c r="ITC1" s="10"/>
      <c r="ITD1" s="10"/>
      <c r="ITE1" s="10"/>
      <c r="ITF1" s="10"/>
      <c r="ITG1" s="10"/>
      <c r="ITH1" s="10"/>
      <c r="ITI1" s="10"/>
      <c r="ITJ1" s="10"/>
      <c r="ITK1" s="10"/>
      <c r="ITL1" s="10"/>
      <c r="ITM1" s="10"/>
      <c r="ITN1" s="10"/>
      <c r="ITO1" s="10"/>
      <c r="ITP1" s="10"/>
      <c r="ITQ1" s="10"/>
      <c r="ITR1" s="10"/>
      <c r="ITS1" s="10"/>
      <c r="ITT1" s="10"/>
      <c r="ITU1" s="10"/>
      <c r="ITV1" s="10"/>
      <c r="ITW1" s="10"/>
      <c r="ITX1" s="10"/>
      <c r="ITY1" s="10"/>
      <c r="ITZ1" s="10"/>
      <c r="IUA1" s="10"/>
      <c r="IUB1" s="10"/>
      <c r="IUC1" s="10"/>
      <c r="IUD1" s="10"/>
      <c r="IUE1" s="10"/>
      <c r="IUF1" s="10"/>
      <c r="IUG1" s="10"/>
      <c r="IUH1" s="10"/>
      <c r="IUI1" s="10"/>
      <c r="IUJ1" s="10"/>
      <c r="IUK1" s="10"/>
      <c r="IUL1" s="10"/>
      <c r="IUM1" s="10"/>
      <c r="IUN1" s="10"/>
      <c r="IUO1" s="10"/>
      <c r="IUP1" s="10"/>
      <c r="IUQ1" s="10"/>
      <c r="IUR1" s="10"/>
      <c r="IUS1" s="10"/>
      <c r="IUT1" s="10"/>
      <c r="IUU1" s="10"/>
      <c r="IUV1" s="10"/>
      <c r="IUW1" s="10"/>
      <c r="IUX1" s="10"/>
      <c r="IUY1" s="10"/>
      <c r="IUZ1" s="10"/>
      <c r="IVA1" s="10"/>
      <c r="IVB1" s="10"/>
      <c r="IVC1" s="10"/>
      <c r="IVD1" s="10"/>
      <c r="IVE1" s="10"/>
      <c r="IVF1" s="10"/>
      <c r="IVG1" s="10"/>
      <c r="IVH1" s="10"/>
      <c r="IVI1" s="10"/>
      <c r="IVJ1" s="10"/>
      <c r="IVK1" s="10"/>
      <c r="IVL1" s="10"/>
      <c r="IVM1" s="10"/>
      <c r="IVN1" s="10"/>
      <c r="IVO1" s="10"/>
      <c r="IVP1" s="10"/>
      <c r="IVQ1" s="10"/>
      <c r="IVR1" s="10"/>
      <c r="IVS1" s="10"/>
      <c r="IVT1" s="10"/>
      <c r="IVU1" s="10"/>
      <c r="IVV1" s="10"/>
      <c r="IVW1" s="10"/>
      <c r="IVX1" s="10"/>
      <c r="IVY1" s="10"/>
      <c r="IVZ1" s="10"/>
      <c r="IWA1" s="10"/>
      <c r="IWB1" s="10"/>
      <c r="IWC1" s="10"/>
      <c r="IWD1" s="10"/>
      <c r="IWE1" s="10"/>
      <c r="IWF1" s="10"/>
      <c r="IWG1" s="10"/>
      <c r="IWH1" s="10"/>
      <c r="IWI1" s="10"/>
      <c r="IWJ1" s="10"/>
      <c r="IWK1" s="10"/>
      <c r="IWL1" s="10"/>
      <c r="IWM1" s="10"/>
      <c r="IWN1" s="10"/>
      <c r="IWO1" s="10"/>
      <c r="IWP1" s="10"/>
      <c r="IWQ1" s="10"/>
      <c r="IWR1" s="10"/>
      <c r="IWS1" s="10"/>
      <c r="IWT1" s="10"/>
      <c r="IWU1" s="10"/>
      <c r="IWV1" s="10"/>
      <c r="IWW1" s="10"/>
      <c r="IWX1" s="10"/>
      <c r="IWY1" s="10"/>
      <c r="IWZ1" s="10"/>
      <c r="IXA1" s="10"/>
      <c r="IXB1" s="10"/>
      <c r="IXC1" s="10"/>
      <c r="IXD1" s="10"/>
      <c r="IXE1" s="10"/>
      <c r="IXF1" s="10"/>
      <c r="IXG1" s="10"/>
      <c r="IXH1" s="10"/>
      <c r="IXI1" s="10"/>
      <c r="IXJ1" s="10"/>
      <c r="IXK1" s="10"/>
      <c r="IXL1" s="10"/>
      <c r="IXM1" s="10"/>
      <c r="IXN1" s="10"/>
      <c r="IXO1" s="10"/>
      <c r="IXP1" s="10"/>
      <c r="IXQ1" s="10"/>
      <c r="IXR1" s="10"/>
      <c r="IXS1" s="10"/>
      <c r="IXT1" s="10"/>
      <c r="IXU1" s="10"/>
      <c r="IXV1" s="10"/>
      <c r="IXW1" s="10"/>
      <c r="IXX1" s="10"/>
      <c r="IXY1" s="10"/>
      <c r="IXZ1" s="10"/>
      <c r="IYA1" s="10"/>
      <c r="IYB1" s="10"/>
      <c r="IYC1" s="10"/>
      <c r="IYD1" s="10"/>
      <c r="IYE1" s="10"/>
      <c r="IYF1" s="10"/>
      <c r="IYG1" s="10"/>
      <c r="IYH1" s="10"/>
      <c r="IYI1" s="10"/>
      <c r="IYJ1" s="10"/>
      <c r="IYK1" s="10"/>
      <c r="IYL1" s="10"/>
      <c r="IYM1" s="10"/>
      <c r="IYN1" s="10"/>
      <c r="IYO1" s="10"/>
      <c r="IYP1" s="10"/>
      <c r="IYQ1" s="10"/>
      <c r="IYR1" s="10"/>
      <c r="IYS1" s="10"/>
      <c r="IYT1" s="10"/>
      <c r="IYU1" s="10"/>
      <c r="IYV1" s="10"/>
      <c r="IYW1" s="10"/>
      <c r="IYX1" s="10"/>
      <c r="IYY1" s="10"/>
      <c r="IYZ1" s="10"/>
      <c r="IZA1" s="10"/>
      <c r="IZB1" s="10"/>
      <c r="IZC1" s="10"/>
      <c r="IZD1" s="10"/>
      <c r="IZE1" s="10"/>
      <c r="IZF1" s="10"/>
      <c r="IZG1" s="10"/>
      <c r="IZH1" s="10"/>
      <c r="IZI1" s="10"/>
      <c r="IZJ1" s="10"/>
      <c r="IZK1" s="10"/>
      <c r="IZL1" s="10"/>
      <c r="IZM1" s="10"/>
      <c r="IZN1" s="10"/>
      <c r="IZO1" s="10"/>
      <c r="IZP1" s="10"/>
      <c r="IZQ1" s="10"/>
      <c r="IZR1" s="10"/>
      <c r="IZS1" s="10"/>
      <c r="IZT1" s="10"/>
      <c r="IZU1" s="10"/>
      <c r="IZV1" s="10"/>
      <c r="IZW1" s="10"/>
      <c r="IZX1" s="10"/>
      <c r="IZY1" s="10"/>
      <c r="IZZ1" s="10"/>
      <c r="JAA1" s="10"/>
      <c r="JAB1" s="10"/>
      <c r="JAC1" s="10"/>
      <c r="JAD1" s="10"/>
      <c r="JAE1" s="10"/>
      <c r="JAF1" s="10"/>
      <c r="JAG1" s="10"/>
      <c r="JAH1" s="10"/>
      <c r="JAI1" s="10"/>
      <c r="JAJ1" s="10"/>
      <c r="JAK1" s="10"/>
      <c r="JAL1" s="10"/>
      <c r="JAM1" s="10"/>
      <c r="JAN1" s="10"/>
      <c r="JAO1" s="10"/>
      <c r="JAP1" s="10"/>
      <c r="JAQ1" s="10"/>
      <c r="JAR1" s="10"/>
      <c r="JAS1" s="10"/>
      <c r="JAT1" s="10"/>
      <c r="JAU1" s="10"/>
      <c r="JAV1" s="10"/>
      <c r="JAW1" s="10"/>
      <c r="JAX1" s="10"/>
      <c r="JAY1" s="10"/>
      <c r="JAZ1" s="10"/>
      <c r="JBA1" s="10"/>
      <c r="JBB1" s="10"/>
      <c r="JBC1" s="10"/>
      <c r="JBD1" s="10"/>
      <c r="JBE1" s="10"/>
      <c r="JBF1" s="10"/>
      <c r="JBG1" s="10"/>
      <c r="JBH1" s="10"/>
      <c r="JBI1" s="10"/>
      <c r="JBJ1" s="10"/>
      <c r="JBK1" s="10"/>
      <c r="JBL1" s="10"/>
      <c r="JBM1" s="10"/>
      <c r="JBN1" s="10"/>
      <c r="JBO1" s="10"/>
      <c r="JBP1" s="10"/>
      <c r="JBQ1" s="10"/>
      <c r="JBR1" s="10"/>
      <c r="JBS1" s="10"/>
      <c r="JBT1" s="10"/>
      <c r="JBU1" s="10"/>
      <c r="JBV1" s="10"/>
      <c r="JBW1" s="10"/>
      <c r="JBX1" s="10"/>
      <c r="JBY1" s="10"/>
      <c r="JBZ1" s="10"/>
      <c r="JCA1" s="10"/>
      <c r="JCB1" s="10"/>
      <c r="JCC1" s="10"/>
      <c r="JCD1" s="10"/>
      <c r="JCE1" s="10"/>
      <c r="JCF1" s="10"/>
      <c r="JCG1" s="10"/>
      <c r="JCH1" s="10"/>
      <c r="JCI1" s="10"/>
      <c r="JCJ1" s="10"/>
      <c r="JCK1" s="10"/>
      <c r="JCL1" s="10"/>
      <c r="JCM1" s="10"/>
      <c r="JCN1" s="10"/>
      <c r="JCO1" s="10"/>
      <c r="JCP1" s="10"/>
      <c r="JCQ1" s="10"/>
      <c r="JCR1" s="10"/>
      <c r="JCS1" s="10"/>
      <c r="JCT1" s="10"/>
      <c r="JCU1" s="10"/>
      <c r="JCV1" s="10"/>
      <c r="JCW1" s="10"/>
      <c r="JCX1" s="10"/>
      <c r="JCY1" s="10"/>
      <c r="JCZ1" s="10"/>
      <c r="JDA1" s="10"/>
      <c r="JDB1" s="10"/>
      <c r="JDC1" s="10"/>
      <c r="JDD1" s="10"/>
      <c r="JDE1" s="10"/>
      <c r="JDF1" s="10"/>
      <c r="JDG1" s="10"/>
      <c r="JDH1" s="10"/>
      <c r="JDI1" s="10"/>
      <c r="JDJ1" s="10"/>
      <c r="JDK1" s="10"/>
      <c r="JDL1" s="10"/>
      <c r="JDM1" s="10"/>
      <c r="JDN1" s="10"/>
      <c r="JDO1" s="10"/>
      <c r="JDP1" s="10"/>
      <c r="JDQ1" s="10"/>
      <c r="JDR1" s="10"/>
      <c r="JDS1" s="10"/>
      <c r="JDT1" s="10"/>
      <c r="JDU1" s="10"/>
      <c r="JDV1" s="10"/>
      <c r="JDW1" s="10"/>
      <c r="JDX1" s="10"/>
      <c r="JDY1" s="10"/>
      <c r="JDZ1" s="10"/>
      <c r="JEA1" s="10"/>
      <c r="JEB1" s="10"/>
      <c r="JEC1" s="10"/>
      <c r="JED1" s="10"/>
      <c r="JEE1" s="10"/>
      <c r="JEF1" s="10"/>
      <c r="JEG1" s="10"/>
      <c r="JEH1" s="10"/>
      <c r="JEI1" s="10"/>
      <c r="JEJ1" s="10"/>
      <c r="JEK1" s="10"/>
      <c r="JEL1" s="10"/>
      <c r="JEM1" s="10"/>
      <c r="JEN1" s="10"/>
      <c r="JEO1" s="10"/>
      <c r="JEP1" s="10"/>
      <c r="JEQ1" s="10"/>
      <c r="JER1" s="10"/>
      <c r="JES1" s="10"/>
      <c r="JET1" s="10"/>
      <c r="JEU1" s="10"/>
      <c r="JEV1" s="10"/>
      <c r="JEW1" s="10"/>
      <c r="JEX1" s="10"/>
      <c r="JEY1" s="10"/>
      <c r="JEZ1" s="10"/>
      <c r="JFA1" s="10"/>
      <c r="JFB1" s="10"/>
      <c r="JFC1" s="10"/>
      <c r="JFD1" s="10"/>
      <c r="JFE1" s="10"/>
      <c r="JFF1" s="10"/>
      <c r="JFG1" s="10"/>
      <c r="JFH1" s="10"/>
      <c r="JFI1" s="10"/>
      <c r="JFJ1" s="10"/>
      <c r="JFK1" s="10"/>
      <c r="JFL1" s="10"/>
      <c r="JFM1" s="10"/>
      <c r="JFN1" s="10"/>
      <c r="JFO1" s="10"/>
      <c r="JFP1" s="10"/>
      <c r="JFQ1" s="10"/>
      <c r="JFR1" s="10"/>
      <c r="JFS1" s="10"/>
      <c r="JFT1" s="10"/>
      <c r="JFU1" s="10"/>
      <c r="JFV1" s="10"/>
      <c r="JFW1" s="10"/>
      <c r="JFX1" s="10"/>
      <c r="JFY1" s="10"/>
      <c r="JFZ1" s="10"/>
      <c r="JGA1" s="10"/>
      <c r="JGB1" s="10"/>
      <c r="JGC1" s="10"/>
      <c r="JGD1" s="10"/>
      <c r="JGE1" s="10"/>
      <c r="JGF1" s="10"/>
      <c r="JGG1" s="10"/>
      <c r="JGH1" s="10"/>
      <c r="JGI1" s="10"/>
      <c r="JGJ1" s="10"/>
      <c r="JGK1" s="10"/>
      <c r="JGL1" s="10"/>
      <c r="JGM1" s="10"/>
      <c r="JGN1" s="10"/>
      <c r="JGO1" s="10"/>
      <c r="JGP1" s="10"/>
      <c r="JGQ1" s="10"/>
      <c r="JGR1" s="10"/>
      <c r="JGS1" s="10"/>
      <c r="JGT1" s="10"/>
      <c r="JGU1" s="10"/>
      <c r="JGV1" s="10"/>
      <c r="JGW1" s="10"/>
      <c r="JGX1" s="10"/>
      <c r="JGY1" s="10"/>
      <c r="JGZ1" s="10"/>
      <c r="JHA1" s="10"/>
      <c r="JHB1" s="10"/>
      <c r="JHC1" s="10"/>
      <c r="JHD1" s="10"/>
      <c r="JHE1" s="10"/>
      <c r="JHF1" s="10"/>
      <c r="JHG1" s="10"/>
      <c r="JHH1" s="10"/>
      <c r="JHI1" s="10"/>
      <c r="JHJ1" s="10"/>
      <c r="JHK1" s="10"/>
      <c r="JHL1" s="10"/>
      <c r="JHM1" s="10"/>
      <c r="JHN1" s="10"/>
      <c r="JHO1" s="10"/>
      <c r="JHP1" s="10"/>
      <c r="JHQ1" s="10"/>
      <c r="JHR1" s="10"/>
      <c r="JHS1" s="10"/>
      <c r="JHT1" s="10"/>
      <c r="JHU1" s="10"/>
      <c r="JHV1" s="10"/>
      <c r="JHW1" s="10"/>
      <c r="JHX1" s="10"/>
      <c r="JHY1" s="10"/>
      <c r="JHZ1" s="10"/>
      <c r="JIA1" s="10"/>
      <c r="JIB1" s="10"/>
      <c r="JIC1" s="10"/>
      <c r="JID1" s="10"/>
      <c r="JIE1" s="10"/>
      <c r="JIF1" s="10"/>
      <c r="JIG1" s="10"/>
      <c r="JIH1" s="10"/>
      <c r="JII1" s="10"/>
      <c r="JIJ1" s="10"/>
      <c r="JIK1" s="10"/>
      <c r="JIL1" s="10"/>
      <c r="JIM1" s="10"/>
      <c r="JIN1" s="10"/>
      <c r="JIO1" s="10"/>
      <c r="JIP1" s="10"/>
      <c r="JIQ1" s="10"/>
      <c r="JIR1" s="10"/>
      <c r="JIS1" s="10"/>
      <c r="JIT1" s="10"/>
      <c r="JIU1" s="10"/>
      <c r="JIV1" s="10"/>
      <c r="JIW1" s="10"/>
      <c r="JIX1" s="10"/>
      <c r="JIY1" s="10"/>
      <c r="JIZ1" s="10"/>
      <c r="JJA1" s="10"/>
      <c r="JJB1" s="10"/>
      <c r="JJC1" s="10"/>
      <c r="JJD1" s="10"/>
      <c r="JJE1" s="10"/>
      <c r="JJF1" s="10"/>
      <c r="JJG1" s="10"/>
      <c r="JJH1" s="10"/>
      <c r="JJI1" s="10"/>
      <c r="JJJ1" s="10"/>
      <c r="JJK1" s="10"/>
      <c r="JJL1" s="10"/>
      <c r="JJM1" s="10"/>
      <c r="JJN1" s="10"/>
      <c r="JJO1" s="10"/>
      <c r="JJP1" s="10"/>
      <c r="JJQ1" s="10"/>
      <c r="JJR1" s="10"/>
      <c r="JJS1" s="10"/>
      <c r="JJT1" s="10"/>
      <c r="JJU1" s="10"/>
      <c r="JJV1" s="10"/>
      <c r="JJW1" s="10"/>
      <c r="JJX1" s="10"/>
      <c r="JJY1" s="10"/>
      <c r="JJZ1" s="10"/>
      <c r="JKA1" s="10"/>
      <c r="JKB1" s="10"/>
      <c r="JKC1" s="10"/>
      <c r="JKD1" s="10"/>
      <c r="JKE1" s="10"/>
      <c r="JKF1" s="10"/>
      <c r="JKG1" s="10"/>
      <c r="JKH1" s="10"/>
      <c r="JKI1" s="10"/>
      <c r="JKJ1" s="10"/>
      <c r="JKK1" s="10"/>
      <c r="JKL1" s="10"/>
      <c r="JKM1" s="10"/>
      <c r="JKN1" s="10"/>
      <c r="JKO1" s="10"/>
      <c r="JKP1" s="10"/>
      <c r="JKQ1" s="10"/>
      <c r="JKR1" s="10"/>
      <c r="JKS1" s="10"/>
      <c r="JKT1" s="10"/>
      <c r="JKU1" s="10"/>
      <c r="JKV1" s="10"/>
      <c r="JKW1" s="10"/>
      <c r="JKX1" s="10"/>
      <c r="JKY1" s="10"/>
      <c r="JKZ1" s="10"/>
      <c r="JLA1" s="10"/>
      <c r="JLB1" s="10"/>
      <c r="JLC1" s="10"/>
      <c r="JLD1" s="10"/>
      <c r="JLE1" s="10"/>
      <c r="JLF1" s="10"/>
      <c r="JLG1" s="10"/>
      <c r="JLH1" s="10"/>
      <c r="JLI1" s="10"/>
      <c r="JLJ1" s="10"/>
      <c r="JLK1" s="10"/>
      <c r="JLL1" s="10"/>
      <c r="JLM1" s="10"/>
      <c r="JLN1" s="10"/>
      <c r="JLO1" s="10"/>
      <c r="JLP1" s="10"/>
      <c r="JLQ1" s="10"/>
      <c r="JLR1" s="10"/>
      <c r="JLS1" s="10"/>
      <c r="JLT1" s="10"/>
      <c r="JLU1" s="10"/>
      <c r="JLV1" s="10"/>
      <c r="JLW1" s="10"/>
      <c r="JLX1" s="10"/>
      <c r="JLY1" s="10"/>
      <c r="JLZ1" s="10"/>
      <c r="JMA1" s="10"/>
      <c r="JMB1" s="10"/>
      <c r="JMC1" s="10"/>
      <c r="JMD1" s="10"/>
      <c r="JME1" s="10"/>
      <c r="JMF1" s="10"/>
      <c r="JMG1" s="10"/>
      <c r="JMH1" s="10"/>
      <c r="JMI1" s="10"/>
      <c r="JMJ1" s="10"/>
      <c r="JMK1" s="10"/>
      <c r="JML1" s="10"/>
      <c r="JMM1" s="10"/>
      <c r="JMN1" s="10"/>
      <c r="JMO1" s="10"/>
      <c r="JMP1" s="10"/>
      <c r="JMQ1" s="10"/>
      <c r="JMR1" s="10"/>
      <c r="JMS1" s="10"/>
      <c r="JMT1" s="10"/>
      <c r="JMU1" s="10"/>
      <c r="JMV1" s="10"/>
      <c r="JMW1" s="10"/>
      <c r="JMX1" s="10"/>
      <c r="JMY1" s="10"/>
      <c r="JMZ1" s="10"/>
      <c r="JNA1" s="10"/>
      <c r="JNB1" s="10"/>
      <c r="JNC1" s="10"/>
      <c r="JND1" s="10"/>
      <c r="JNE1" s="10"/>
      <c r="JNF1" s="10"/>
      <c r="JNG1" s="10"/>
      <c r="JNH1" s="10"/>
      <c r="JNI1" s="10"/>
      <c r="JNJ1" s="10"/>
      <c r="JNK1" s="10"/>
      <c r="JNL1" s="10"/>
      <c r="JNM1" s="10"/>
      <c r="JNN1" s="10"/>
      <c r="JNO1" s="10"/>
      <c r="JNP1" s="10"/>
      <c r="JNQ1" s="10"/>
      <c r="JNR1" s="10"/>
      <c r="JNS1" s="10"/>
      <c r="JNT1" s="10"/>
      <c r="JNU1" s="10"/>
      <c r="JNV1" s="10"/>
      <c r="JNW1" s="10"/>
      <c r="JNX1" s="10"/>
      <c r="JNY1" s="10"/>
      <c r="JNZ1" s="10"/>
      <c r="JOA1" s="10"/>
      <c r="JOB1" s="10"/>
      <c r="JOC1" s="10"/>
      <c r="JOD1" s="10"/>
      <c r="JOE1" s="10"/>
      <c r="JOF1" s="10"/>
      <c r="JOG1" s="10"/>
      <c r="JOH1" s="10"/>
      <c r="JOI1" s="10"/>
      <c r="JOJ1" s="10"/>
      <c r="JOK1" s="10"/>
      <c r="JOL1" s="10"/>
      <c r="JOM1" s="10"/>
      <c r="JON1" s="10"/>
      <c r="JOO1" s="10"/>
      <c r="JOP1" s="10"/>
      <c r="JOQ1" s="10"/>
      <c r="JOR1" s="10"/>
      <c r="JOS1" s="10"/>
      <c r="JOT1" s="10"/>
      <c r="JOU1" s="10"/>
      <c r="JOV1" s="10"/>
      <c r="JOW1" s="10"/>
      <c r="JOX1" s="10"/>
      <c r="JOY1" s="10"/>
      <c r="JOZ1" s="10"/>
      <c r="JPA1" s="10"/>
      <c r="JPB1" s="10"/>
      <c r="JPC1" s="10"/>
      <c r="JPD1" s="10"/>
      <c r="JPE1" s="10"/>
      <c r="JPF1" s="10"/>
      <c r="JPG1" s="10"/>
      <c r="JPH1" s="10"/>
      <c r="JPI1" s="10"/>
      <c r="JPJ1" s="10"/>
      <c r="JPK1" s="10"/>
      <c r="JPL1" s="10"/>
      <c r="JPM1" s="10"/>
      <c r="JPN1" s="10"/>
      <c r="JPO1" s="10"/>
      <c r="JPP1" s="10"/>
      <c r="JPQ1" s="10"/>
      <c r="JPR1" s="10"/>
      <c r="JPS1" s="10"/>
      <c r="JPT1" s="10"/>
      <c r="JPU1" s="10"/>
      <c r="JPV1" s="10"/>
      <c r="JPW1" s="10"/>
      <c r="JPX1" s="10"/>
      <c r="JPY1" s="10"/>
      <c r="JPZ1" s="10"/>
      <c r="JQA1" s="10"/>
      <c r="JQB1" s="10"/>
      <c r="JQC1" s="10"/>
      <c r="JQD1" s="10"/>
      <c r="JQE1" s="10"/>
      <c r="JQF1" s="10"/>
      <c r="JQG1" s="10"/>
      <c r="JQH1" s="10"/>
      <c r="JQI1" s="10"/>
      <c r="JQJ1" s="10"/>
      <c r="JQK1" s="10"/>
      <c r="JQL1" s="10"/>
      <c r="JQM1" s="10"/>
      <c r="JQN1" s="10"/>
      <c r="JQO1" s="10"/>
      <c r="JQP1" s="10"/>
      <c r="JQQ1" s="10"/>
      <c r="JQR1" s="10"/>
      <c r="JQS1" s="10"/>
      <c r="JQT1" s="10"/>
      <c r="JQU1" s="10"/>
      <c r="JQV1" s="10"/>
      <c r="JQW1" s="10"/>
      <c r="JQX1" s="10"/>
      <c r="JQY1" s="10"/>
      <c r="JQZ1" s="10"/>
      <c r="JRA1" s="10"/>
      <c r="JRB1" s="10"/>
      <c r="JRC1" s="10"/>
      <c r="JRD1" s="10"/>
      <c r="JRE1" s="10"/>
      <c r="JRF1" s="10"/>
      <c r="JRG1" s="10"/>
      <c r="JRH1" s="10"/>
      <c r="JRI1" s="10"/>
      <c r="JRJ1" s="10"/>
      <c r="JRK1" s="10"/>
      <c r="JRL1" s="10"/>
      <c r="JRM1" s="10"/>
      <c r="JRN1" s="10"/>
      <c r="JRO1" s="10"/>
      <c r="JRP1" s="10"/>
      <c r="JRQ1" s="10"/>
      <c r="JRR1" s="10"/>
      <c r="JRS1" s="10"/>
      <c r="JRT1" s="10"/>
      <c r="JRU1" s="10"/>
      <c r="JRV1" s="10"/>
      <c r="JRW1" s="10"/>
      <c r="JRX1" s="10"/>
      <c r="JRY1" s="10"/>
      <c r="JRZ1" s="10"/>
      <c r="JSA1" s="10"/>
      <c r="JSB1" s="10"/>
      <c r="JSC1" s="10"/>
      <c r="JSD1" s="10"/>
      <c r="JSE1" s="10"/>
      <c r="JSF1" s="10"/>
      <c r="JSG1" s="10"/>
      <c r="JSH1" s="10"/>
      <c r="JSI1" s="10"/>
      <c r="JSJ1" s="10"/>
      <c r="JSK1" s="10"/>
      <c r="JSL1" s="10"/>
      <c r="JSM1" s="10"/>
      <c r="JSN1" s="10"/>
      <c r="JSO1" s="10"/>
      <c r="JSP1" s="10"/>
      <c r="JSQ1" s="10"/>
      <c r="JSR1" s="10"/>
      <c r="JSS1" s="10"/>
      <c r="JST1" s="10"/>
      <c r="JSU1" s="10"/>
      <c r="JSV1" s="10"/>
      <c r="JSW1" s="10"/>
      <c r="JSX1" s="10"/>
      <c r="JSY1" s="10"/>
      <c r="JSZ1" s="10"/>
      <c r="JTA1" s="10"/>
      <c r="JTB1" s="10"/>
      <c r="JTC1" s="10"/>
      <c r="JTD1" s="10"/>
      <c r="JTE1" s="10"/>
      <c r="JTF1" s="10"/>
      <c r="JTG1" s="10"/>
      <c r="JTH1" s="10"/>
      <c r="JTI1" s="10"/>
      <c r="JTJ1" s="10"/>
      <c r="JTK1" s="10"/>
      <c r="JTL1" s="10"/>
      <c r="JTM1" s="10"/>
      <c r="JTN1" s="10"/>
      <c r="JTO1" s="10"/>
      <c r="JTP1" s="10"/>
      <c r="JTQ1" s="10"/>
      <c r="JTR1" s="10"/>
      <c r="JTS1" s="10"/>
      <c r="JTT1" s="10"/>
      <c r="JTU1" s="10"/>
      <c r="JTV1" s="10"/>
      <c r="JTW1" s="10"/>
      <c r="JTX1" s="10"/>
      <c r="JTY1" s="10"/>
      <c r="JTZ1" s="10"/>
      <c r="JUA1" s="10"/>
      <c r="JUB1" s="10"/>
      <c r="JUC1" s="10"/>
      <c r="JUD1" s="10"/>
      <c r="JUE1" s="10"/>
      <c r="JUF1" s="10"/>
      <c r="JUG1" s="10"/>
      <c r="JUH1" s="10"/>
      <c r="JUI1" s="10"/>
      <c r="JUJ1" s="10"/>
      <c r="JUK1" s="10"/>
      <c r="JUL1" s="10"/>
      <c r="JUM1" s="10"/>
      <c r="JUN1" s="10"/>
      <c r="JUO1" s="10"/>
      <c r="JUP1" s="10"/>
      <c r="JUQ1" s="10"/>
      <c r="JUR1" s="10"/>
      <c r="JUS1" s="10"/>
      <c r="JUT1" s="10"/>
      <c r="JUU1" s="10"/>
      <c r="JUV1" s="10"/>
      <c r="JUW1" s="10"/>
      <c r="JUX1" s="10"/>
      <c r="JUY1" s="10"/>
      <c r="JUZ1" s="10"/>
      <c r="JVA1" s="10"/>
      <c r="JVB1" s="10"/>
      <c r="JVC1" s="10"/>
      <c r="JVD1" s="10"/>
      <c r="JVE1" s="10"/>
      <c r="JVF1" s="10"/>
      <c r="JVG1" s="10"/>
      <c r="JVH1" s="10"/>
      <c r="JVI1" s="10"/>
      <c r="JVJ1" s="10"/>
      <c r="JVK1" s="10"/>
      <c r="JVL1" s="10"/>
      <c r="JVM1" s="10"/>
      <c r="JVN1" s="10"/>
      <c r="JVO1" s="10"/>
      <c r="JVP1" s="10"/>
      <c r="JVQ1" s="10"/>
      <c r="JVR1" s="10"/>
      <c r="JVS1" s="10"/>
      <c r="JVT1" s="10"/>
      <c r="JVU1" s="10"/>
      <c r="JVV1" s="10"/>
      <c r="JVW1" s="10"/>
      <c r="JVX1" s="10"/>
      <c r="JVY1" s="10"/>
      <c r="JVZ1" s="10"/>
      <c r="JWA1" s="10"/>
      <c r="JWB1" s="10"/>
      <c r="JWC1" s="10"/>
      <c r="JWD1" s="10"/>
      <c r="JWE1" s="10"/>
      <c r="JWF1" s="10"/>
      <c r="JWG1" s="10"/>
      <c r="JWH1" s="10"/>
      <c r="JWI1" s="10"/>
      <c r="JWJ1" s="10"/>
      <c r="JWK1" s="10"/>
      <c r="JWL1" s="10"/>
      <c r="JWM1" s="10"/>
      <c r="JWN1" s="10"/>
      <c r="JWO1" s="10"/>
      <c r="JWP1" s="10"/>
      <c r="JWQ1" s="10"/>
      <c r="JWR1" s="10"/>
      <c r="JWS1" s="10"/>
      <c r="JWT1" s="10"/>
      <c r="JWU1" s="10"/>
      <c r="JWV1" s="10"/>
      <c r="JWW1" s="10"/>
      <c r="JWX1" s="10"/>
      <c r="JWY1" s="10"/>
      <c r="JWZ1" s="10"/>
      <c r="JXA1" s="10"/>
      <c r="JXB1" s="10"/>
      <c r="JXC1" s="10"/>
      <c r="JXD1" s="10"/>
      <c r="JXE1" s="10"/>
      <c r="JXF1" s="10"/>
      <c r="JXG1" s="10"/>
      <c r="JXH1" s="10"/>
      <c r="JXI1" s="10"/>
      <c r="JXJ1" s="10"/>
      <c r="JXK1" s="10"/>
      <c r="JXL1" s="10"/>
      <c r="JXM1" s="10"/>
      <c r="JXN1" s="10"/>
      <c r="JXO1" s="10"/>
      <c r="JXP1" s="10"/>
      <c r="JXQ1" s="10"/>
      <c r="JXR1" s="10"/>
      <c r="JXS1" s="10"/>
      <c r="JXT1" s="10"/>
      <c r="JXU1" s="10"/>
      <c r="JXV1" s="10"/>
      <c r="JXW1" s="10"/>
      <c r="JXX1" s="10"/>
      <c r="JXY1" s="10"/>
      <c r="JXZ1" s="10"/>
      <c r="JYA1" s="10"/>
      <c r="JYB1" s="10"/>
      <c r="JYC1" s="10"/>
      <c r="JYD1" s="10"/>
      <c r="JYE1" s="10"/>
      <c r="JYF1" s="10"/>
      <c r="JYG1" s="10"/>
      <c r="JYH1" s="10"/>
      <c r="JYI1" s="10"/>
      <c r="JYJ1" s="10"/>
      <c r="JYK1" s="10"/>
      <c r="JYL1" s="10"/>
      <c r="JYM1" s="10"/>
      <c r="JYN1" s="10"/>
      <c r="JYO1" s="10"/>
      <c r="JYP1" s="10"/>
      <c r="JYQ1" s="10"/>
      <c r="JYR1" s="10"/>
      <c r="JYS1" s="10"/>
      <c r="JYT1" s="10"/>
      <c r="JYU1" s="10"/>
      <c r="JYV1" s="10"/>
      <c r="JYW1" s="10"/>
      <c r="JYX1" s="10"/>
      <c r="JYY1" s="10"/>
      <c r="JYZ1" s="10"/>
      <c r="JZA1" s="10"/>
      <c r="JZB1" s="10"/>
      <c r="JZC1" s="10"/>
      <c r="JZD1" s="10"/>
      <c r="JZE1" s="10"/>
      <c r="JZF1" s="10"/>
      <c r="JZG1" s="10"/>
      <c r="JZH1" s="10"/>
      <c r="JZI1" s="10"/>
      <c r="JZJ1" s="10"/>
      <c r="JZK1" s="10"/>
      <c r="JZL1" s="10"/>
      <c r="JZM1" s="10"/>
      <c r="JZN1" s="10"/>
      <c r="JZO1" s="10"/>
      <c r="JZP1" s="10"/>
      <c r="JZQ1" s="10"/>
      <c r="JZR1" s="10"/>
      <c r="JZS1" s="10"/>
      <c r="JZT1" s="10"/>
      <c r="JZU1" s="10"/>
      <c r="JZV1" s="10"/>
      <c r="JZW1" s="10"/>
      <c r="JZX1" s="10"/>
      <c r="JZY1" s="10"/>
      <c r="JZZ1" s="10"/>
      <c r="KAA1" s="10"/>
      <c r="KAB1" s="10"/>
      <c r="KAC1" s="10"/>
      <c r="KAD1" s="10"/>
      <c r="KAE1" s="10"/>
      <c r="KAF1" s="10"/>
      <c r="KAG1" s="10"/>
      <c r="KAH1" s="10"/>
      <c r="KAI1" s="10"/>
      <c r="KAJ1" s="10"/>
      <c r="KAK1" s="10"/>
      <c r="KAL1" s="10"/>
      <c r="KAM1" s="10"/>
      <c r="KAN1" s="10"/>
      <c r="KAO1" s="10"/>
      <c r="KAP1" s="10"/>
      <c r="KAQ1" s="10"/>
      <c r="KAR1" s="10"/>
      <c r="KAS1" s="10"/>
      <c r="KAT1" s="10"/>
      <c r="KAU1" s="10"/>
      <c r="KAV1" s="10"/>
      <c r="KAW1" s="10"/>
      <c r="KAX1" s="10"/>
      <c r="KAY1" s="10"/>
      <c r="KAZ1" s="10"/>
      <c r="KBA1" s="10"/>
      <c r="KBB1" s="10"/>
      <c r="KBC1" s="10"/>
      <c r="KBD1" s="10"/>
      <c r="KBE1" s="10"/>
      <c r="KBF1" s="10"/>
      <c r="KBG1" s="10"/>
      <c r="KBH1" s="10"/>
      <c r="KBI1" s="10"/>
      <c r="KBJ1" s="10"/>
      <c r="KBK1" s="10"/>
      <c r="KBL1" s="10"/>
      <c r="KBM1" s="10"/>
      <c r="KBN1" s="10"/>
      <c r="KBO1" s="10"/>
      <c r="KBP1" s="10"/>
      <c r="KBQ1" s="10"/>
      <c r="KBR1" s="10"/>
      <c r="KBS1" s="10"/>
      <c r="KBT1" s="10"/>
      <c r="KBU1" s="10"/>
      <c r="KBV1" s="10"/>
      <c r="KBW1" s="10"/>
      <c r="KBX1" s="10"/>
      <c r="KBY1" s="10"/>
      <c r="KBZ1" s="10"/>
      <c r="KCA1" s="10"/>
      <c r="KCB1" s="10"/>
      <c r="KCC1" s="10"/>
      <c r="KCD1" s="10"/>
      <c r="KCE1" s="10"/>
      <c r="KCF1" s="10"/>
      <c r="KCG1" s="10"/>
      <c r="KCH1" s="10"/>
      <c r="KCI1" s="10"/>
      <c r="KCJ1" s="10"/>
      <c r="KCK1" s="10"/>
      <c r="KCL1" s="10"/>
      <c r="KCM1" s="10"/>
      <c r="KCN1" s="10"/>
      <c r="KCO1" s="10"/>
      <c r="KCP1" s="10"/>
      <c r="KCQ1" s="10"/>
      <c r="KCR1" s="10"/>
      <c r="KCS1" s="10"/>
      <c r="KCT1" s="10"/>
      <c r="KCU1" s="10"/>
      <c r="KCV1" s="10"/>
      <c r="KCW1" s="10"/>
      <c r="KCX1" s="10"/>
      <c r="KCY1" s="10"/>
      <c r="KCZ1" s="10"/>
      <c r="KDA1" s="10"/>
      <c r="KDB1" s="10"/>
      <c r="KDC1" s="10"/>
      <c r="KDD1" s="10"/>
      <c r="KDE1" s="10"/>
      <c r="KDF1" s="10"/>
      <c r="KDG1" s="10"/>
      <c r="KDH1" s="10"/>
      <c r="KDI1" s="10"/>
      <c r="KDJ1" s="10"/>
      <c r="KDK1" s="10"/>
      <c r="KDL1" s="10"/>
      <c r="KDM1" s="10"/>
      <c r="KDN1" s="10"/>
      <c r="KDO1" s="10"/>
      <c r="KDP1" s="10"/>
      <c r="KDQ1" s="10"/>
      <c r="KDR1" s="10"/>
      <c r="KDS1" s="10"/>
      <c r="KDT1" s="10"/>
      <c r="KDU1" s="10"/>
      <c r="KDV1" s="10"/>
      <c r="KDW1" s="10"/>
      <c r="KDX1" s="10"/>
      <c r="KDY1" s="10"/>
      <c r="KDZ1" s="10"/>
      <c r="KEA1" s="10"/>
      <c r="KEB1" s="10"/>
      <c r="KEC1" s="10"/>
      <c r="KED1" s="10"/>
      <c r="KEE1" s="10"/>
      <c r="KEF1" s="10"/>
      <c r="KEG1" s="10"/>
      <c r="KEH1" s="10"/>
      <c r="KEI1" s="10"/>
      <c r="KEJ1" s="10"/>
      <c r="KEK1" s="10"/>
      <c r="KEL1" s="10"/>
      <c r="KEM1" s="10"/>
      <c r="KEN1" s="10"/>
      <c r="KEO1" s="10"/>
      <c r="KEP1" s="10"/>
      <c r="KEQ1" s="10"/>
      <c r="KER1" s="10"/>
      <c r="KES1" s="10"/>
      <c r="KET1" s="10"/>
      <c r="KEU1" s="10"/>
      <c r="KEV1" s="10"/>
      <c r="KEW1" s="10"/>
      <c r="KEX1" s="10"/>
      <c r="KEY1" s="10"/>
      <c r="KEZ1" s="10"/>
      <c r="KFA1" s="10"/>
      <c r="KFB1" s="10"/>
      <c r="KFC1" s="10"/>
      <c r="KFD1" s="10"/>
      <c r="KFE1" s="10"/>
      <c r="KFF1" s="10"/>
      <c r="KFG1" s="10"/>
      <c r="KFH1" s="10"/>
      <c r="KFI1" s="10"/>
      <c r="KFJ1" s="10"/>
      <c r="KFK1" s="10"/>
      <c r="KFL1" s="10"/>
      <c r="KFM1" s="10"/>
      <c r="KFN1" s="10"/>
      <c r="KFO1" s="10"/>
      <c r="KFP1" s="10"/>
      <c r="KFQ1" s="10"/>
      <c r="KFR1" s="10"/>
      <c r="KFS1" s="10"/>
      <c r="KFT1" s="10"/>
      <c r="KFU1" s="10"/>
      <c r="KFV1" s="10"/>
      <c r="KFW1" s="10"/>
      <c r="KFX1" s="10"/>
      <c r="KFY1" s="10"/>
      <c r="KFZ1" s="10"/>
      <c r="KGA1" s="10"/>
      <c r="KGB1" s="10"/>
      <c r="KGC1" s="10"/>
      <c r="KGD1" s="10"/>
      <c r="KGE1" s="10"/>
      <c r="KGF1" s="10"/>
      <c r="KGG1" s="10"/>
      <c r="KGH1" s="10"/>
      <c r="KGI1" s="10"/>
      <c r="KGJ1" s="10"/>
      <c r="KGK1" s="10"/>
      <c r="KGL1" s="10"/>
      <c r="KGM1" s="10"/>
      <c r="KGN1" s="10"/>
      <c r="KGO1" s="10"/>
      <c r="KGP1" s="10"/>
      <c r="KGQ1" s="10"/>
      <c r="KGR1" s="10"/>
      <c r="KGS1" s="10"/>
      <c r="KGT1" s="10"/>
      <c r="KGU1" s="10"/>
      <c r="KGV1" s="10"/>
      <c r="KGW1" s="10"/>
      <c r="KGX1" s="10"/>
      <c r="KGY1" s="10"/>
      <c r="KGZ1" s="10"/>
      <c r="KHA1" s="10"/>
      <c r="KHB1" s="10"/>
      <c r="KHC1" s="10"/>
      <c r="KHD1" s="10"/>
      <c r="KHE1" s="10"/>
      <c r="KHF1" s="10"/>
      <c r="KHG1" s="10"/>
      <c r="KHH1" s="10"/>
      <c r="KHI1" s="10"/>
      <c r="KHJ1" s="10"/>
      <c r="KHK1" s="10"/>
      <c r="KHL1" s="10"/>
      <c r="KHM1" s="10"/>
      <c r="KHN1" s="10"/>
      <c r="KHO1" s="10"/>
      <c r="KHP1" s="10"/>
      <c r="KHQ1" s="10"/>
      <c r="KHR1" s="10"/>
      <c r="KHS1" s="10"/>
      <c r="KHT1" s="10"/>
      <c r="KHU1" s="10"/>
      <c r="KHV1" s="10"/>
      <c r="KHW1" s="10"/>
      <c r="KHX1" s="10"/>
      <c r="KHY1" s="10"/>
      <c r="KHZ1" s="10"/>
      <c r="KIA1" s="10"/>
      <c r="KIB1" s="10"/>
      <c r="KIC1" s="10"/>
      <c r="KID1" s="10"/>
      <c r="KIE1" s="10"/>
      <c r="KIF1" s="10"/>
      <c r="KIG1" s="10"/>
      <c r="KIH1" s="10"/>
      <c r="KII1" s="10"/>
      <c r="KIJ1" s="10"/>
      <c r="KIK1" s="10"/>
      <c r="KIL1" s="10"/>
      <c r="KIM1" s="10"/>
      <c r="KIN1" s="10"/>
      <c r="KIO1" s="10"/>
      <c r="KIP1" s="10"/>
      <c r="KIQ1" s="10"/>
      <c r="KIR1" s="10"/>
      <c r="KIS1" s="10"/>
      <c r="KIT1" s="10"/>
      <c r="KIU1" s="10"/>
      <c r="KIV1" s="10"/>
      <c r="KIW1" s="10"/>
      <c r="KIX1" s="10"/>
      <c r="KIY1" s="10"/>
      <c r="KIZ1" s="10"/>
      <c r="KJA1" s="10"/>
      <c r="KJB1" s="10"/>
      <c r="KJC1" s="10"/>
      <c r="KJD1" s="10"/>
      <c r="KJE1" s="10"/>
      <c r="KJF1" s="10"/>
      <c r="KJG1" s="10"/>
      <c r="KJH1" s="10"/>
      <c r="KJI1" s="10"/>
      <c r="KJJ1" s="10"/>
      <c r="KJK1" s="10"/>
      <c r="KJL1" s="10"/>
      <c r="KJM1" s="10"/>
      <c r="KJN1" s="10"/>
      <c r="KJO1" s="10"/>
      <c r="KJP1" s="10"/>
      <c r="KJQ1" s="10"/>
      <c r="KJR1" s="10"/>
      <c r="KJS1" s="10"/>
      <c r="KJT1" s="10"/>
      <c r="KJU1" s="10"/>
      <c r="KJV1" s="10"/>
      <c r="KJW1" s="10"/>
      <c r="KJX1" s="10"/>
      <c r="KJY1" s="10"/>
      <c r="KJZ1" s="10"/>
      <c r="KKA1" s="10"/>
      <c r="KKB1" s="10"/>
      <c r="KKC1" s="10"/>
      <c r="KKD1" s="10"/>
      <c r="KKE1" s="10"/>
      <c r="KKF1" s="10"/>
      <c r="KKG1" s="10"/>
      <c r="KKH1" s="10"/>
      <c r="KKI1" s="10"/>
      <c r="KKJ1" s="10"/>
      <c r="KKK1" s="10"/>
      <c r="KKL1" s="10"/>
      <c r="KKM1" s="10"/>
      <c r="KKN1" s="10"/>
      <c r="KKO1" s="10"/>
      <c r="KKP1" s="10"/>
      <c r="KKQ1" s="10"/>
      <c r="KKR1" s="10"/>
      <c r="KKS1" s="10"/>
      <c r="KKT1" s="10"/>
      <c r="KKU1" s="10"/>
      <c r="KKV1" s="10"/>
      <c r="KKW1" s="10"/>
      <c r="KKX1" s="10"/>
      <c r="KKY1" s="10"/>
      <c r="KKZ1" s="10"/>
      <c r="KLA1" s="10"/>
      <c r="KLB1" s="10"/>
      <c r="KLC1" s="10"/>
      <c r="KLD1" s="10"/>
      <c r="KLE1" s="10"/>
      <c r="KLF1" s="10"/>
      <c r="KLG1" s="10"/>
      <c r="KLH1" s="10"/>
      <c r="KLI1" s="10"/>
      <c r="KLJ1" s="10"/>
      <c r="KLK1" s="10"/>
      <c r="KLL1" s="10"/>
      <c r="KLM1" s="10"/>
      <c r="KLN1" s="10"/>
      <c r="KLO1" s="10"/>
      <c r="KLP1" s="10"/>
      <c r="KLQ1" s="10"/>
      <c r="KLR1" s="10"/>
      <c r="KLS1" s="10"/>
      <c r="KLT1" s="10"/>
      <c r="KLU1" s="10"/>
      <c r="KLV1" s="10"/>
      <c r="KLW1" s="10"/>
      <c r="KLX1" s="10"/>
      <c r="KLY1" s="10"/>
      <c r="KLZ1" s="10"/>
      <c r="KMA1" s="10"/>
      <c r="KMB1" s="10"/>
      <c r="KMC1" s="10"/>
      <c r="KMD1" s="10"/>
      <c r="KME1" s="10"/>
      <c r="KMF1" s="10"/>
      <c r="KMG1" s="10"/>
      <c r="KMH1" s="10"/>
      <c r="KMI1" s="10"/>
      <c r="KMJ1" s="10"/>
      <c r="KMK1" s="10"/>
      <c r="KML1" s="10"/>
      <c r="KMM1" s="10"/>
      <c r="KMN1" s="10"/>
      <c r="KMO1" s="10"/>
      <c r="KMP1" s="10"/>
      <c r="KMQ1" s="10"/>
      <c r="KMR1" s="10"/>
      <c r="KMS1" s="10"/>
      <c r="KMT1" s="10"/>
      <c r="KMU1" s="10"/>
      <c r="KMV1" s="10"/>
      <c r="KMW1" s="10"/>
      <c r="KMX1" s="10"/>
      <c r="KMY1" s="10"/>
      <c r="KMZ1" s="10"/>
      <c r="KNA1" s="10"/>
      <c r="KNB1" s="10"/>
      <c r="KNC1" s="10"/>
      <c r="KND1" s="10"/>
      <c r="KNE1" s="10"/>
      <c r="KNF1" s="10"/>
      <c r="KNG1" s="10"/>
      <c r="KNH1" s="10"/>
      <c r="KNI1" s="10"/>
      <c r="KNJ1" s="10"/>
      <c r="KNK1" s="10"/>
      <c r="KNL1" s="10"/>
      <c r="KNM1" s="10"/>
      <c r="KNN1" s="10"/>
      <c r="KNO1" s="10"/>
      <c r="KNP1" s="10"/>
      <c r="KNQ1" s="10"/>
      <c r="KNR1" s="10"/>
      <c r="KNS1" s="10"/>
      <c r="KNT1" s="10"/>
      <c r="KNU1" s="10"/>
      <c r="KNV1" s="10"/>
      <c r="KNW1" s="10"/>
      <c r="KNX1" s="10"/>
      <c r="KNY1" s="10"/>
      <c r="KNZ1" s="10"/>
      <c r="KOA1" s="10"/>
      <c r="KOB1" s="10"/>
      <c r="KOC1" s="10"/>
      <c r="KOD1" s="10"/>
      <c r="KOE1" s="10"/>
      <c r="KOF1" s="10"/>
      <c r="KOG1" s="10"/>
      <c r="KOH1" s="10"/>
      <c r="KOI1" s="10"/>
      <c r="KOJ1" s="10"/>
      <c r="KOK1" s="10"/>
      <c r="KOL1" s="10"/>
      <c r="KOM1" s="10"/>
      <c r="KON1" s="10"/>
      <c r="KOO1" s="10"/>
      <c r="KOP1" s="10"/>
      <c r="KOQ1" s="10"/>
      <c r="KOR1" s="10"/>
      <c r="KOS1" s="10"/>
      <c r="KOT1" s="10"/>
      <c r="KOU1" s="10"/>
      <c r="KOV1" s="10"/>
      <c r="KOW1" s="10"/>
      <c r="KOX1" s="10"/>
      <c r="KOY1" s="10"/>
      <c r="KOZ1" s="10"/>
      <c r="KPA1" s="10"/>
      <c r="KPB1" s="10"/>
      <c r="KPC1" s="10"/>
      <c r="KPD1" s="10"/>
      <c r="KPE1" s="10"/>
      <c r="KPF1" s="10"/>
      <c r="KPG1" s="10"/>
      <c r="KPH1" s="10"/>
      <c r="KPI1" s="10"/>
      <c r="KPJ1" s="10"/>
      <c r="KPK1" s="10"/>
      <c r="KPL1" s="10"/>
      <c r="KPM1" s="10"/>
      <c r="KPN1" s="10"/>
      <c r="KPO1" s="10"/>
      <c r="KPP1" s="10"/>
      <c r="KPQ1" s="10"/>
      <c r="KPR1" s="10"/>
      <c r="KPS1" s="10"/>
      <c r="KPT1" s="10"/>
      <c r="KPU1" s="10"/>
      <c r="KPV1" s="10"/>
      <c r="KPW1" s="10"/>
      <c r="KPX1" s="10"/>
      <c r="KPY1" s="10"/>
      <c r="KPZ1" s="10"/>
      <c r="KQA1" s="10"/>
      <c r="KQB1" s="10"/>
      <c r="KQC1" s="10"/>
      <c r="KQD1" s="10"/>
      <c r="KQE1" s="10"/>
      <c r="KQF1" s="10"/>
      <c r="KQG1" s="10"/>
      <c r="KQH1" s="10"/>
      <c r="KQI1" s="10"/>
      <c r="KQJ1" s="10"/>
      <c r="KQK1" s="10"/>
      <c r="KQL1" s="10"/>
      <c r="KQM1" s="10"/>
      <c r="KQN1" s="10"/>
      <c r="KQO1" s="10"/>
      <c r="KQP1" s="10"/>
      <c r="KQQ1" s="10"/>
      <c r="KQR1" s="10"/>
      <c r="KQS1" s="10"/>
      <c r="KQT1" s="10"/>
      <c r="KQU1" s="10"/>
      <c r="KQV1" s="10"/>
      <c r="KQW1" s="10"/>
      <c r="KQX1" s="10"/>
      <c r="KQY1" s="10"/>
      <c r="KQZ1" s="10"/>
      <c r="KRA1" s="10"/>
      <c r="KRB1" s="10"/>
      <c r="KRC1" s="10"/>
      <c r="KRD1" s="10"/>
      <c r="KRE1" s="10"/>
      <c r="KRF1" s="10"/>
      <c r="KRG1" s="10"/>
      <c r="KRH1" s="10"/>
      <c r="KRI1" s="10"/>
      <c r="KRJ1" s="10"/>
      <c r="KRK1" s="10"/>
      <c r="KRL1" s="10"/>
      <c r="KRM1" s="10"/>
      <c r="KRN1" s="10"/>
      <c r="KRO1" s="10"/>
      <c r="KRP1" s="10"/>
      <c r="KRQ1" s="10"/>
      <c r="KRR1" s="10"/>
      <c r="KRS1" s="10"/>
      <c r="KRT1" s="10"/>
      <c r="KRU1" s="10"/>
      <c r="KRV1" s="10"/>
      <c r="KRW1" s="10"/>
      <c r="KRX1" s="10"/>
      <c r="KRY1" s="10"/>
      <c r="KRZ1" s="10"/>
      <c r="KSA1" s="10"/>
      <c r="KSB1" s="10"/>
      <c r="KSC1" s="10"/>
      <c r="KSD1" s="10"/>
      <c r="KSE1" s="10"/>
      <c r="KSF1" s="10"/>
      <c r="KSG1" s="10"/>
      <c r="KSH1" s="10"/>
      <c r="KSI1" s="10"/>
      <c r="KSJ1" s="10"/>
      <c r="KSK1" s="10"/>
      <c r="KSL1" s="10"/>
      <c r="KSM1" s="10"/>
      <c r="KSN1" s="10"/>
      <c r="KSO1" s="10"/>
      <c r="KSP1" s="10"/>
      <c r="KSQ1" s="10"/>
      <c r="KSR1" s="10"/>
      <c r="KSS1" s="10"/>
      <c r="KST1" s="10"/>
      <c r="KSU1" s="10"/>
      <c r="KSV1" s="10"/>
      <c r="KSW1" s="10"/>
      <c r="KSX1" s="10"/>
      <c r="KSY1" s="10"/>
      <c r="KSZ1" s="10"/>
      <c r="KTA1" s="10"/>
      <c r="KTB1" s="10"/>
      <c r="KTC1" s="10"/>
      <c r="KTD1" s="10"/>
      <c r="KTE1" s="10"/>
      <c r="KTF1" s="10"/>
      <c r="KTG1" s="10"/>
      <c r="KTH1" s="10"/>
      <c r="KTI1" s="10"/>
      <c r="KTJ1" s="10"/>
      <c r="KTK1" s="10"/>
      <c r="KTL1" s="10"/>
      <c r="KTM1" s="10"/>
      <c r="KTN1" s="10"/>
      <c r="KTO1" s="10"/>
      <c r="KTP1" s="10"/>
      <c r="KTQ1" s="10"/>
      <c r="KTR1" s="10"/>
      <c r="KTS1" s="10"/>
      <c r="KTT1" s="10"/>
      <c r="KTU1" s="10"/>
      <c r="KTV1" s="10"/>
      <c r="KTW1" s="10"/>
      <c r="KTX1" s="10"/>
      <c r="KTY1" s="10"/>
      <c r="KTZ1" s="10"/>
      <c r="KUA1" s="10"/>
      <c r="KUB1" s="10"/>
      <c r="KUC1" s="10"/>
      <c r="KUD1" s="10"/>
      <c r="KUE1" s="10"/>
      <c r="KUF1" s="10"/>
      <c r="KUG1" s="10"/>
      <c r="KUH1" s="10"/>
      <c r="KUI1" s="10"/>
      <c r="KUJ1" s="10"/>
      <c r="KUK1" s="10"/>
      <c r="KUL1" s="10"/>
      <c r="KUM1" s="10"/>
      <c r="KUN1" s="10"/>
      <c r="KUO1" s="10"/>
      <c r="KUP1" s="10"/>
      <c r="KUQ1" s="10"/>
      <c r="KUR1" s="10"/>
      <c r="KUS1" s="10"/>
      <c r="KUT1" s="10"/>
      <c r="KUU1" s="10"/>
      <c r="KUV1" s="10"/>
      <c r="KUW1" s="10"/>
      <c r="KUX1" s="10"/>
      <c r="KUY1" s="10"/>
      <c r="KUZ1" s="10"/>
      <c r="KVA1" s="10"/>
      <c r="KVB1" s="10"/>
      <c r="KVC1" s="10"/>
      <c r="KVD1" s="10"/>
      <c r="KVE1" s="10"/>
      <c r="KVF1" s="10"/>
      <c r="KVG1" s="10"/>
      <c r="KVH1" s="10"/>
      <c r="KVI1" s="10"/>
      <c r="KVJ1" s="10"/>
      <c r="KVK1" s="10"/>
      <c r="KVL1" s="10"/>
      <c r="KVM1" s="10"/>
      <c r="KVN1" s="10"/>
      <c r="KVO1" s="10"/>
      <c r="KVP1" s="10"/>
      <c r="KVQ1" s="10"/>
      <c r="KVR1" s="10"/>
      <c r="KVS1" s="10"/>
      <c r="KVT1" s="10"/>
      <c r="KVU1" s="10"/>
      <c r="KVV1" s="10"/>
      <c r="KVW1" s="10"/>
      <c r="KVX1" s="10"/>
      <c r="KVY1" s="10"/>
      <c r="KVZ1" s="10"/>
      <c r="KWA1" s="10"/>
      <c r="KWB1" s="10"/>
      <c r="KWC1" s="10"/>
      <c r="KWD1" s="10"/>
      <c r="KWE1" s="10"/>
      <c r="KWF1" s="10"/>
      <c r="KWG1" s="10"/>
      <c r="KWH1" s="10"/>
      <c r="KWI1" s="10"/>
      <c r="KWJ1" s="10"/>
      <c r="KWK1" s="10"/>
      <c r="KWL1" s="10"/>
      <c r="KWM1" s="10"/>
      <c r="KWN1" s="10"/>
      <c r="KWO1" s="10"/>
      <c r="KWP1" s="10"/>
      <c r="KWQ1" s="10"/>
      <c r="KWR1" s="10"/>
      <c r="KWS1" s="10"/>
      <c r="KWT1" s="10"/>
      <c r="KWU1" s="10"/>
      <c r="KWV1" s="10"/>
      <c r="KWW1" s="10"/>
      <c r="KWX1" s="10"/>
      <c r="KWY1" s="10"/>
      <c r="KWZ1" s="10"/>
      <c r="KXA1" s="10"/>
      <c r="KXB1" s="10"/>
      <c r="KXC1" s="10"/>
      <c r="KXD1" s="10"/>
      <c r="KXE1" s="10"/>
      <c r="KXF1" s="10"/>
      <c r="KXG1" s="10"/>
      <c r="KXH1" s="10"/>
      <c r="KXI1" s="10"/>
      <c r="KXJ1" s="10"/>
      <c r="KXK1" s="10"/>
      <c r="KXL1" s="10"/>
      <c r="KXM1" s="10"/>
      <c r="KXN1" s="10"/>
      <c r="KXO1" s="10"/>
      <c r="KXP1" s="10"/>
      <c r="KXQ1" s="10"/>
      <c r="KXR1" s="10"/>
      <c r="KXS1" s="10"/>
      <c r="KXT1" s="10"/>
      <c r="KXU1" s="10"/>
      <c r="KXV1" s="10"/>
      <c r="KXW1" s="10"/>
      <c r="KXX1" s="10"/>
      <c r="KXY1" s="10"/>
      <c r="KXZ1" s="10"/>
      <c r="KYA1" s="10"/>
      <c r="KYB1" s="10"/>
      <c r="KYC1" s="10"/>
      <c r="KYD1" s="10"/>
      <c r="KYE1" s="10"/>
      <c r="KYF1" s="10"/>
      <c r="KYG1" s="10"/>
      <c r="KYH1" s="10"/>
      <c r="KYI1" s="10"/>
      <c r="KYJ1" s="10"/>
      <c r="KYK1" s="10"/>
      <c r="KYL1" s="10"/>
      <c r="KYM1" s="10"/>
      <c r="KYN1" s="10"/>
      <c r="KYO1" s="10"/>
      <c r="KYP1" s="10"/>
      <c r="KYQ1" s="10"/>
      <c r="KYR1" s="10"/>
      <c r="KYS1" s="10"/>
      <c r="KYT1" s="10"/>
      <c r="KYU1" s="10"/>
      <c r="KYV1" s="10"/>
      <c r="KYW1" s="10"/>
      <c r="KYX1" s="10"/>
      <c r="KYY1" s="10"/>
      <c r="KYZ1" s="10"/>
      <c r="KZA1" s="10"/>
      <c r="KZB1" s="10"/>
      <c r="KZC1" s="10"/>
      <c r="KZD1" s="10"/>
      <c r="KZE1" s="10"/>
      <c r="KZF1" s="10"/>
      <c r="KZG1" s="10"/>
      <c r="KZH1" s="10"/>
      <c r="KZI1" s="10"/>
      <c r="KZJ1" s="10"/>
      <c r="KZK1" s="10"/>
      <c r="KZL1" s="10"/>
      <c r="KZM1" s="10"/>
      <c r="KZN1" s="10"/>
      <c r="KZO1" s="10"/>
      <c r="KZP1" s="10"/>
      <c r="KZQ1" s="10"/>
      <c r="KZR1" s="10"/>
      <c r="KZS1" s="10"/>
      <c r="KZT1" s="10"/>
      <c r="KZU1" s="10"/>
      <c r="KZV1" s="10"/>
      <c r="KZW1" s="10"/>
      <c r="KZX1" s="10"/>
      <c r="KZY1" s="10"/>
      <c r="KZZ1" s="10"/>
      <c r="LAA1" s="10"/>
      <c r="LAB1" s="10"/>
      <c r="LAC1" s="10"/>
      <c r="LAD1" s="10"/>
      <c r="LAE1" s="10"/>
      <c r="LAF1" s="10"/>
      <c r="LAG1" s="10"/>
      <c r="LAH1" s="10"/>
      <c r="LAI1" s="10"/>
      <c r="LAJ1" s="10"/>
      <c r="LAK1" s="10"/>
      <c r="LAL1" s="10"/>
      <c r="LAM1" s="10"/>
      <c r="LAN1" s="10"/>
      <c r="LAO1" s="10"/>
      <c r="LAP1" s="10"/>
      <c r="LAQ1" s="10"/>
      <c r="LAR1" s="10"/>
      <c r="LAS1" s="10"/>
      <c r="LAT1" s="10"/>
      <c r="LAU1" s="10"/>
      <c r="LAV1" s="10"/>
      <c r="LAW1" s="10"/>
      <c r="LAX1" s="10"/>
      <c r="LAY1" s="10"/>
      <c r="LAZ1" s="10"/>
      <c r="LBA1" s="10"/>
      <c r="LBB1" s="10"/>
      <c r="LBC1" s="10"/>
      <c r="LBD1" s="10"/>
      <c r="LBE1" s="10"/>
      <c r="LBF1" s="10"/>
      <c r="LBG1" s="10"/>
      <c r="LBH1" s="10"/>
      <c r="LBI1" s="10"/>
      <c r="LBJ1" s="10"/>
      <c r="LBK1" s="10"/>
      <c r="LBL1" s="10"/>
      <c r="LBM1" s="10"/>
      <c r="LBN1" s="10"/>
      <c r="LBO1" s="10"/>
      <c r="LBP1" s="10"/>
      <c r="LBQ1" s="10"/>
      <c r="LBR1" s="10"/>
      <c r="LBS1" s="10"/>
      <c r="LBT1" s="10"/>
      <c r="LBU1" s="10"/>
      <c r="LBV1" s="10"/>
      <c r="LBW1" s="10"/>
      <c r="LBX1" s="10"/>
      <c r="LBY1" s="10"/>
      <c r="LBZ1" s="10"/>
      <c r="LCA1" s="10"/>
      <c r="LCB1" s="10"/>
      <c r="LCC1" s="10"/>
      <c r="LCD1" s="10"/>
      <c r="LCE1" s="10"/>
      <c r="LCF1" s="10"/>
      <c r="LCG1" s="10"/>
      <c r="LCH1" s="10"/>
      <c r="LCI1" s="10"/>
      <c r="LCJ1" s="10"/>
      <c r="LCK1" s="10"/>
      <c r="LCL1" s="10"/>
      <c r="LCM1" s="10"/>
      <c r="LCN1" s="10"/>
      <c r="LCO1" s="10"/>
      <c r="LCP1" s="10"/>
      <c r="LCQ1" s="10"/>
      <c r="LCR1" s="10"/>
      <c r="LCS1" s="10"/>
      <c r="LCT1" s="10"/>
      <c r="LCU1" s="10"/>
      <c r="LCV1" s="10"/>
      <c r="LCW1" s="10"/>
      <c r="LCX1" s="10"/>
      <c r="LCY1" s="10"/>
      <c r="LCZ1" s="10"/>
      <c r="LDA1" s="10"/>
      <c r="LDB1" s="10"/>
      <c r="LDC1" s="10"/>
      <c r="LDD1" s="10"/>
      <c r="LDE1" s="10"/>
      <c r="LDF1" s="10"/>
      <c r="LDG1" s="10"/>
      <c r="LDH1" s="10"/>
      <c r="LDI1" s="10"/>
      <c r="LDJ1" s="10"/>
      <c r="LDK1" s="10"/>
      <c r="LDL1" s="10"/>
      <c r="LDM1" s="10"/>
      <c r="LDN1" s="10"/>
      <c r="LDO1" s="10"/>
      <c r="LDP1" s="10"/>
      <c r="LDQ1" s="10"/>
      <c r="LDR1" s="10"/>
      <c r="LDS1" s="10"/>
      <c r="LDT1" s="10"/>
      <c r="LDU1" s="10"/>
      <c r="LDV1" s="10"/>
      <c r="LDW1" s="10"/>
      <c r="LDX1" s="10"/>
      <c r="LDY1" s="10"/>
      <c r="LDZ1" s="10"/>
      <c r="LEA1" s="10"/>
      <c r="LEB1" s="10"/>
      <c r="LEC1" s="10"/>
      <c r="LED1" s="10"/>
      <c r="LEE1" s="10"/>
      <c r="LEF1" s="10"/>
      <c r="LEG1" s="10"/>
      <c r="LEH1" s="10"/>
      <c r="LEI1" s="10"/>
      <c r="LEJ1" s="10"/>
      <c r="LEK1" s="10"/>
      <c r="LEL1" s="10"/>
      <c r="LEM1" s="10"/>
      <c r="LEN1" s="10"/>
      <c r="LEO1" s="10"/>
      <c r="LEP1" s="10"/>
      <c r="LEQ1" s="10"/>
      <c r="LER1" s="10"/>
      <c r="LES1" s="10"/>
      <c r="LET1" s="10"/>
      <c r="LEU1" s="10"/>
      <c r="LEV1" s="10"/>
      <c r="LEW1" s="10"/>
      <c r="LEX1" s="10"/>
      <c r="LEY1" s="10"/>
      <c r="LEZ1" s="10"/>
      <c r="LFA1" s="10"/>
      <c r="LFB1" s="10"/>
      <c r="LFC1" s="10"/>
      <c r="LFD1" s="10"/>
      <c r="LFE1" s="10"/>
      <c r="LFF1" s="10"/>
      <c r="LFG1" s="10"/>
      <c r="LFH1" s="10"/>
      <c r="LFI1" s="10"/>
      <c r="LFJ1" s="10"/>
      <c r="LFK1" s="10"/>
      <c r="LFL1" s="10"/>
      <c r="LFM1" s="10"/>
      <c r="LFN1" s="10"/>
      <c r="LFO1" s="10"/>
      <c r="LFP1" s="10"/>
      <c r="LFQ1" s="10"/>
      <c r="LFR1" s="10"/>
      <c r="LFS1" s="10"/>
      <c r="LFT1" s="10"/>
      <c r="LFU1" s="10"/>
      <c r="LFV1" s="10"/>
      <c r="LFW1" s="10"/>
      <c r="LFX1" s="10"/>
      <c r="LFY1" s="10"/>
      <c r="LFZ1" s="10"/>
      <c r="LGA1" s="10"/>
      <c r="LGB1" s="10"/>
      <c r="LGC1" s="10"/>
      <c r="LGD1" s="10"/>
      <c r="LGE1" s="10"/>
      <c r="LGF1" s="10"/>
      <c r="LGG1" s="10"/>
      <c r="LGH1" s="10"/>
      <c r="LGI1" s="10"/>
      <c r="LGJ1" s="10"/>
      <c r="LGK1" s="10"/>
      <c r="LGL1" s="10"/>
      <c r="LGM1" s="10"/>
      <c r="LGN1" s="10"/>
      <c r="LGO1" s="10"/>
      <c r="LGP1" s="10"/>
      <c r="LGQ1" s="10"/>
      <c r="LGR1" s="10"/>
      <c r="LGS1" s="10"/>
      <c r="LGT1" s="10"/>
      <c r="LGU1" s="10"/>
      <c r="LGV1" s="10"/>
      <c r="LGW1" s="10"/>
      <c r="LGX1" s="10"/>
      <c r="LGY1" s="10"/>
      <c r="LGZ1" s="10"/>
      <c r="LHA1" s="10"/>
      <c r="LHB1" s="10"/>
      <c r="LHC1" s="10"/>
      <c r="LHD1" s="10"/>
      <c r="LHE1" s="10"/>
      <c r="LHF1" s="10"/>
      <c r="LHG1" s="10"/>
      <c r="LHH1" s="10"/>
      <c r="LHI1" s="10"/>
      <c r="LHJ1" s="10"/>
      <c r="LHK1" s="10"/>
      <c r="LHL1" s="10"/>
      <c r="LHM1" s="10"/>
      <c r="LHN1" s="10"/>
      <c r="LHO1" s="10"/>
      <c r="LHP1" s="10"/>
      <c r="LHQ1" s="10"/>
      <c r="LHR1" s="10"/>
      <c r="LHS1" s="10"/>
      <c r="LHT1" s="10"/>
      <c r="LHU1" s="10"/>
      <c r="LHV1" s="10"/>
      <c r="LHW1" s="10"/>
      <c r="LHX1" s="10"/>
      <c r="LHY1" s="10"/>
      <c r="LHZ1" s="10"/>
      <c r="LIA1" s="10"/>
      <c r="LIB1" s="10"/>
      <c r="LIC1" s="10"/>
      <c r="LID1" s="10"/>
      <c r="LIE1" s="10"/>
      <c r="LIF1" s="10"/>
      <c r="LIG1" s="10"/>
      <c r="LIH1" s="10"/>
      <c r="LII1" s="10"/>
      <c r="LIJ1" s="10"/>
      <c r="LIK1" s="10"/>
      <c r="LIL1" s="10"/>
      <c r="LIM1" s="10"/>
      <c r="LIN1" s="10"/>
      <c r="LIO1" s="10"/>
      <c r="LIP1" s="10"/>
      <c r="LIQ1" s="10"/>
      <c r="LIR1" s="10"/>
      <c r="LIS1" s="10"/>
      <c r="LIT1" s="10"/>
      <c r="LIU1" s="10"/>
      <c r="LIV1" s="10"/>
      <c r="LIW1" s="10"/>
      <c r="LIX1" s="10"/>
      <c r="LIY1" s="10"/>
      <c r="LIZ1" s="10"/>
      <c r="LJA1" s="10"/>
      <c r="LJB1" s="10"/>
      <c r="LJC1" s="10"/>
      <c r="LJD1" s="10"/>
      <c r="LJE1" s="10"/>
      <c r="LJF1" s="10"/>
      <c r="LJG1" s="10"/>
      <c r="LJH1" s="10"/>
      <c r="LJI1" s="10"/>
      <c r="LJJ1" s="10"/>
      <c r="LJK1" s="10"/>
      <c r="LJL1" s="10"/>
      <c r="LJM1" s="10"/>
      <c r="LJN1" s="10"/>
      <c r="LJO1" s="10"/>
      <c r="LJP1" s="10"/>
      <c r="LJQ1" s="10"/>
      <c r="LJR1" s="10"/>
      <c r="LJS1" s="10"/>
      <c r="LJT1" s="10"/>
      <c r="LJU1" s="10"/>
      <c r="LJV1" s="10"/>
      <c r="LJW1" s="10"/>
      <c r="LJX1" s="10"/>
      <c r="LJY1" s="10"/>
      <c r="LJZ1" s="10"/>
      <c r="LKA1" s="10"/>
      <c r="LKB1" s="10"/>
      <c r="LKC1" s="10"/>
      <c r="LKD1" s="10"/>
      <c r="LKE1" s="10"/>
      <c r="LKF1" s="10"/>
      <c r="LKG1" s="10"/>
      <c r="LKH1" s="10"/>
      <c r="LKI1" s="10"/>
      <c r="LKJ1" s="10"/>
      <c r="LKK1" s="10"/>
      <c r="LKL1" s="10"/>
      <c r="LKM1" s="10"/>
      <c r="LKN1" s="10"/>
      <c r="LKO1" s="10"/>
      <c r="LKP1" s="10"/>
      <c r="LKQ1" s="10"/>
      <c r="LKR1" s="10"/>
      <c r="LKS1" s="10"/>
      <c r="LKT1" s="10"/>
      <c r="LKU1" s="10"/>
      <c r="LKV1" s="10"/>
      <c r="LKW1" s="10"/>
      <c r="LKX1" s="10"/>
      <c r="LKY1" s="10"/>
      <c r="LKZ1" s="10"/>
      <c r="LLA1" s="10"/>
      <c r="LLB1" s="10"/>
      <c r="LLC1" s="10"/>
      <c r="LLD1" s="10"/>
      <c r="LLE1" s="10"/>
      <c r="LLF1" s="10"/>
      <c r="LLG1" s="10"/>
      <c r="LLH1" s="10"/>
      <c r="LLI1" s="10"/>
      <c r="LLJ1" s="10"/>
      <c r="LLK1" s="10"/>
      <c r="LLL1" s="10"/>
      <c r="LLM1" s="10"/>
      <c r="LLN1" s="10"/>
      <c r="LLO1" s="10"/>
      <c r="LLP1" s="10"/>
      <c r="LLQ1" s="10"/>
      <c r="LLR1" s="10"/>
      <c r="LLS1" s="10"/>
      <c r="LLT1" s="10"/>
      <c r="LLU1" s="10"/>
      <c r="LLV1" s="10"/>
      <c r="LLW1" s="10"/>
      <c r="LLX1" s="10"/>
      <c r="LLY1" s="10"/>
      <c r="LLZ1" s="10"/>
      <c r="LMA1" s="10"/>
      <c r="LMB1" s="10"/>
      <c r="LMC1" s="10"/>
      <c r="LMD1" s="10"/>
      <c r="LME1" s="10"/>
      <c r="LMF1" s="10"/>
      <c r="LMG1" s="10"/>
      <c r="LMH1" s="10"/>
      <c r="LMI1" s="10"/>
      <c r="LMJ1" s="10"/>
      <c r="LMK1" s="10"/>
      <c r="LML1" s="10"/>
      <c r="LMM1" s="10"/>
      <c r="LMN1" s="10"/>
      <c r="LMO1" s="10"/>
      <c r="LMP1" s="10"/>
      <c r="LMQ1" s="10"/>
      <c r="LMR1" s="10"/>
      <c r="LMS1" s="10"/>
      <c r="LMT1" s="10"/>
      <c r="LMU1" s="10"/>
      <c r="LMV1" s="10"/>
      <c r="LMW1" s="10"/>
      <c r="LMX1" s="10"/>
      <c r="LMY1" s="10"/>
      <c r="LMZ1" s="10"/>
      <c r="LNA1" s="10"/>
      <c r="LNB1" s="10"/>
      <c r="LNC1" s="10"/>
      <c r="LND1" s="10"/>
      <c r="LNE1" s="10"/>
      <c r="LNF1" s="10"/>
      <c r="LNG1" s="10"/>
      <c r="LNH1" s="10"/>
      <c r="LNI1" s="10"/>
      <c r="LNJ1" s="10"/>
      <c r="LNK1" s="10"/>
      <c r="LNL1" s="10"/>
      <c r="LNM1" s="10"/>
      <c r="LNN1" s="10"/>
      <c r="LNO1" s="10"/>
      <c r="LNP1" s="10"/>
      <c r="LNQ1" s="10"/>
      <c r="LNR1" s="10"/>
      <c r="LNS1" s="10"/>
      <c r="LNT1" s="10"/>
      <c r="LNU1" s="10"/>
      <c r="LNV1" s="10"/>
      <c r="LNW1" s="10"/>
      <c r="LNX1" s="10"/>
      <c r="LNY1" s="10"/>
      <c r="LNZ1" s="10"/>
      <c r="LOA1" s="10"/>
      <c r="LOB1" s="10"/>
      <c r="LOC1" s="10"/>
      <c r="LOD1" s="10"/>
      <c r="LOE1" s="10"/>
      <c r="LOF1" s="10"/>
      <c r="LOG1" s="10"/>
      <c r="LOH1" s="10"/>
      <c r="LOI1" s="10"/>
      <c r="LOJ1" s="10"/>
      <c r="LOK1" s="10"/>
      <c r="LOL1" s="10"/>
      <c r="LOM1" s="10"/>
      <c r="LON1" s="10"/>
      <c r="LOO1" s="10"/>
      <c r="LOP1" s="10"/>
      <c r="LOQ1" s="10"/>
      <c r="LOR1" s="10"/>
      <c r="LOS1" s="10"/>
      <c r="LOT1" s="10"/>
      <c r="LOU1" s="10"/>
      <c r="LOV1" s="10"/>
      <c r="LOW1" s="10"/>
      <c r="LOX1" s="10"/>
      <c r="LOY1" s="10"/>
      <c r="LOZ1" s="10"/>
      <c r="LPA1" s="10"/>
      <c r="LPB1" s="10"/>
      <c r="LPC1" s="10"/>
      <c r="LPD1" s="10"/>
      <c r="LPE1" s="10"/>
      <c r="LPF1" s="10"/>
      <c r="LPG1" s="10"/>
      <c r="LPH1" s="10"/>
      <c r="LPI1" s="10"/>
      <c r="LPJ1" s="10"/>
      <c r="LPK1" s="10"/>
      <c r="LPL1" s="10"/>
      <c r="LPM1" s="10"/>
      <c r="LPN1" s="10"/>
      <c r="LPO1" s="10"/>
      <c r="LPP1" s="10"/>
      <c r="LPQ1" s="10"/>
      <c r="LPR1" s="10"/>
      <c r="LPS1" s="10"/>
      <c r="LPT1" s="10"/>
      <c r="LPU1" s="10"/>
      <c r="LPV1" s="10"/>
      <c r="LPW1" s="10"/>
      <c r="LPX1" s="10"/>
      <c r="LPY1" s="10"/>
      <c r="LPZ1" s="10"/>
      <c r="LQA1" s="10"/>
      <c r="LQB1" s="10"/>
      <c r="LQC1" s="10"/>
      <c r="LQD1" s="10"/>
      <c r="LQE1" s="10"/>
      <c r="LQF1" s="10"/>
      <c r="LQG1" s="10"/>
      <c r="LQH1" s="10"/>
      <c r="LQI1" s="10"/>
      <c r="LQJ1" s="10"/>
      <c r="LQK1" s="10"/>
      <c r="LQL1" s="10"/>
      <c r="LQM1" s="10"/>
      <c r="LQN1" s="10"/>
      <c r="LQO1" s="10"/>
      <c r="LQP1" s="10"/>
      <c r="LQQ1" s="10"/>
      <c r="LQR1" s="10"/>
      <c r="LQS1" s="10"/>
      <c r="LQT1" s="10"/>
      <c r="LQU1" s="10"/>
      <c r="LQV1" s="10"/>
      <c r="LQW1" s="10"/>
      <c r="LQX1" s="10"/>
      <c r="LQY1" s="10"/>
      <c r="LQZ1" s="10"/>
      <c r="LRA1" s="10"/>
      <c r="LRB1" s="10"/>
      <c r="LRC1" s="10"/>
      <c r="LRD1" s="10"/>
      <c r="LRE1" s="10"/>
      <c r="LRF1" s="10"/>
      <c r="LRG1" s="10"/>
      <c r="LRH1" s="10"/>
      <c r="LRI1" s="10"/>
      <c r="LRJ1" s="10"/>
      <c r="LRK1" s="10"/>
      <c r="LRL1" s="10"/>
      <c r="LRM1" s="10"/>
      <c r="LRN1" s="10"/>
      <c r="LRO1" s="10"/>
      <c r="LRP1" s="10"/>
      <c r="LRQ1" s="10"/>
      <c r="LRR1" s="10"/>
      <c r="LRS1" s="10"/>
      <c r="LRT1" s="10"/>
      <c r="LRU1" s="10"/>
      <c r="LRV1" s="10"/>
      <c r="LRW1" s="10"/>
      <c r="LRX1" s="10"/>
      <c r="LRY1" s="10"/>
      <c r="LRZ1" s="10"/>
      <c r="LSA1" s="10"/>
      <c r="LSB1" s="10"/>
      <c r="LSC1" s="10"/>
      <c r="LSD1" s="10"/>
      <c r="LSE1" s="10"/>
      <c r="LSF1" s="10"/>
      <c r="LSG1" s="10"/>
      <c r="LSH1" s="10"/>
      <c r="LSI1" s="10"/>
      <c r="LSJ1" s="10"/>
      <c r="LSK1" s="10"/>
      <c r="LSL1" s="10"/>
      <c r="LSM1" s="10"/>
      <c r="LSN1" s="10"/>
      <c r="LSO1" s="10"/>
      <c r="LSP1" s="10"/>
      <c r="LSQ1" s="10"/>
      <c r="LSR1" s="10"/>
      <c r="LSS1" s="10"/>
      <c r="LST1" s="10"/>
      <c r="LSU1" s="10"/>
      <c r="LSV1" s="10"/>
      <c r="LSW1" s="10"/>
      <c r="LSX1" s="10"/>
      <c r="LSY1" s="10"/>
      <c r="LSZ1" s="10"/>
      <c r="LTA1" s="10"/>
      <c r="LTB1" s="10"/>
      <c r="LTC1" s="10"/>
      <c r="LTD1" s="10"/>
      <c r="LTE1" s="10"/>
      <c r="LTF1" s="10"/>
      <c r="LTG1" s="10"/>
      <c r="LTH1" s="10"/>
      <c r="LTI1" s="10"/>
      <c r="LTJ1" s="10"/>
      <c r="LTK1" s="10"/>
      <c r="LTL1" s="10"/>
      <c r="LTM1" s="10"/>
      <c r="LTN1" s="10"/>
      <c r="LTO1" s="10"/>
      <c r="LTP1" s="10"/>
      <c r="LTQ1" s="10"/>
      <c r="LTR1" s="10"/>
      <c r="LTS1" s="10"/>
      <c r="LTT1" s="10"/>
      <c r="LTU1" s="10"/>
      <c r="LTV1" s="10"/>
      <c r="LTW1" s="10"/>
      <c r="LTX1" s="10"/>
      <c r="LTY1" s="10"/>
      <c r="LTZ1" s="10"/>
      <c r="LUA1" s="10"/>
      <c r="LUB1" s="10"/>
      <c r="LUC1" s="10"/>
      <c r="LUD1" s="10"/>
      <c r="LUE1" s="10"/>
      <c r="LUF1" s="10"/>
      <c r="LUG1" s="10"/>
      <c r="LUH1" s="10"/>
      <c r="LUI1" s="10"/>
      <c r="LUJ1" s="10"/>
      <c r="LUK1" s="10"/>
      <c r="LUL1" s="10"/>
      <c r="LUM1" s="10"/>
      <c r="LUN1" s="10"/>
      <c r="LUO1" s="10"/>
      <c r="LUP1" s="10"/>
      <c r="LUQ1" s="10"/>
      <c r="LUR1" s="10"/>
      <c r="LUS1" s="10"/>
      <c r="LUT1" s="10"/>
      <c r="LUU1" s="10"/>
      <c r="LUV1" s="10"/>
      <c r="LUW1" s="10"/>
      <c r="LUX1" s="10"/>
      <c r="LUY1" s="10"/>
      <c r="LUZ1" s="10"/>
      <c r="LVA1" s="10"/>
      <c r="LVB1" s="10"/>
      <c r="LVC1" s="10"/>
      <c r="LVD1" s="10"/>
      <c r="LVE1" s="10"/>
      <c r="LVF1" s="10"/>
      <c r="LVG1" s="10"/>
      <c r="LVH1" s="10"/>
      <c r="LVI1" s="10"/>
      <c r="LVJ1" s="10"/>
      <c r="LVK1" s="10"/>
      <c r="LVL1" s="10"/>
      <c r="LVM1" s="10"/>
      <c r="LVN1" s="10"/>
      <c r="LVO1" s="10"/>
      <c r="LVP1" s="10"/>
      <c r="LVQ1" s="10"/>
      <c r="LVR1" s="10"/>
      <c r="LVS1" s="10"/>
      <c r="LVT1" s="10"/>
      <c r="LVU1" s="10"/>
      <c r="LVV1" s="10"/>
      <c r="LVW1" s="10"/>
      <c r="LVX1" s="10"/>
      <c r="LVY1" s="10"/>
      <c r="LVZ1" s="10"/>
      <c r="LWA1" s="10"/>
      <c r="LWB1" s="10"/>
      <c r="LWC1" s="10"/>
      <c r="LWD1" s="10"/>
      <c r="LWE1" s="10"/>
      <c r="LWF1" s="10"/>
      <c r="LWG1" s="10"/>
      <c r="LWH1" s="10"/>
      <c r="LWI1" s="10"/>
      <c r="LWJ1" s="10"/>
      <c r="LWK1" s="10"/>
      <c r="LWL1" s="10"/>
      <c r="LWM1" s="10"/>
      <c r="LWN1" s="10"/>
      <c r="LWO1" s="10"/>
      <c r="LWP1" s="10"/>
      <c r="LWQ1" s="10"/>
      <c r="LWR1" s="10"/>
      <c r="LWS1" s="10"/>
      <c r="LWT1" s="10"/>
      <c r="LWU1" s="10"/>
      <c r="LWV1" s="10"/>
      <c r="LWW1" s="10"/>
      <c r="LWX1" s="10"/>
      <c r="LWY1" s="10"/>
      <c r="LWZ1" s="10"/>
      <c r="LXA1" s="10"/>
      <c r="LXB1" s="10"/>
      <c r="LXC1" s="10"/>
      <c r="LXD1" s="10"/>
      <c r="LXE1" s="10"/>
      <c r="LXF1" s="10"/>
      <c r="LXG1" s="10"/>
      <c r="LXH1" s="10"/>
      <c r="LXI1" s="10"/>
      <c r="LXJ1" s="10"/>
      <c r="LXK1" s="10"/>
      <c r="LXL1" s="10"/>
      <c r="LXM1" s="10"/>
      <c r="LXN1" s="10"/>
      <c r="LXO1" s="10"/>
      <c r="LXP1" s="10"/>
      <c r="LXQ1" s="10"/>
      <c r="LXR1" s="10"/>
      <c r="LXS1" s="10"/>
      <c r="LXT1" s="10"/>
      <c r="LXU1" s="10"/>
      <c r="LXV1" s="10"/>
      <c r="LXW1" s="10"/>
      <c r="LXX1" s="10"/>
      <c r="LXY1" s="10"/>
      <c r="LXZ1" s="10"/>
      <c r="LYA1" s="10"/>
      <c r="LYB1" s="10"/>
      <c r="LYC1" s="10"/>
      <c r="LYD1" s="10"/>
      <c r="LYE1" s="10"/>
      <c r="LYF1" s="10"/>
      <c r="LYG1" s="10"/>
      <c r="LYH1" s="10"/>
      <c r="LYI1" s="10"/>
      <c r="LYJ1" s="10"/>
      <c r="LYK1" s="10"/>
      <c r="LYL1" s="10"/>
      <c r="LYM1" s="10"/>
      <c r="LYN1" s="10"/>
      <c r="LYO1" s="10"/>
      <c r="LYP1" s="10"/>
      <c r="LYQ1" s="10"/>
      <c r="LYR1" s="10"/>
      <c r="LYS1" s="10"/>
      <c r="LYT1" s="10"/>
      <c r="LYU1" s="10"/>
      <c r="LYV1" s="10"/>
      <c r="LYW1" s="10"/>
      <c r="LYX1" s="10"/>
      <c r="LYY1" s="10"/>
      <c r="LYZ1" s="10"/>
      <c r="LZA1" s="10"/>
      <c r="LZB1" s="10"/>
      <c r="LZC1" s="10"/>
      <c r="LZD1" s="10"/>
      <c r="LZE1" s="10"/>
      <c r="LZF1" s="10"/>
      <c r="LZG1" s="10"/>
      <c r="LZH1" s="10"/>
      <c r="LZI1" s="10"/>
      <c r="LZJ1" s="10"/>
      <c r="LZK1" s="10"/>
      <c r="LZL1" s="10"/>
      <c r="LZM1" s="10"/>
      <c r="LZN1" s="10"/>
      <c r="LZO1" s="10"/>
      <c r="LZP1" s="10"/>
      <c r="LZQ1" s="10"/>
      <c r="LZR1" s="10"/>
      <c r="LZS1" s="10"/>
      <c r="LZT1" s="10"/>
      <c r="LZU1" s="10"/>
      <c r="LZV1" s="10"/>
      <c r="LZW1" s="10"/>
      <c r="LZX1" s="10"/>
      <c r="LZY1" s="10"/>
      <c r="LZZ1" s="10"/>
      <c r="MAA1" s="10"/>
      <c r="MAB1" s="10"/>
      <c r="MAC1" s="10"/>
      <c r="MAD1" s="10"/>
      <c r="MAE1" s="10"/>
      <c r="MAF1" s="10"/>
      <c r="MAG1" s="10"/>
      <c r="MAH1" s="10"/>
      <c r="MAI1" s="10"/>
      <c r="MAJ1" s="10"/>
      <c r="MAK1" s="10"/>
      <c r="MAL1" s="10"/>
      <c r="MAM1" s="10"/>
      <c r="MAN1" s="10"/>
      <c r="MAO1" s="10"/>
      <c r="MAP1" s="10"/>
      <c r="MAQ1" s="10"/>
      <c r="MAR1" s="10"/>
      <c r="MAS1" s="10"/>
      <c r="MAT1" s="10"/>
      <c r="MAU1" s="10"/>
      <c r="MAV1" s="10"/>
      <c r="MAW1" s="10"/>
      <c r="MAX1" s="10"/>
      <c r="MAY1" s="10"/>
      <c r="MAZ1" s="10"/>
      <c r="MBA1" s="10"/>
      <c r="MBB1" s="10"/>
      <c r="MBC1" s="10"/>
      <c r="MBD1" s="10"/>
      <c r="MBE1" s="10"/>
      <c r="MBF1" s="10"/>
      <c r="MBG1" s="10"/>
      <c r="MBH1" s="10"/>
      <c r="MBI1" s="10"/>
      <c r="MBJ1" s="10"/>
      <c r="MBK1" s="10"/>
      <c r="MBL1" s="10"/>
      <c r="MBM1" s="10"/>
      <c r="MBN1" s="10"/>
      <c r="MBO1" s="10"/>
      <c r="MBP1" s="10"/>
      <c r="MBQ1" s="10"/>
      <c r="MBR1" s="10"/>
      <c r="MBS1" s="10"/>
      <c r="MBT1" s="10"/>
      <c r="MBU1" s="10"/>
      <c r="MBV1" s="10"/>
      <c r="MBW1" s="10"/>
      <c r="MBX1" s="10"/>
      <c r="MBY1" s="10"/>
      <c r="MBZ1" s="10"/>
      <c r="MCA1" s="10"/>
      <c r="MCB1" s="10"/>
      <c r="MCC1" s="10"/>
      <c r="MCD1" s="10"/>
      <c r="MCE1" s="10"/>
      <c r="MCF1" s="10"/>
      <c r="MCG1" s="10"/>
      <c r="MCH1" s="10"/>
      <c r="MCI1" s="10"/>
      <c r="MCJ1" s="10"/>
      <c r="MCK1" s="10"/>
      <c r="MCL1" s="10"/>
      <c r="MCM1" s="10"/>
      <c r="MCN1" s="10"/>
      <c r="MCO1" s="10"/>
      <c r="MCP1" s="10"/>
      <c r="MCQ1" s="10"/>
      <c r="MCR1" s="10"/>
      <c r="MCS1" s="10"/>
      <c r="MCT1" s="10"/>
      <c r="MCU1" s="10"/>
      <c r="MCV1" s="10"/>
      <c r="MCW1" s="10"/>
      <c r="MCX1" s="10"/>
      <c r="MCY1" s="10"/>
      <c r="MCZ1" s="10"/>
      <c r="MDA1" s="10"/>
      <c r="MDB1" s="10"/>
      <c r="MDC1" s="10"/>
      <c r="MDD1" s="10"/>
      <c r="MDE1" s="10"/>
      <c r="MDF1" s="10"/>
      <c r="MDG1" s="10"/>
      <c r="MDH1" s="10"/>
      <c r="MDI1" s="10"/>
      <c r="MDJ1" s="10"/>
      <c r="MDK1" s="10"/>
      <c r="MDL1" s="10"/>
      <c r="MDM1" s="10"/>
      <c r="MDN1" s="10"/>
      <c r="MDO1" s="10"/>
      <c r="MDP1" s="10"/>
      <c r="MDQ1" s="10"/>
      <c r="MDR1" s="10"/>
      <c r="MDS1" s="10"/>
      <c r="MDT1" s="10"/>
      <c r="MDU1" s="10"/>
      <c r="MDV1" s="10"/>
      <c r="MDW1" s="10"/>
      <c r="MDX1" s="10"/>
      <c r="MDY1" s="10"/>
      <c r="MDZ1" s="10"/>
      <c r="MEA1" s="10"/>
      <c r="MEB1" s="10"/>
      <c r="MEC1" s="10"/>
      <c r="MED1" s="10"/>
      <c r="MEE1" s="10"/>
      <c r="MEF1" s="10"/>
      <c r="MEG1" s="10"/>
      <c r="MEH1" s="10"/>
      <c r="MEI1" s="10"/>
      <c r="MEJ1" s="10"/>
      <c r="MEK1" s="10"/>
      <c r="MEL1" s="10"/>
      <c r="MEM1" s="10"/>
      <c r="MEN1" s="10"/>
      <c r="MEO1" s="10"/>
      <c r="MEP1" s="10"/>
      <c r="MEQ1" s="10"/>
      <c r="MER1" s="10"/>
      <c r="MES1" s="10"/>
      <c r="MET1" s="10"/>
      <c r="MEU1" s="10"/>
      <c r="MEV1" s="10"/>
      <c r="MEW1" s="10"/>
      <c r="MEX1" s="10"/>
      <c r="MEY1" s="10"/>
      <c r="MEZ1" s="10"/>
      <c r="MFA1" s="10"/>
      <c r="MFB1" s="10"/>
      <c r="MFC1" s="10"/>
      <c r="MFD1" s="10"/>
      <c r="MFE1" s="10"/>
      <c r="MFF1" s="10"/>
      <c r="MFG1" s="10"/>
      <c r="MFH1" s="10"/>
      <c r="MFI1" s="10"/>
      <c r="MFJ1" s="10"/>
      <c r="MFK1" s="10"/>
      <c r="MFL1" s="10"/>
      <c r="MFM1" s="10"/>
      <c r="MFN1" s="10"/>
      <c r="MFO1" s="10"/>
      <c r="MFP1" s="10"/>
      <c r="MFQ1" s="10"/>
      <c r="MFR1" s="10"/>
      <c r="MFS1" s="10"/>
      <c r="MFT1" s="10"/>
      <c r="MFU1" s="10"/>
      <c r="MFV1" s="10"/>
      <c r="MFW1" s="10"/>
      <c r="MFX1" s="10"/>
      <c r="MFY1" s="10"/>
      <c r="MFZ1" s="10"/>
      <c r="MGA1" s="10"/>
      <c r="MGB1" s="10"/>
      <c r="MGC1" s="10"/>
      <c r="MGD1" s="10"/>
      <c r="MGE1" s="10"/>
      <c r="MGF1" s="10"/>
      <c r="MGG1" s="10"/>
      <c r="MGH1" s="10"/>
      <c r="MGI1" s="10"/>
      <c r="MGJ1" s="10"/>
      <c r="MGK1" s="10"/>
      <c r="MGL1" s="10"/>
      <c r="MGM1" s="10"/>
      <c r="MGN1" s="10"/>
      <c r="MGO1" s="10"/>
      <c r="MGP1" s="10"/>
      <c r="MGQ1" s="10"/>
      <c r="MGR1" s="10"/>
      <c r="MGS1" s="10"/>
      <c r="MGT1" s="10"/>
      <c r="MGU1" s="10"/>
      <c r="MGV1" s="10"/>
      <c r="MGW1" s="10"/>
      <c r="MGX1" s="10"/>
      <c r="MGY1" s="10"/>
      <c r="MGZ1" s="10"/>
      <c r="MHA1" s="10"/>
      <c r="MHB1" s="10"/>
      <c r="MHC1" s="10"/>
      <c r="MHD1" s="10"/>
      <c r="MHE1" s="10"/>
      <c r="MHF1" s="10"/>
      <c r="MHG1" s="10"/>
      <c r="MHH1" s="10"/>
      <c r="MHI1" s="10"/>
      <c r="MHJ1" s="10"/>
      <c r="MHK1" s="10"/>
      <c r="MHL1" s="10"/>
      <c r="MHM1" s="10"/>
      <c r="MHN1" s="10"/>
      <c r="MHO1" s="10"/>
      <c r="MHP1" s="10"/>
      <c r="MHQ1" s="10"/>
      <c r="MHR1" s="10"/>
      <c r="MHS1" s="10"/>
      <c r="MHT1" s="10"/>
      <c r="MHU1" s="10"/>
      <c r="MHV1" s="10"/>
      <c r="MHW1" s="10"/>
      <c r="MHX1" s="10"/>
      <c r="MHY1" s="10"/>
      <c r="MHZ1" s="10"/>
      <c r="MIA1" s="10"/>
      <c r="MIB1" s="10"/>
      <c r="MIC1" s="10"/>
      <c r="MID1" s="10"/>
      <c r="MIE1" s="10"/>
      <c r="MIF1" s="10"/>
      <c r="MIG1" s="10"/>
      <c r="MIH1" s="10"/>
      <c r="MII1" s="10"/>
      <c r="MIJ1" s="10"/>
      <c r="MIK1" s="10"/>
      <c r="MIL1" s="10"/>
      <c r="MIM1" s="10"/>
      <c r="MIN1" s="10"/>
      <c r="MIO1" s="10"/>
      <c r="MIP1" s="10"/>
      <c r="MIQ1" s="10"/>
      <c r="MIR1" s="10"/>
      <c r="MIS1" s="10"/>
      <c r="MIT1" s="10"/>
      <c r="MIU1" s="10"/>
      <c r="MIV1" s="10"/>
      <c r="MIW1" s="10"/>
      <c r="MIX1" s="10"/>
      <c r="MIY1" s="10"/>
      <c r="MIZ1" s="10"/>
      <c r="MJA1" s="10"/>
      <c r="MJB1" s="10"/>
      <c r="MJC1" s="10"/>
      <c r="MJD1" s="10"/>
      <c r="MJE1" s="10"/>
      <c r="MJF1" s="10"/>
      <c r="MJG1" s="10"/>
      <c r="MJH1" s="10"/>
      <c r="MJI1" s="10"/>
      <c r="MJJ1" s="10"/>
      <c r="MJK1" s="10"/>
      <c r="MJL1" s="10"/>
      <c r="MJM1" s="10"/>
      <c r="MJN1" s="10"/>
      <c r="MJO1" s="10"/>
      <c r="MJP1" s="10"/>
      <c r="MJQ1" s="10"/>
      <c r="MJR1" s="10"/>
      <c r="MJS1" s="10"/>
      <c r="MJT1" s="10"/>
      <c r="MJU1" s="10"/>
      <c r="MJV1" s="10"/>
      <c r="MJW1" s="10"/>
      <c r="MJX1" s="10"/>
      <c r="MJY1" s="10"/>
      <c r="MJZ1" s="10"/>
      <c r="MKA1" s="10"/>
      <c r="MKB1" s="10"/>
      <c r="MKC1" s="10"/>
      <c r="MKD1" s="10"/>
      <c r="MKE1" s="10"/>
      <c r="MKF1" s="10"/>
      <c r="MKG1" s="10"/>
      <c r="MKH1" s="10"/>
      <c r="MKI1" s="10"/>
      <c r="MKJ1" s="10"/>
      <c r="MKK1" s="10"/>
      <c r="MKL1" s="10"/>
      <c r="MKM1" s="10"/>
      <c r="MKN1" s="10"/>
      <c r="MKO1" s="10"/>
      <c r="MKP1" s="10"/>
      <c r="MKQ1" s="10"/>
      <c r="MKR1" s="10"/>
      <c r="MKS1" s="10"/>
      <c r="MKT1" s="10"/>
      <c r="MKU1" s="10"/>
      <c r="MKV1" s="10"/>
      <c r="MKW1" s="10"/>
      <c r="MKX1" s="10"/>
      <c r="MKY1" s="10"/>
      <c r="MKZ1" s="10"/>
      <c r="MLA1" s="10"/>
      <c r="MLB1" s="10"/>
      <c r="MLC1" s="10"/>
      <c r="MLD1" s="10"/>
      <c r="MLE1" s="10"/>
      <c r="MLF1" s="10"/>
      <c r="MLG1" s="10"/>
      <c r="MLH1" s="10"/>
      <c r="MLI1" s="10"/>
      <c r="MLJ1" s="10"/>
      <c r="MLK1" s="10"/>
      <c r="MLL1" s="10"/>
      <c r="MLM1" s="10"/>
      <c r="MLN1" s="10"/>
      <c r="MLO1" s="10"/>
      <c r="MLP1" s="10"/>
      <c r="MLQ1" s="10"/>
      <c r="MLR1" s="10"/>
      <c r="MLS1" s="10"/>
      <c r="MLT1" s="10"/>
      <c r="MLU1" s="10"/>
      <c r="MLV1" s="10"/>
      <c r="MLW1" s="10"/>
      <c r="MLX1" s="10"/>
      <c r="MLY1" s="10"/>
      <c r="MLZ1" s="10"/>
      <c r="MMA1" s="10"/>
      <c r="MMB1" s="10"/>
      <c r="MMC1" s="10"/>
      <c r="MMD1" s="10"/>
      <c r="MME1" s="10"/>
      <c r="MMF1" s="10"/>
      <c r="MMG1" s="10"/>
      <c r="MMH1" s="10"/>
      <c r="MMI1" s="10"/>
      <c r="MMJ1" s="10"/>
      <c r="MMK1" s="10"/>
      <c r="MML1" s="10"/>
      <c r="MMM1" s="10"/>
      <c r="MMN1" s="10"/>
      <c r="MMO1" s="10"/>
      <c r="MMP1" s="10"/>
      <c r="MMQ1" s="10"/>
      <c r="MMR1" s="10"/>
      <c r="MMS1" s="10"/>
      <c r="MMT1" s="10"/>
      <c r="MMU1" s="10"/>
      <c r="MMV1" s="10"/>
      <c r="MMW1" s="10"/>
      <c r="MMX1" s="10"/>
      <c r="MMY1" s="10"/>
      <c r="MMZ1" s="10"/>
      <c r="MNA1" s="10"/>
      <c r="MNB1" s="10"/>
      <c r="MNC1" s="10"/>
      <c r="MND1" s="10"/>
      <c r="MNE1" s="10"/>
      <c r="MNF1" s="10"/>
      <c r="MNG1" s="10"/>
      <c r="MNH1" s="10"/>
      <c r="MNI1" s="10"/>
      <c r="MNJ1" s="10"/>
      <c r="MNK1" s="10"/>
      <c r="MNL1" s="10"/>
      <c r="MNM1" s="10"/>
      <c r="MNN1" s="10"/>
      <c r="MNO1" s="10"/>
      <c r="MNP1" s="10"/>
      <c r="MNQ1" s="10"/>
      <c r="MNR1" s="10"/>
      <c r="MNS1" s="10"/>
      <c r="MNT1" s="10"/>
      <c r="MNU1" s="10"/>
      <c r="MNV1" s="10"/>
      <c r="MNW1" s="10"/>
      <c r="MNX1" s="10"/>
      <c r="MNY1" s="10"/>
      <c r="MNZ1" s="10"/>
      <c r="MOA1" s="10"/>
      <c r="MOB1" s="10"/>
      <c r="MOC1" s="10"/>
      <c r="MOD1" s="10"/>
      <c r="MOE1" s="10"/>
      <c r="MOF1" s="10"/>
      <c r="MOG1" s="10"/>
      <c r="MOH1" s="10"/>
      <c r="MOI1" s="10"/>
      <c r="MOJ1" s="10"/>
      <c r="MOK1" s="10"/>
      <c r="MOL1" s="10"/>
      <c r="MOM1" s="10"/>
      <c r="MON1" s="10"/>
      <c r="MOO1" s="10"/>
      <c r="MOP1" s="10"/>
      <c r="MOQ1" s="10"/>
      <c r="MOR1" s="10"/>
      <c r="MOS1" s="10"/>
      <c r="MOT1" s="10"/>
      <c r="MOU1" s="10"/>
      <c r="MOV1" s="10"/>
      <c r="MOW1" s="10"/>
      <c r="MOX1" s="10"/>
      <c r="MOY1" s="10"/>
      <c r="MOZ1" s="10"/>
      <c r="MPA1" s="10"/>
      <c r="MPB1" s="10"/>
      <c r="MPC1" s="10"/>
      <c r="MPD1" s="10"/>
      <c r="MPE1" s="10"/>
      <c r="MPF1" s="10"/>
      <c r="MPG1" s="10"/>
      <c r="MPH1" s="10"/>
      <c r="MPI1" s="10"/>
      <c r="MPJ1" s="10"/>
      <c r="MPK1" s="10"/>
      <c r="MPL1" s="10"/>
      <c r="MPM1" s="10"/>
      <c r="MPN1" s="10"/>
      <c r="MPO1" s="10"/>
      <c r="MPP1" s="10"/>
      <c r="MPQ1" s="10"/>
      <c r="MPR1" s="10"/>
      <c r="MPS1" s="10"/>
      <c r="MPT1" s="10"/>
      <c r="MPU1" s="10"/>
      <c r="MPV1" s="10"/>
      <c r="MPW1" s="10"/>
      <c r="MPX1" s="10"/>
      <c r="MPY1" s="10"/>
      <c r="MPZ1" s="10"/>
      <c r="MQA1" s="10"/>
      <c r="MQB1" s="10"/>
      <c r="MQC1" s="10"/>
      <c r="MQD1" s="10"/>
      <c r="MQE1" s="10"/>
      <c r="MQF1" s="10"/>
      <c r="MQG1" s="10"/>
      <c r="MQH1" s="10"/>
      <c r="MQI1" s="10"/>
      <c r="MQJ1" s="10"/>
      <c r="MQK1" s="10"/>
      <c r="MQL1" s="10"/>
      <c r="MQM1" s="10"/>
      <c r="MQN1" s="10"/>
      <c r="MQO1" s="10"/>
      <c r="MQP1" s="10"/>
      <c r="MQQ1" s="10"/>
      <c r="MQR1" s="10"/>
      <c r="MQS1" s="10"/>
      <c r="MQT1" s="10"/>
      <c r="MQU1" s="10"/>
      <c r="MQV1" s="10"/>
      <c r="MQW1" s="10"/>
      <c r="MQX1" s="10"/>
      <c r="MQY1" s="10"/>
      <c r="MQZ1" s="10"/>
      <c r="MRA1" s="10"/>
      <c r="MRB1" s="10"/>
      <c r="MRC1" s="10"/>
      <c r="MRD1" s="10"/>
      <c r="MRE1" s="10"/>
      <c r="MRF1" s="10"/>
      <c r="MRG1" s="10"/>
      <c r="MRH1" s="10"/>
      <c r="MRI1" s="10"/>
      <c r="MRJ1" s="10"/>
      <c r="MRK1" s="10"/>
      <c r="MRL1" s="10"/>
      <c r="MRM1" s="10"/>
      <c r="MRN1" s="10"/>
      <c r="MRO1" s="10"/>
      <c r="MRP1" s="10"/>
      <c r="MRQ1" s="10"/>
      <c r="MRR1" s="10"/>
      <c r="MRS1" s="10"/>
      <c r="MRT1" s="10"/>
      <c r="MRU1" s="10"/>
      <c r="MRV1" s="10"/>
      <c r="MRW1" s="10"/>
      <c r="MRX1" s="10"/>
      <c r="MRY1" s="10"/>
      <c r="MRZ1" s="10"/>
      <c r="MSA1" s="10"/>
      <c r="MSB1" s="10"/>
      <c r="MSC1" s="10"/>
      <c r="MSD1" s="10"/>
      <c r="MSE1" s="10"/>
      <c r="MSF1" s="10"/>
      <c r="MSG1" s="10"/>
      <c r="MSH1" s="10"/>
      <c r="MSI1" s="10"/>
      <c r="MSJ1" s="10"/>
      <c r="MSK1" s="10"/>
      <c r="MSL1" s="10"/>
      <c r="MSM1" s="10"/>
      <c r="MSN1" s="10"/>
      <c r="MSO1" s="10"/>
      <c r="MSP1" s="10"/>
      <c r="MSQ1" s="10"/>
      <c r="MSR1" s="10"/>
      <c r="MSS1" s="10"/>
      <c r="MST1" s="10"/>
      <c r="MSU1" s="10"/>
      <c r="MSV1" s="10"/>
      <c r="MSW1" s="10"/>
      <c r="MSX1" s="10"/>
      <c r="MSY1" s="10"/>
      <c r="MSZ1" s="10"/>
      <c r="MTA1" s="10"/>
      <c r="MTB1" s="10"/>
      <c r="MTC1" s="10"/>
      <c r="MTD1" s="10"/>
      <c r="MTE1" s="10"/>
      <c r="MTF1" s="10"/>
      <c r="MTG1" s="10"/>
      <c r="MTH1" s="10"/>
      <c r="MTI1" s="10"/>
      <c r="MTJ1" s="10"/>
      <c r="MTK1" s="10"/>
      <c r="MTL1" s="10"/>
      <c r="MTM1" s="10"/>
      <c r="MTN1" s="10"/>
      <c r="MTO1" s="10"/>
      <c r="MTP1" s="10"/>
      <c r="MTQ1" s="10"/>
      <c r="MTR1" s="10"/>
      <c r="MTS1" s="10"/>
      <c r="MTT1" s="10"/>
      <c r="MTU1" s="10"/>
      <c r="MTV1" s="10"/>
      <c r="MTW1" s="10"/>
      <c r="MTX1" s="10"/>
      <c r="MTY1" s="10"/>
      <c r="MTZ1" s="10"/>
      <c r="MUA1" s="10"/>
      <c r="MUB1" s="10"/>
      <c r="MUC1" s="10"/>
      <c r="MUD1" s="10"/>
      <c r="MUE1" s="10"/>
      <c r="MUF1" s="10"/>
      <c r="MUG1" s="10"/>
      <c r="MUH1" s="10"/>
      <c r="MUI1" s="10"/>
      <c r="MUJ1" s="10"/>
      <c r="MUK1" s="10"/>
      <c r="MUL1" s="10"/>
      <c r="MUM1" s="10"/>
      <c r="MUN1" s="10"/>
      <c r="MUO1" s="10"/>
      <c r="MUP1" s="10"/>
      <c r="MUQ1" s="10"/>
      <c r="MUR1" s="10"/>
      <c r="MUS1" s="10"/>
      <c r="MUT1" s="10"/>
      <c r="MUU1" s="10"/>
      <c r="MUV1" s="10"/>
      <c r="MUW1" s="10"/>
      <c r="MUX1" s="10"/>
      <c r="MUY1" s="10"/>
      <c r="MUZ1" s="10"/>
      <c r="MVA1" s="10"/>
      <c r="MVB1" s="10"/>
      <c r="MVC1" s="10"/>
      <c r="MVD1" s="10"/>
      <c r="MVE1" s="10"/>
      <c r="MVF1" s="10"/>
      <c r="MVG1" s="10"/>
      <c r="MVH1" s="10"/>
      <c r="MVI1" s="10"/>
      <c r="MVJ1" s="10"/>
      <c r="MVK1" s="10"/>
      <c r="MVL1" s="10"/>
      <c r="MVM1" s="10"/>
      <c r="MVN1" s="10"/>
      <c r="MVO1" s="10"/>
      <c r="MVP1" s="10"/>
      <c r="MVQ1" s="10"/>
      <c r="MVR1" s="10"/>
      <c r="MVS1" s="10"/>
      <c r="MVT1" s="10"/>
      <c r="MVU1" s="10"/>
      <c r="MVV1" s="10"/>
      <c r="MVW1" s="10"/>
      <c r="MVX1" s="10"/>
      <c r="MVY1" s="10"/>
      <c r="MVZ1" s="10"/>
      <c r="MWA1" s="10"/>
      <c r="MWB1" s="10"/>
      <c r="MWC1" s="10"/>
      <c r="MWD1" s="10"/>
      <c r="MWE1" s="10"/>
      <c r="MWF1" s="10"/>
      <c r="MWG1" s="10"/>
      <c r="MWH1" s="10"/>
      <c r="MWI1" s="10"/>
      <c r="MWJ1" s="10"/>
      <c r="MWK1" s="10"/>
      <c r="MWL1" s="10"/>
      <c r="MWM1" s="10"/>
      <c r="MWN1" s="10"/>
      <c r="MWO1" s="10"/>
      <c r="MWP1" s="10"/>
      <c r="MWQ1" s="10"/>
      <c r="MWR1" s="10"/>
      <c r="MWS1" s="10"/>
      <c r="MWT1" s="10"/>
      <c r="MWU1" s="10"/>
      <c r="MWV1" s="10"/>
      <c r="MWW1" s="10"/>
      <c r="MWX1" s="10"/>
      <c r="MWY1" s="10"/>
      <c r="MWZ1" s="10"/>
      <c r="MXA1" s="10"/>
      <c r="MXB1" s="10"/>
      <c r="MXC1" s="10"/>
      <c r="MXD1" s="10"/>
      <c r="MXE1" s="10"/>
      <c r="MXF1" s="10"/>
      <c r="MXG1" s="10"/>
      <c r="MXH1" s="10"/>
      <c r="MXI1" s="10"/>
      <c r="MXJ1" s="10"/>
      <c r="MXK1" s="10"/>
      <c r="MXL1" s="10"/>
      <c r="MXM1" s="10"/>
      <c r="MXN1" s="10"/>
      <c r="MXO1" s="10"/>
      <c r="MXP1" s="10"/>
      <c r="MXQ1" s="10"/>
      <c r="MXR1" s="10"/>
      <c r="MXS1" s="10"/>
      <c r="MXT1" s="10"/>
      <c r="MXU1" s="10"/>
      <c r="MXV1" s="10"/>
      <c r="MXW1" s="10"/>
      <c r="MXX1" s="10"/>
      <c r="MXY1" s="10"/>
      <c r="MXZ1" s="10"/>
      <c r="MYA1" s="10"/>
      <c r="MYB1" s="10"/>
      <c r="MYC1" s="10"/>
      <c r="MYD1" s="10"/>
      <c r="MYE1" s="10"/>
      <c r="MYF1" s="10"/>
      <c r="MYG1" s="10"/>
      <c r="MYH1" s="10"/>
      <c r="MYI1" s="10"/>
      <c r="MYJ1" s="10"/>
      <c r="MYK1" s="10"/>
      <c r="MYL1" s="10"/>
      <c r="MYM1" s="10"/>
      <c r="MYN1" s="10"/>
      <c r="MYO1" s="10"/>
      <c r="MYP1" s="10"/>
      <c r="MYQ1" s="10"/>
      <c r="MYR1" s="10"/>
      <c r="MYS1" s="10"/>
      <c r="MYT1" s="10"/>
      <c r="MYU1" s="10"/>
      <c r="MYV1" s="10"/>
      <c r="MYW1" s="10"/>
      <c r="MYX1" s="10"/>
      <c r="MYY1" s="10"/>
      <c r="MYZ1" s="10"/>
      <c r="MZA1" s="10"/>
      <c r="MZB1" s="10"/>
      <c r="MZC1" s="10"/>
      <c r="MZD1" s="10"/>
      <c r="MZE1" s="10"/>
      <c r="MZF1" s="10"/>
      <c r="MZG1" s="10"/>
      <c r="MZH1" s="10"/>
      <c r="MZI1" s="10"/>
      <c r="MZJ1" s="10"/>
      <c r="MZK1" s="10"/>
      <c r="MZL1" s="10"/>
      <c r="MZM1" s="10"/>
      <c r="MZN1" s="10"/>
      <c r="MZO1" s="10"/>
      <c r="MZP1" s="10"/>
      <c r="MZQ1" s="10"/>
      <c r="MZR1" s="10"/>
      <c r="MZS1" s="10"/>
      <c r="MZT1" s="10"/>
      <c r="MZU1" s="10"/>
      <c r="MZV1" s="10"/>
      <c r="MZW1" s="10"/>
      <c r="MZX1" s="10"/>
      <c r="MZY1" s="10"/>
      <c r="MZZ1" s="10"/>
      <c r="NAA1" s="10"/>
      <c r="NAB1" s="10"/>
      <c r="NAC1" s="10"/>
      <c r="NAD1" s="10"/>
      <c r="NAE1" s="10"/>
      <c r="NAF1" s="10"/>
      <c r="NAG1" s="10"/>
      <c r="NAH1" s="10"/>
      <c r="NAI1" s="10"/>
      <c r="NAJ1" s="10"/>
      <c r="NAK1" s="10"/>
      <c r="NAL1" s="10"/>
      <c r="NAM1" s="10"/>
      <c r="NAN1" s="10"/>
      <c r="NAO1" s="10"/>
      <c r="NAP1" s="10"/>
      <c r="NAQ1" s="10"/>
      <c r="NAR1" s="10"/>
      <c r="NAS1" s="10"/>
      <c r="NAT1" s="10"/>
      <c r="NAU1" s="10"/>
      <c r="NAV1" s="10"/>
      <c r="NAW1" s="10"/>
      <c r="NAX1" s="10"/>
      <c r="NAY1" s="10"/>
      <c r="NAZ1" s="10"/>
      <c r="NBA1" s="10"/>
      <c r="NBB1" s="10"/>
      <c r="NBC1" s="10"/>
      <c r="NBD1" s="10"/>
      <c r="NBE1" s="10"/>
      <c r="NBF1" s="10"/>
      <c r="NBG1" s="10"/>
      <c r="NBH1" s="10"/>
      <c r="NBI1" s="10"/>
      <c r="NBJ1" s="10"/>
      <c r="NBK1" s="10"/>
      <c r="NBL1" s="10"/>
      <c r="NBM1" s="10"/>
      <c r="NBN1" s="10"/>
      <c r="NBO1" s="10"/>
      <c r="NBP1" s="10"/>
      <c r="NBQ1" s="10"/>
      <c r="NBR1" s="10"/>
      <c r="NBS1" s="10"/>
      <c r="NBT1" s="10"/>
      <c r="NBU1" s="10"/>
      <c r="NBV1" s="10"/>
      <c r="NBW1" s="10"/>
      <c r="NBX1" s="10"/>
      <c r="NBY1" s="10"/>
      <c r="NBZ1" s="10"/>
      <c r="NCA1" s="10"/>
      <c r="NCB1" s="10"/>
      <c r="NCC1" s="10"/>
      <c r="NCD1" s="10"/>
      <c r="NCE1" s="10"/>
      <c r="NCF1" s="10"/>
      <c r="NCG1" s="10"/>
      <c r="NCH1" s="10"/>
      <c r="NCI1" s="10"/>
      <c r="NCJ1" s="10"/>
      <c r="NCK1" s="10"/>
      <c r="NCL1" s="10"/>
      <c r="NCM1" s="10"/>
      <c r="NCN1" s="10"/>
      <c r="NCO1" s="10"/>
      <c r="NCP1" s="10"/>
      <c r="NCQ1" s="10"/>
      <c r="NCR1" s="10"/>
      <c r="NCS1" s="10"/>
      <c r="NCT1" s="10"/>
      <c r="NCU1" s="10"/>
      <c r="NCV1" s="10"/>
      <c r="NCW1" s="10"/>
      <c r="NCX1" s="10"/>
      <c r="NCY1" s="10"/>
      <c r="NCZ1" s="10"/>
      <c r="NDA1" s="10"/>
      <c r="NDB1" s="10"/>
      <c r="NDC1" s="10"/>
      <c r="NDD1" s="10"/>
      <c r="NDE1" s="10"/>
      <c r="NDF1" s="10"/>
      <c r="NDG1" s="10"/>
      <c r="NDH1" s="10"/>
      <c r="NDI1" s="10"/>
      <c r="NDJ1" s="10"/>
      <c r="NDK1" s="10"/>
      <c r="NDL1" s="10"/>
      <c r="NDM1" s="10"/>
      <c r="NDN1" s="10"/>
      <c r="NDO1" s="10"/>
      <c r="NDP1" s="10"/>
      <c r="NDQ1" s="10"/>
      <c r="NDR1" s="10"/>
      <c r="NDS1" s="10"/>
      <c r="NDT1" s="10"/>
      <c r="NDU1" s="10"/>
      <c r="NDV1" s="10"/>
      <c r="NDW1" s="10"/>
      <c r="NDX1" s="10"/>
      <c r="NDY1" s="10"/>
      <c r="NDZ1" s="10"/>
      <c r="NEA1" s="10"/>
      <c r="NEB1" s="10"/>
      <c r="NEC1" s="10"/>
      <c r="NED1" s="10"/>
      <c r="NEE1" s="10"/>
      <c r="NEF1" s="10"/>
      <c r="NEG1" s="10"/>
      <c r="NEH1" s="10"/>
      <c r="NEI1" s="10"/>
      <c r="NEJ1" s="10"/>
      <c r="NEK1" s="10"/>
      <c r="NEL1" s="10"/>
      <c r="NEM1" s="10"/>
      <c r="NEN1" s="10"/>
      <c r="NEO1" s="10"/>
      <c r="NEP1" s="10"/>
      <c r="NEQ1" s="10"/>
      <c r="NER1" s="10"/>
      <c r="NES1" s="10"/>
      <c r="NET1" s="10"/>
      <c r="NEU1" s="10"/>
      <c r="NEV1" s="10"/>
      <c r="NEW1" s="10"/>
      <c r="NEX1" s="10"/>
      <c r="NEY1" s="10"/>
      <c r="NEZ1" s="10"/>
      <c r="NFA1" s="10"/>
      <c r="NFB1" s="10"/>
      <c r="NFC1" s="10"/>
      <c r="NFD1" s="10"/>
      <c r="NFE1" s="10"/>
      <c r="NFF1" s="10"/>
      <c r="NFG1" s="10"/>
      <c r="NFH1" s="10"/>
      <c r="NFI1" s="10"/>
      <c r="NFJ1" s="10"/>
      <c r="NFK1" s="10"/>
      <c r="NFL1" s="10"/>
      <c r="NFM1" s="10"/>
      <c r="NFN1" s="10"/>
      <c r="NFO1" s="10"/>
      <c r="NFP1" s="10"/>
      <c r="NFQ1" s="10"/>
      <c r="NFR1" s="10"/>
      <c r="NFS1" s="10"/>
      <c r="NFT1" s="10"/>
      <c r="NFU1" s="10"/>
      <c r="NFV1" s="10"/>
      <c r="NFW1" s="10"/>
      <c r="NFX1" s="10"/>
      <c r="NFY1" s="10"/>
      <c r="NFZ1" s="10"/>
      <c r="NGA1" s="10"/>
      <c r="NGB1" s="10"/>
      <c r="NGC1" s="10"/>
      <c r="NGD1" s="10"/>
      <c r="NGE1" s="10"/>
      <c r="NGF1" s="10"/>
      <c r="NGG1" s="10"/>
      <c r="NGH1" s="10"/>
      <c r="NGI1" s="10"/>
      <c r="NGJ1" s="10"/>
      <c r="NGK1" s="10"/>
      <c r="NGL1" s="10"/>
      <c r="NGM1" s="10"/>
      <c r="NGN1" s="10"/>
      <c r="NGO1" s="10"/>
      <c r="NGP1" s="10"/>
      <c r="NGQ1" s="10"/>
      <c r="NGR1" s="10"/>
      <c r="NGS1" s="10"/>
      <c r="NGT1" s="10"/>
      <c r="NGU1" s="10"/>
      <c r="NGV1" s="10"/>
      <c r="NGW1" s="10"/>
      <c r="NGX1" s="10"/>
      <c r="NGY1" s="10"/>
      <c r="NGZ1" s="10"/>
      <c r="NHA1" s="10"/>
      <c r="NHB1" s="10"/>
      <c r="NHC1" s="10"/>
      <c r="NHD1" s="10"/>
      <c r="NHE1" s="10"/>
      <c r="NHF1" s="10"/>
      <c r="NHG1" s="10"/>
      <c r="NHH1" s="10"/>
      <c r="NHI1" s="10"/>
      <c r="NHJ1" s="10"/>
      <c r="NHK1" s="10"/>
      <c r="NHL1" s="10"/>
      <c r="NHM1" s="10"/>
      <c r="NHN1" s="10"/>
      <c r="NHO1" s="10"/>
      <c r="NHP1" s="10"/>
      <c r="NHQ1" s="10"/>
      <c r="NHR1" s="10"/>
      <c r="NHS1" s="10"/>
      <c r="NHT1" s="10"/>
      <c r="NHU1" s="10"/>
      <c r="NHV1" s="10"/>
      <c r="NHW1" s="10"/>
      <c r="NHX1" s="10"/>
      <c r="NHY1" s="10"/>
      <c r="NHZ1" s="10"/>
      <c r="NIA1" s="10"/>
      <c r="NIB1" s="10"/>
      <c r="NIC1" s="10"/>
      <c r="NID1" s="10"/>
      <c r="NIE1" s="10"/>
      <c r="NIF1" s="10"/>
      <c r="NIG1" s="10"/>
      <c r="NIH1" s="10"/>
      <c r="NII1" s="10"/>
      <c r="NIJ1" s="10"/>
      <c r="NIK1" s="10"/>
      <c r="NIL1" s="10"/>
      <c r="NIM1" s="10"/>
      <c r="NIN1" s="10"/>
      <c r="NIO1" s="10"/>
      <c r="NIP1" s="10"/>
      <c r="NIQ1" s="10"/>
      <c r="NIR1" s="10"/>
      <c r="NIS1" s="10"/>
      <c r="NIT1" s="10"/>
      <c r="NIU1" s="10"/>
      <c r="NIV1" s="10"/>
      <c r="NIW1" s="10"/>
      <c r="NIX1" s="10"/>
      <c r="NIY1" s="10"/>
      <c r="NIZ1" s="10"/>
      <c r="NJA1" s="10"/>
      <c r="NJB1" s="10"/>
      <c r="NJC1" s="10"/>
      <c r="NJD1" s="10"/>
      <c r="NJE1" s="10"/>
      <c r="NJF1" s="10"/>
      <c r="NJG1" s="10"/>
      <c r="NJH1" s="10"/>
      <c r="NJI1" s="10"/>
      <c r="NJJ1" s="10"/>
      <c r="NJK1" s="10"/>
      <c r="NJL1" s="10"/>
      <c r="NJM1" s="10"/>
      <c r="NJN1" s="10"/>
      <c r="NJO1" s="10"/>
      <c r="NJP1" s="10"/>
      <c r="NJQ1" s="10"/>
      <c r="NJR1" s="10"/>
      <c r="NJS1" s="10"/>
      <c r="NJT1" s="10"/>
      <c r="NJU1" s="10"/>
      <c r="NJV1" s="10"/>
      <c r="NJW1" s="10"/>
      <c r="NJX1" s="10"/>
      <c r="NJY1" s="10"/>
      <c r="NJZ1" s="10"/>
      <c r="NKA1" s="10"/>
      <c r="NKB1" s="10"/>
      <c r="NKC1" s="10"/>
      <c r="NKD1" s="10"/>
      <c r="NKE1" s="10"/>
      <c r="NKF1" s="10"/>
      <c r="NKG1" s="10"/>
      <c r="NKH1" s="10"/>
      <c r="NKI1" s="10"/>
      <c r="NKJ1" s="10"/>
      <c r="NKK1" s="10"/>
      <c r="NKL1" s="10"/>
      <c r="NKM1" s="10"/>
      <c r="NKN1" s="10"/>
      <c r="NKO1" s="10"/>
      <c r="NKP1" s="10"/>
      <c r="NKQ1" s="10"/>
      <c r="NKR1" s="10"/>
      <c r="NKS1" s="10"/>
      <c r="NKT1" s="10"/>
      <c r="NKU1" s="10"/>
      <c r="NKV1" s="10"/>
      <c r="NKW1" s="10"/>
      <c r="NKX1" s="10"/>
      <c r="NKY1" s="10"/>
      <c r="NKZ1" s="10"/>
      <c r="NLA1" s="10"/>
      <c r="NLB1" s="10"/>
      <c r="NLC1" s="10"/>
      <c r="NLD1" s="10"/>
      <c r="NLE1" s="10"/>
      <c r="NLF1" s="10"/>
      <c r="NLG1" s="10"/>
      <c r="NLH1" s="10"/>
      <c r="NLI1" s="10"/>
      <c r="NLJ1" s="10"/>
      <c r="NLK1" s="10"/>
      <c r="NLL1" s="10"/>
      <c r="NLM1" s="10"/>
      <c r="NLN1" s="10"/>
      <c r="NLO1" s="10"/>
      <c r="NLP1" s="10"/>
      <c r="NLQ1" s="10"/>
      <c r="NLR1" s="10"/>
      <c r="NLS1" s="10"/>
      <c r="NLT1" s="10"/>
      <c r="NLU1" s="10"/>
      <c r="NLV1" s="10"/>
      <c r="NLW1" s="10"/>
      <c r="NLX1" s="10"/>
      <c r="NLY1" s="10"/>
      <c r="NLZ1" s="10"/>
      <c r="NMA1" s="10"/>
      <c r="NMB1" s="10"/>
      <c r="NMC1" s="10"/>
      <c r="NMD1" s="10"/>
      <c r="NME1" s="10"/>
      <c r="NMF1" s="10"/>
      <c r="NMG1" s="10"/>
      <c r="NMH1" s="10"/>
      <c r="NMI1" s="10"/>
      <c r="NMJ1" s="10"/>
      <c r="NMK1" s="10"/>
      <c r="NML1" s="10"/>
      <c r="NMM1" s="10"/>
      <c r="NMN1" s="10"/>
      <c r="NMO1" s="10"/>
      <c r="NMP1" s="10"/>
      <c r="NMQ1" s="10"/>
      <c r="NMR1" s="10"/>
      <c r="NMS1" s="10"/>
      <c r="NMT1" s="10"/>
      <c r="NMU1" s="10"/>
      <c r="NMV1" s="10"/>
      <c r="NMW1" s="10"/>
      <c r="NMX1" s="10"/>
      <c r="NMY1" s="10"/>
      <c r="NMZ1" s="10"/>
      <c r="NNA1" s="10"/>
      <c r="NNB1" s="10"/>
      <c r="NNC1" s="10"/>
      <c r="NND1" s="10"/>
      <c r="NNE1" s="10"/>
      <c r="NNF1" s="10"/>
      <c r="NNG1" s="10"/>
      <c r="NNH1" s="10"/>
      <c r="NNI1" s="10"/>
      <c r="NNJ1" s="10"/>
      <c r="NNK1" s="10"/>
      <c r="NNL1" s="10"/>
      <c r="NNM1" s="10"/>
      <c r="NNN1" s="10"/>
      <c r="NNO1" s="10"/>
      <c r="NNP1" s="10"/>
      <c r="NNQ1" s="10"/>
      <c r="NNR1" s="10"/>
      <c r="NNS1" s="10"/>
      <c r="NNT1" s="10"/>
      <c r="NNU1" s="10"/>
      <c r="NNV1" s="10"/>
      <c r="NNW1" s="10"/>
      <c r="NNX1" s="10"/>
      <c r="NNY1" s="10"/>
      <c r="NNZ1" s="10"/>
      <c r="NOA1" s="10"/>
      <c r="NOB1" s="10"/>
      <c r="NOC1" s="10"/>
      <c r="NOD1" s="10"/>
      <c r="NOE1" s="10"/>
      <c r="NOF1" s="10"/>
      <c r="NOG1" s="10"/>
      <c r="NOH1" s="10"/>
      <c r="NOI1" s="10"/>
      <c r="NOJ1" s="10"/>
      <c r="NOK1" s="10"/>
      <c r="NOL1" s="10"/>
      <c r="NOM1" s="10"/>
      <c r="NON1" s="10"/>
      <c r="NOO1" s="10"/>
      <c r="NOP1" s="10"/>
      <c r="NOQ1" s="10"/>
      <c r="NOR1" s="10"/>
      <c r="NOS1" s="10"/>
      <c r="NOT1" s="10"/>
      <c r="NOU1" s="10"/>
      <c r="NOV1" s="10"/>
      <c r="NOW1" s="10"/>
      <c r="NOX1" s="10"/>
      <c r="NOY1" s="10"/>
      <c r="NOZ1" s="10"/>
      <c r="NPA1" s="10"/>
      <c r="NPB1" s="10"/>
      <c r="NPC1" s="10"/>
      <c r="NPD1" s="10"/>
      <c r="NPE1" s="10"/>
      <c r="NPF1" s="10"/>
      <c r="NPG1" s="10"/>
      <c r="NPH1" s="10"/>
      <c r="NPI1" s="10"/>
      <c r="NPJ1" s="10"/>
      <c r="NPK1" s="10"/>
      <c r="NPL1" s="10"/>
      <c r="NPM1" s="10"/>
      <c r="NPN1" s="10"/>
      <c r="NPO1" s="10"/>
      <c r="NPP1" s="10"/>
      <c r="NPQ1" s="10"/>
      <c r="NPR1" s="10"/>
      <c r="NPS1" s="10"/>
      <c r="NPT1" s="10"/>
      <c r="NPU1" s="10"/>
      <c r="NPV1" s="10"/>
      <c r="NPW1" s="10"/>
      <c r="NPX1" s="10"/>
      <c r="NPY1" s="10"/>
      <c r="NPZ1" s="10"/>
      <c r="NQA1" s="10"/>
      <c r="NQB1" s="10"/>
      <c r="NQC1" s="10"/>
      <c r="NQD1" s="10"/>
      <c r="NQE1" s="10"/>
      <c r="NQF1" s="10"/>
      <c r="NQG1" s="10"/>
      <c r="NQH1" s="10"/>
      <c r="NQI1" s="10"/>
      <c r="NQJ1" s="10"/>
      <c r="NQK1" s="10"/>
      <c r="NQL1" s="10"/>
      <c r="NQM1" s="10"/>
      <c r="NQN1" s="10"/>
      <c r="NQO1" s="10"/>
      <c r="NQP1" s="10"/>
      <c r="NQQ1" s="10"/>
      <c r="NQR1" s="10"/>
      <c r="NQS1" s="10"/>
      <c r="NQT1" s="10"/>
      <c r="NQU1" s="10"/>
      <c r="NQV1" s="10"/>
      <c r="NQW1" s="10"/>
      <c r="NQX1" s="10"/>
      <c r="NQY1" s="10"/>
      <c r="NQZ1" s="10"/>
      <c r="NRA1" s="10"/>
      <c r="NRB1" s="10"/>
      <c r="NRC1" s="10"/>
      <c r="NRD1" s="10"/>
      <c r="NRE1" s="10"/>
      <c r="NRF1" s="10"/>
      <c r="NRG1" s="10"/>
      <c r="NRH1" s="10"/>
      <c r="NRI1" s="10"/>
      <c r="NRJ1" s="10"/>
      <c r="NRK1" s="10"/>
      <c r="NRL1" s="10"/>
      <c r="NRM1" s="10"/>
      <c r="NRN1" s="10"/>
      <c r="NRO1" s="10"/>
      <c r="NRP1" s="10"/>
      <c r="NRQ1" s="10"/>
      <c r="NRR1" s="10"/>
      <c r="NRS1" s="10"/>
      <c r="NRT1" s="10"/>
      <c r="NRU1" s="10"/>
      <c r="NRV1" s="10"/>
      <c r="NRW1" s="10"/>
      <c r="NRX1" s="10"/>
      <c r="NRY1" s="10"/>
      <c r="NRZ1" s="10"/>
      <c r="NSA1" s="10"/>
      <c r="NSB1" s="10"/>
      <c r="NSC1" s="10"/>
      <c r="NSD1" s="10"/>
      <c r="NSE1" s="10"/>
      <c r="NSF1" s="10"/>
      <c r="NSG1" s="10"/>
      <c r="NSH1" s="10"/>
      <c r="NSI1" s="10"/>
      <c r="NSJ1" s="10"/>
      <c r="NSK1" s="10"/>
      <c r="NSL1" s="10"/>
      <c r="NSM1" s="10"/>
      <c r="NSN1" s="10"/>
      <c r="NSO1" s="10"/>
      <c r="NSP1" s="10"/>
      <c r="NSQ1" s="10"/>
      <c r="NSR1" s="10"/>
      <c r="NSS1" s="10"/>
      <c r="NST1" s="10"/>
      <c r="NSU1" s="10"/>
      <c r="NSV1" s="10"/>
      <c r="NSW1" s="10"/>
      <c r="NSX1" s="10"/>
      <c r="NSY1" s="10"/>
      <c r="NSZ1" s="10"/>
      <c r="NTA1" s="10"/>
      <c r="NTB1" s="10"/>
      <c r="NTC1" s="10"/>
      <c r="NTD1" s="10"/>
      <c r="NTE1" s="10"/>
      <c r="NTF1" s="10"/>
      <c r="NTG1" s="10"/>
      <c r="NTH1" s="10"/>
      <c r="NTI1" s="10"/>
      <c r="NTJ1" s="10"/>
      <c r="NTK1" s="10"/>
      <c r="NTL1" s="10"/>
      <c r="NTM1" s="10"/>
      <c r="NTN1" s="10"/>
      <c r="NTO1" s="10"/>
      <c r="NTP1" s="10"/>
      <c r="NTQ1" s="10"/>
      <c r="NTR1" s="10"/>
      <c r="NTS1" s="10"/>
      <c r="NTT1" s="10"/>
      <c r="NTU1" s="10"/>
      <c r="NTV1" s="10"/>
      <c r="NTW1" s="10"/>
      <c r="NTX1" s="10"/>
      <c r="NTY1" s="10"/>
      <c r="NTZ1" s="10"/>
      <c r="NUA1" s="10"/>
      <c r="NUB1" s="10"/>
      <c r="NUC1" s="10"/>
      <c r="NUD1" s="10"/>
      <c r="NUE1" s="10"/>
      <c r="NUF1" s="10"/>
      <c r="NUG1" s="10"/>
      <c r="NUH1" s="10"/>
      <c r="NUI1" s="10"/>
      <c r="NUJ1" s="10"/>
      <c r="NUK1" s="10"/>
      <c r="NUL1" s="10"/>
      <c r="NUM1" s="10"/>
      <c r="NUN1" s="10"/>
      <c r="NUO1" s="10"/>
      <c r="NUP1" s="10"/>
      <c r="NUQ1" s="10"/>
      <c r="NUR1" s="10"/>
      <c r="NUS1" s="10"/>
      <c r="NUT1" s="10"/>
      <c r="NUU1" s="10"/>
      <c r="NUV1" s="10"/>
      <c r="NUW1" s="10"/>
      <c r="NUX1" s="10"/>
      <c r="NUY1" s="10"/>
      <c r="NUZ1" s="10"/>
      <c r="NVA1" s="10"/>
      <c r="NVB1" s="10"/>
      <c r="NVC1" s="10"/>
      <c r="NVD1" s="10"/>
      <c r="NVE1" s="10"/>
      <c r="NVF1" s="10"/>
      <c r="NVG1" s="10"/>
      <c r="NVH1" s="10"/>
      <c r="NVI1" s="10"/>
      <c r="NVJ1" s="10"/>
      <c r="NVK1" s="10"/>
      <c r="NVL1" s="10"/>
      <c r="NVM1" s="10"/>
      <c r="NVN1" s="10"/>
      <c r="NVO1" s="10"/>
      <c r="NVP1" s="10"/>
      <c r="NVQ1" s="10"/>
      <c r="NVR1" s="10"/>
      <c r="NVS1" s="10"/>
      <c r="NVT1" s="10"/>
      <c r="NVU1" s="10"/>
      <c r="NVV1" s="10"/>
      <c r="NVW1" s="10"/>
      <c r="NVX1" s="10"/>
      <c r="NVY1" s="10"/>
      <c r="NVZ1" s="10"/>
      <c r="NWA1" s="10"/>
      <c r="NWB1" s="10"/>
      <c r="NWC1" s="10"/>
      <c r="NWD1" s="10"/>
      <c r="NWE1" s="10"/>
      <c r="NWF1" s="10"/>
      <c r="NWG1" s="10"/>
      <c r="NWH1" s="10"/>
      <c r="NWI1" s="10"/>
      <c r="NWJ1" s="10"/>
      <c r="NWK1" s="10"/>
      <c r="NWL1" s="10"/>
      <c r="NWM1" s="10"/>
      <c r="NWN1" s="10"/>
      <c r="NWO1" s="10"/>
      <c r="NWP1" s="10"/>
      <c r="NWQ1" s="10"/>
      <c r="NWR1" s="10"/>
      <c r="NWS1" s="10"/>
      <c r="NWT1" s="10"/>
      <c r="NWU1" s="10"/>
      <c r="NWV1" s="10"/>
      <c r="NWW1" s="10"/>
      <c r="NWX1" s="10"/>
      <c r="NWY1" s="10"/>
      <c r="NWZ1" s="10"/>
      <c r="NXA1" s="10"/>
      <c r="NXB1" s="10"/>
      <c r="NXC1" s="10"/>
      <c r="NXD1" s="10"/>
      <c r="NXE1" s="10"/>
      <c r="NXF1" s="10"/>
      <c r="NXG1" s="10"/>
      <c r="NXH1" s="10"/>
      <c r="NXI1" s="10"/>
      <c r="NXJ1" s="10"/>
      <c r="NXK1" s="10"/>
      <c r="NXL1" s="10"/>
      <c r="NXM1" s="10"/>
      <c r="NXN1" s="10"/>
      <c r="NXO1" s="10"/>
      <c r="NXP1" s="10"/>
      <c r="NXQ1" s="10"/>
      <c r="NXR1" s="10"/>
      <c r="NXS1" s="10"/>
      <c r="NXT1" s="10"/>
      <c r="NXU1" s="10"/>
      <c r="NXV1" s="10"/>
      <c r="NXW1" s="10"/>
      <c r="NXX1" s="10"/>
      <c r="NXY1" s="10"/>
      <c r="NXZ1" s="10"/>
      <c r="NYA1" s="10"/>
      <c r="NYB1" s="10"/>
      <c r="NYC1" s="10"/>
      <c r="NYD1" s="10"/>
      <c r="NYE1" s="10"/>
      <c r="NYF1" s="10"/>
      <c r="NYG1" s="10"/>
      <c r="NYH1" s="10"/>
      <c r="NYI1" s="10"/>
      <c r="NYJ1" s="10"/>
      <c r="NYK1" s="10"/>
      <c r="NYL1" s="10"/>
      <c r="NYM1" s="10"/>
      <c r="NYN1" s="10"/>
      <c r="NYO1" s="10"/>
      <c r="NYP1" s="10"/>
      <c r="NYQ1" s="10"/>
      <c r="NYR1" s="10"/>
      <c r="NYS1" s="10"/>
      <c r="NYT1" s="10"/>
      <c r="NYU1" s="10"/>
      <c r="NYV1" s="10"/>
      <c r="NYW1" s="10"/>
      <c r="NYX1" s="10"/>
      <c r="NYY1" s="10"/>
      <c r="NYZ1" s="10"/>
      <c r="NZA1" s="10"/>
      <c r="NZB1" s="10"/>
      <c r="NZC1" s="10"/>
      <c r="NZD1" s="10"/>
      <c r="NZE1" s="10"/>
      <c r="NZF1" s="10"/>
      <c r="NZG1" s="10"/>
      <c r="NZH1" s="10"/>
      <c r="NZI1" s="10"/>
      <c r="NZJ1" s="10"/>
      <c r="NZK1" s="10"/>
      <c r="NZL1" s="10"/>
      <c r="NZM1" s="10"/>
      <c r="NZN1" s="10"/>
      <c r="NZO1" s="10"/>
      <c r="NZP1" s="10"/>
      <c r="NZQ1" s="10"/>
      <c r="NZR1" s="10"/>
      <c r="NZS1" s="10"/>
      <c r="NZT1" s="10"/>
      <c r="NZU1" s="10"/>
      <c r="NZV1" s="10"/>
      <c r="NZW1" s="10"/>
      <c r="NZX1" s="10"/>
      <c r="NZY1" s="10"/>
      <c r="NZZ1" s="10"/>
      <c r="OAA1" s="10"/>
      <c r="OAB1" s="10"/>
      <c r="OAC1" s="10"/>
      <c r="OAD1" s="10"/>
      <c r="OAE1" s="10"/>
      <c r="OAF1" s="10"/>
      <c r="OAG1" s="10"/>
      <c r="OAH1" s="10"/>
      <c r="OAI1" s="10"/>
      <c r="OAJ1" s="10"/>
      <c r="OAK1" s="10"/>
      <c r="OAL1" s="10"/>
      <c r="OAM1" s="10"/>
      <c r="OAN1" s="10"/>
      <c r="OAO1" s="10"/>
      <c r="OAP1" s="10"/>
      <c r="OAQ1" s="10"/>
      <c r="OAR1" s="10"/>
      <c r="OAS1" s="10"/>
      <c r="OAT1" s="10"/>
      <c r="OAU1" s="10"/>
      <c r="OAV1" s="10"/>
      <c r="OAW1" s="10"/>
      <c r="OAX1" s="10"/>
      <c r="OAY1" s="10"/>
      <c r="OAZ1" s="10"/>
      <c r="OBA1" s="10"/>
      <c r="OBB1" s="10"/>
      <c r="OBC1" s="10"/>
      <c r="OBD1" s="10"/>
      <c r="OBE1" s="10"/>
      <c r="OBF1" s="10"/>
      <c r="OBG1" s="10"/>
      <c r="OBH1" s="10"/>
      <c r="OBI1" s="10"/>
      <c r="OBJ1" s="10"/>
      <c r="OBK1" s="10"/>
      <c r="OBL1" s="10"/>
      <c r="OBM1" s="10"/>
      <c r="OBN1" s="10"/>
      <c r="OBO1" s="10"/>
      <c r="OBP1" s="10"/>
      <c r="OBQ1" s="10"/>
      <c r="OBR1" s="10"/>
      <c r="OBS1" s="10"/>
      <c r="OBT1" s="10"/>
      <c r="OBU1" s="10"/>
      <c r="OBV1" s="10"/>
      <c r="OBW1" s="10"/>
      <c r="OBX1" s="10"/>
      <c r="OBY1" s="10"/>
      <c r="OBZ1" s="10"/>
      <c r="OCA1" s="10"/>
      <c r="OCB1" s="10"/>
      <c r="OCC1" s="10"/>
      <c r="OCD1" s="10"/>
      <c r="OCE1" s="10"/>
      <c r="OCF1" s="10"/>
      <c r="OCG1" s="10"/>
      <c r="OCH1" s="10"/>
      <c r="OCI1" s="10"/>
      <c r="OCJ1" s="10"/>
      <c r="OCK1" s="10"/>
      <c r="OCL1" s="10"/>
      <c r="OCM1" s="10"/>
      <c r="OCN1" s="10"/>
      <c r="OCO1" s="10"/>
      <c r="OCP1" s="10"/>
      <c r="OCQ1" s="10"/>
      <c r="OCR1" s="10"/>
      <c r="OCS1" s="10"/>
      <c r="OCT1" s="10"/>
      <c r="OCU1" s="10"/>
      <c r="OCV1" s="10"/>
      <c r="OCW1" s="10"/>
      <c r="OCX1" s="10"/>
      <c r="OCY1" s="10"/>
      <c r="OCZ1" s="10"/>
      <c r="ODA1" s="10"/>
      <c r="ODB1" s="10"/>
      <c r="ODC1" s="10"/>
      <c r="ODD1" s="10"/>
      <c r="ODE1" s="10"/>
      <c r="ODF1" s="10"/>
      <c r="ODG1" s="10"/>
      <c r="ODH1" s="10"/>
      <c r="ODI1" s="10"/>
      <c r="ODJ1" s="10"/>
      <c r="ODK1" s="10"/>
      <c r="ODL1" s="10"/>
      <c r="ODM1" s="10"/>
      <c r="ODN1" s="10"/>
      <c r="ODO1" s="10"/>
      <c r="ODP1" s="10"/>
      <c r="ODQ1" s="10"/>
      <c r="ODR1" s="10"/>
      <c r="ODS1" s="10"/>
      <c r="ODT1" s="10"/>
      <c r="ODU1" s="10"/>
      <c r="ODV1" s="10"/>
      <c r="ODW1" s="10"/>
      <c r="ODX1" s="10"/>
      <c r="ODY1" s="10"/>
      <c r="ODZ1" s="10"/>
      <c r="OEA1" s="10"/>
      <c r="OEB1" s="10"/>
      <c r="OEC1" s="10"/>
      <c r="OED1" s="10"/>
      <c r="OEE1" s="10"/>
      <c r="OEF1" s="10"/>
      <c r="OEG1" s="10"/>
      <c r="OEH1" s="10"/>
      <c r="OEI1" s="10"/>
      <c r="OEJ1" s="10"/>
      <c r="OEK1" s="10"/>
      <c r="OEL1" s="10"/>
      <c r="OEM1" s="10"/>
      <c r="OEN1" s="10"/>
      <c r="OEO1" s="10"/>
      <c r="OEP1" s="10"/>
      <c r="OEQ1" s="10"/>
      <c r="OER1" s="10"/>
      <c r="OES1" s="10"/>
      <c r="OET1" s="10"/>
      <c r="OEU1" s="10"/>
      <c r="OEV1" s="10"/>
      <c r="OEW1" s="10"/>
      <c r="OEX1" s="10"/>
      <c r="OEY1" s="10"/>
      <c r="OEZ1" s="10"/>
      <c r="OFA1" s="10"/>
      <c r="OFB1" s="10"/>
      <c r="OFC1" s="10"/>
      <c r="OFD1" s="10"/>
      <c r="OFE1" s="10"/>
      <c r="OFF1" s="10"/>
      <c r="OFG1" s="10"/>
      <c r="OFH1" s="10"/>
      <c r="OFI1" s="10"/>
      <c r="OFJ1" s="10"/>
      <c r="OFK1" s="10"/>
      <c r="OFL1" s="10"/>
      <c r="OFM1" s="10"/>
      <c r="OFN1" s="10"/>
      <c r="OFO1" s="10"/>
      <c r="OFP1" s="10"/>
      <c r="OFQ1" s="10"/>
      <c r="OFR1" s="10"/>
      <c r="OFS1" s="10"/>
      <c r="OFT1" s="10"/>
      <c r="OFU1" s="10"/>
      <c r="OFV1" s="10"/>
      <c r="OFW1" s="10"/>
      <c r="OFX1" s="10"/>
      <c r="OFY1" s="10"/>
      <c r="OFZ1" s="10"/>
      <c r="OGA1" s="10"/>
      <c r="OGB1" s="10"/>
      <c r="OGC1" s="10"/>
      <c r="OGD1" s="10"/>
      <c r="OGE1" s="10"/>
      <c r="OGF1" s="10"/>
      <c r="OGG1" s="10"/>
      <c r="OGH1" s="10"/>
      <c r="OGI1" s="10"/>
      <c r="OGJ1" s="10"/>
      <c r="OGK1" s="10"/>
      <c r="OGL1" s="10"/>
      <c r="OGM1" s="10"/>
      <c r="OGN1" s="10"/>
      <c r="OGO1" s="10"/>
      <c r="OGP1" s="10"/>
      <c r="OGQ1" s="10"/>
      <c r="OGR1" s="10"/>
      <c r="OGS1" s="10"/>
      <c r="OGT1" s="10"/>
      <c r="OGU1" s="10"/>
      <c r="OGV1" s="10"/>
      <c r="OGW1" s="10"/>
      <c r="OGX1" s="10"/>
      <c r="OGY1" s="10"/>
      <c r="OGZ1" s="10"/>
      <c r="OHA1" s="10"/>
      <c r="OHB1" s="10"/>
      <c r="OHC1" s="10"/>
      <c r="OHD1" s="10"/>
      <c r="OHE1" s="10"/>
      <c r="OHF1" s="10"/>
      <c r="OHG1" s="10"/>
      <c r="OHH1" s="10"/>
      <c r="OHI1" s="10"/>
      <c r="OHJ1" s="10"/>
      <c r="OHK1" s="10"/>
      <c r="OHL1" s="10"/>
      <c r="OHM1" s="10"/>
      <c r="OHN1" s="10"/>
      <c r="OHO1" s="10"/>
      <c r="OHP1" s="10"/>
      <c r="OHQ1" s="10"/>
      <c r="OHR1" s="10"/>
      <c r="OHS1" s="10"/>
      <c r="OHT1" s="10"/>
      <c r="OHU1" s="10"/>
      <c r="OHV1" s="10"/>
      <c r="OHW1" s="10"/>
      <c r="OHX1" s="10"/>
      <c r="OHY1" s="10"/>
      <c r="OHZ1" s="10"/>
      <c r="OIA1" s="10"/>
      <c r="OIB1" s="10"/>
      <c r="OIC1" s="10"/>
      <c r="OID1" s="10"/>
      <c r="OIE1" s="10"/>
      <c r="OIF1" s="10"/>
      <c r="OIG1" s="10"/>
      <c r="OIH1" s="10"/>
      <c r="OII1" s="10"/>
      <c r="OIJ1" s="10"/>
      <c r="OIK1" s="10"/>
      <c r="OIL1" s="10"/>
      <c r="OIM1" s="10"/>
      <c r="OIN1" s="10"/>
      <c r="OIO1" s="10"/>
      <c r="OIP1" s="10"/>
      <c r="OIQ1" s="10"/>
      <c r="OIR1" s="10"/>
      <c r="OIS1" s="10"/>
      <c r="OIT1" s="10"/>
      <c r="OIU1" s="10"/>
      <c r="OIV1" s="10"/>
      <c r="OIW1" s="10"/>
      <c r="OIX1" s="10"/>
      <c r="OIY1" s="10"/>
      <c r="OIZ1" s="10"/>
      <c r="OJA1" s="10"/>
      <c r="OJB1" s="10"/>
      <c r="OJC1" s="10"/>
      <c r="OJD1" s="10"/>
      <c r="OJE1" s="10"/>
      <c r="OJF1" s="10"/>
      <c r="OJG1" s="10"/>
      <c r="OJH1" s="10"/>
      <c r="OJI1" s="10"/>
      <c r="OJJ1" s="10"/>
      <c r="OJK1" s="10"/>
      <c r="OJL1" s="10"/>
      <c r="OJM1" s="10"/>
      <c r="OJN1" s="10"/>
      <c r="OJO1" s="10"/>
      <c r="OJP1" s="10"/>
      <c r="OJQ1" s="10"/>
      <c r="OJR1" s="10"/>
      <c r="OJS1" s="10"/>
      <c r="OJT1" s="10"/>
      <c r="OJU1" s="10"/>
      <c r="OJV1" s="10"/>
      <c r="OJW1" s="10"/>
      <c r="OJX1" s="10"/>
      <c r="OJY1" s="10"/>
      <c r="OJZ1" s="10"/>
      <c r="OKA1" s="10"/>
      <c r="OKB1" s="10"/>
      <c r="OKC1" s="10"/>
      <c r="OKD1" s="10"/>
      <c r="OKE1" s="10"/>
      <c r="OKF1" s="10"/>
      <c r="OKG1" s="10"/>
      <c r="OKH1" s="10"/>
      <c r="OKI1" s="10"/>
      <c r="OKJ1" s="10"/>
      <c r="OKK1" s="10"/>
      <c r="OKL1" s="10"/>
      <c r="OKM1" s="10"/>
      <c r="OKN1" s="10"/>
      <c r="OKO1" s="10"/>
      <c r="OKP1" s="10"/>
      <c r="OKQ1" s="10"/>
      <c r="OKR1" s="10"/>
      <c r="OKS1" s="10"/>
      <c r="OKT1" s="10"/>
      <c r="OKU1" s="10"/>
      <c r="OKV1" s="10"/>
      <c r="OKW1" s="10"/>
      <c r="OKX1" s="10"/>
      <c r="OKY1" s="10"/>
      <c r="OKZ1" s="10"/>
      <c r="OLA1" s="10"/>
      <c r="OLB1" s="10"/>
      <c r="OLC1" s="10"/>
      <c r="OLD1" s="10"/>
      <c r="OLE1" s="10"/>
      <c r="OLF1" s="10"/>
      <c r="OLG1" s="10"/>
      <c r="OLH1" s="10"/>
      <c r="OLI1" s="10"/>
      <c r="OLJ1" s="10"/>
      <c r="OLK1" s="10"/>
      <c r="OLL1" s="10"/>
      <c r="OLM1" s="10"/>
      <c r="OLN1" s="10"/>
      <c r="OLO1" s="10"/>
      <c r="OLP1" s="10"/>
      <c r="OLQ1" s="10"/>
      <c r="OLR1" s="10"/>
      <c r="OLS1" s="10"/>
      <c r="OLT1" s="10"/>
      <c r="OLU1" s="10"/>
      <c r="OLV1" s="10"/>
      <c r="OLW1" s="10"/>
      <c r="OLX1" s="10"/>
      <c r="OLY1" s="10"/>
      <c r="OLZ1" s="10"/>
      <c r="OMA1" s="10"/>
      <c r="OMB1" s="10"/>
      <c r="OMC1" s="10"/>
      <c r="OMD1" s="10"/>
      <c r="OME1" s="10"/>
      <c r="OMF1" s="10"/>
      <c r="OMG1" s="10"/>
      <c r="OMH1" s="10"/>
      <c r="OMI1" s="10"/>
      <c r="OMJ1" s="10"/>
      <c r="OMK1" s="10"/>
      <c r="OML1" s="10"/>
      <c r="OMM1" s="10"/>
      <c r="OMN1" s="10"/>
      <c r="OMO1" s="10"/>
      <c r="OMP1" s="10"/>
      <c r="OMQ1" s="10"/>
      <c r="OMR1" s="10"/>
      <c r="OMS1" s="10"/>
      <c r="OMT1" s="10"/>
      <c r="OMU1" s="10"/>
      <c r="OMV1" s="10"/>
      <c r="OMW1" s="10"/>
      <c r="OMX1" s="10"/>
      <c r="OMY1" s="10"/>
      <c r="OMZ1" s="10"/>
      <c r="ONA1" s="10"/>
      <c r="ONB1" s="10"/>
      <c r="ONC1" s="10"/>
      <c r="OND1" s="10"/>
      <c r="ONE1" s="10"/>
      <c r="ONF1" s="10"/>
      <c r="ONG1" s="10"/>
      <c r="ONH1" s="10"/>
      <c r="ONI1" s="10"/>
      <c r="ONJ1" s="10"/>
      <c r="ONK1" s="10"/>
      <c r="ONL1" s="10"/>
      <c r="ONM1" s="10"/>
      <c r="ONN1" s="10"/>
      <c r="ONO1" s="10"/>
      <c r="ONP1" s="10"/>
      <c r="ONQ1" s="10"/>
      <c r="ONR1" s="10"/>
      <c r="ONS1" s="10"/>
      <c r="ONT1" s="10"/>
      <c r="ONU1" s="10"/>
      <c r="ONV1" s="10"/>
      <c r="ONW1" s="10"/>
      <c r="ONX1" s="10"/>
      <c r="ONY1" s="10"/>
      <c r="ONZ1" s="10"/>
      <c r="OOA1" s="10"/>
      <c r="OOB1" s="10"/>
      <c r="OOC1" s="10"/>
      <c r="OOD1" s="10"/>
      <c r="OOE1" s="10"/>
      <c r="OOF1" s="10"/>
      <c r="OOG1" s="10"/>
      <c r="OOH1" s="10"/>
      <c r="OOI1" s="10"/>
      <c r="OOJ1" s="10"/>
      <c r="OOK1" s="10"/>
      <c r="OOL1" s="10"/>
      <c r="OOM1" s="10"/>
      <c r="OON1" s="10"/>
      <c r="OOO1" s="10"/>
      <c r="OOP1" s="10"/>
      <c r="OOQ1" s="10"/>
      <c r="OOR1" s="10"/>
      <c r="OOS1" s="10"/>
      <c r="OOT1" s="10"/>
      <c r="OOU1" s="10"/>
      <c r="OOV1" s="10"/>
      <c r="OOW1" s="10"/>
      <c r="OOX1" s="10"/>
      <c r="OOY1" s="10"/>
      <c r="OOZ1" s="10"/>
      <c r="OPA1" s="10"/>
      <c r="OPB1" s="10"/>
      <c r="OPC1" s="10"/>
      <c r="OPD1" s="10"/>
      <c r="OPE1" s="10"/>
      <c r="OPF1" s="10"/>
      <c r="OPG1" s="10"/>
      <c r="OPH1" s="10"/>
      <c r="OPI1" s="10"/>
      <c r="OPJ1" s="10"/>
      <c r="OPK1" s="10"/>
      <c r="OPL1" s="10"/>
      <c r="OPM1" s="10"/>
      <c r="OPN1" s="10"/>
      <c r="OPO1" s="10"/>
      <c r="OPP1" s="10"/>
      <c r="OPQ1" s="10"/>
      <c r="OPR1" s="10"/>
      <c r="OPS1" s="10"/>
      <c r="OPT1" s="10"/>
      <c r="OPU1" s="10"/>
      <c r="OPV1" s="10"/>
      <c r="OPW1" s="10"/>
      <c r="OPX1" s="10"/>
      <c r="OPY1" s="10"/>
      <c r="OPZ1" s="10"/>
      <c r="OQA1" s="10"/>
      <c r="OQB1" s="10"/>
      <c r="OQC1" s="10"/>
      <c r="OQD1" s="10"/>
      <c r="OQE1" s="10"/>
      <c r="OQF1" s="10"/>
      <c r="OQG1" s="10"/>
      <c r="OQH1" s="10"/>
      <c r="OQI1" s="10"/>
      <c r="OQJ1" s="10"/>
      <c r="OQK1" s="10"/>
      <c r="OQL1" s="10"/>
      <c r="OQM1" s="10"/>
      <c r="OQN1" s="10"/>
      <c r="OQO1" s="10"/>
      <c r="OQP1" s="10"/>
      <c r="OQQ1" s="10"/>
      <c r="OQR1" s="10"/>
      <c r="OQS1" s="10"/>
      <c r="OQT1" s="10"/>
      <c r="OQU1" s="10"/>
      <c r="OQV1" s="10"/>
      <c r="OQW1" s="10"/>
      <c r="OQX1" s="10"/>
      <c r="OQY1" s="10"/>
      <c r="OQZ1" s="10"/>
      <c r="ORA1" s="10"/>
      <c r="ORB1" s="10"/>
      <c r="ORC1" s="10"/>
      <c r="ORD1" s="10"/>
      <c r="ORE1" s="10"/>
      <c r="ORF1" s="10"/>
      <c r="ORG1" s="10"/>
      <c r="ORH1" s="10"/>
      <c r="ORI1" s="10"/>
      <c r="ORJ1" s="10"/>
      <c r="ORK1" s="10"/>
      <c r="ORL1" s="10"/>
      <c r="ORM1" s="10"/>
      <c r="ORN1" s="10"/>
      <c r="ORO1" s="10"/>
      <c r="ORP1" s="10"/>
      <c r="ORQ1" s="10"/>
      <c r="ORR1" s="10"/>
      <c r="ORS1" s="10"/>
      <c r="ORT1" s="10"/>
      <c r="ORU1" s="10"/>
      <c r="ORV1" s="10"/>
      <c r="ORW1" s="10"/>
      <c r="ORX1" s="10"/>
      <c r="ORY1" s="10"/>
      <c r="ORZ1" s="10"/>
      <c r="OSA1" s="10"/>
      <c r="OSB1" s="10"/>
      <c r="OSC1" s="10"/>
      <c r="OSD1" s="10"/>
      <c r="OSE1" s="10"/>
      <c r="OSF1" s="10"/>
      <c r="OSG1" s="10"/>
      <c r="OSH1" s="10"/>
      <c r="OSI1" s="10"/>
      <c r="OSJ1" s="10"/>
      <c r="OSK1" s="10"/>
      <c r="OSL1" s="10"/>
      <c r="OSM1" s="10"/>
      <c r="OSN1" s="10"/>
      <c r="OSO1" s="10"/>
      <c r="OSP1" s="10"/>
      <c r="OSQ1" s="10"/>
      <c r="OSR1" s="10"/>
      <c r="OSS1" s="10"/>
      <c r="OST1" s="10"/>
      <c r="OSU1" s="10"/>
      <c r="OSV1" s="10"/>
      <c r="OSW1" s="10"/>
      <c r="OSX1" s="10"/>
      <c r="OSY1" s="10"/>
      <c r="OSZ1" s="10"/>
      <c r="OTA1" s="10"/>
      <c r="OTB1" s="10"/>
      <c r="OTC1" s="10"/>
      <c r="OTD1" s="10"/>
      <c r="OTE1" s="10"/>
      <c r="OTF1" s="10"/>
      <c r="OTG1" s="10"/>
      <c r="OTH1" s="10"/>
      <c r="OTI1" s="10"/>
      <c r="OTJ1" s="10"/>
      <c r="OTK1" s="10"/>
      <c r="OTL1" s="10"/>
      <c r="OTM1" s="10"/>
      <c r="OTN1" s="10"/>
      <c r="OTO1" s="10"/>
      <c r="OTP1" s="10"/>
      <c r="OTQ1" s="10"/>
      <c r="OTR1" s="10"/>
      <c r="OTS1" s="10"/>
      <c r="OTT1" s="10"/>
      <c r="OTU1" s="10"/>
      <c r="OTV1" s="10"/>
      <c r="OTW1" s="10"/>
      <c r="OTX1" s="10"/>
      <c r="OTY1" s="10"/>
      <c r="OTZ1" s="10"/>
      <c r="OUA1" s="10"/>
      <c r="OUB1" s="10"/>
      <c r="OUC1" s="10"/>
      <c r="OUD1" s="10"/>
      <c r="OUE1" s="10"/>
      <c r="OUF1" s="10"/>
      <c r="OUG1" s="10"/>
      <c r="OUH1" s="10"/>
      <c r="OUI1" s="10"/>
      <c r="OUJ1" s="10"/>
      <c r="OUK1" s="10"/>
      <c r="OUL1" s="10"/>
      <c r="OUM1" s="10"/>
      <c r="OUN1" s="10"/>
      <c r="OUO1" s="10"/>
      <c r="OUP1" s="10"/>
      <c r="OUQ1" s="10"/>
      <c r="OUR1" s="10"/>
      <c r="OUS1" s="10"/>
      <c r="OUT1" s="10"/>
      <c r="OUU1" s="10"/>
      <c r="OUV1" s="10"/>
      <c r="OUW1" s="10"/>
      <c r="OUX1" s="10"/>
      <c r="OUY1" s="10"/>
      <c r="OUZ1" s="10"/>
      <c r="OVA1" s="10"/>
      <c r="OVB1" s="10"/>
      <c r="OVC1" s="10"/>
      <c r="OVD1" s="10"/>
      <c r="OVE1" s="10"/>
      <c r="OVF1" s="10"/>
      <c r="OVG1" s="10"/>
      <c r="OVH1" s="10"/>
      <c r="OVI1" s="10"/>
      <c r="OVJ1" s="10"/>
      <c r="OVK1" s="10"/>
      <c r="OVL1" s="10"/>
      <c r="OVM1" s="10"/>
      <c r="OVN1" s="10"/>
      <c r="OVO1" s="10"/>
      <c r="OVP1" s="10"/>
      <c r="OVQ1" s="10"/>
      <c r="OVR1" s="10"/>
      <c r="OVS1" s="10"/>
      <c r="OVT1" s="10"/>
      <c r="OVU1" s="10"/>
      <c r="OVV1" s="10"/>
      <c r="OVW1" s="10"/>
      <c r="OVX1" s="10"/>
      <c r="OVY1" s="10"/>
      <c r="OVZ1" s="10"/>
      <c r="OWA1" s="10"/>
      <c r="OWB1" s="10"/>
      <c r="OWC1" s="10"/>
      <c r="OWD1" s="10"/>
      <c r="OWE1" s="10"/>
      <c r="OWF1" s="10"/>
      <c r="OWG1" s="10"/>
      <c r="OWH1" s="10"/>
      <c r="OWI1" s="10"/>
      <c r="OWJ1" s="10"/>
      <c r="OWK1" s="10"/>
      <c r="OWL1" s="10"/>
      <c r="OWM1" s="10"/>
      <c r="OWN1" s="10"/>
      <c r="OWO1" s="10"/>
      <c r="OWP1" s="10"/>
      <c r="OWQ1" s="10"/>
      <c r="OWR1" s="10"/>
      <c r="OWS1" s="10"/>
      <c r="OWT1" s="10"/>
      <c r="OWU1" s="10"/>
      <c r="OWV1" s="10"/>
      <c r="OWW1" s="10"/>
      <c r="OWX1" s="10"/>
      <c r="OWY1" s="10"/>
      <c r="OWZ1" s="10"/>
      <c r="OXA1" s="10"/>
      <c r="OXB1" s="10"/>
      <c r="OXC1" s="10"/>
      <c r="OXD1" s="10"/>
      <c r="OXE1" s="10"/>
      <c r="OXF1" s="10"/>
      <c r="OXG1" s="10"/>
      <c r="OXH1" s="10"/>
      <c r="OXI1" s="10"/>
      <c r="OXJ1" s="10"/>
      <c r="OXK1" s="10"/>
      <c r="OXL1" s="10"/>
      <c r="OXM1" s="10"/>
      <c r="OXN1" s="10"/>
      <c r="OXO1" s="10"/>
      <c r="OXP1" s="10"/>
      <c r="OXQ1" s="10"/>
      <c r="OXR1" s="10"/>
      <c r="OXS1" s="10"/>
      <c r="OXT1" s="10"/>
      <c r="OXU1" s="10"/>
      <c r="OXV1" s="10"/>
      <c r="OXW1" s="10"/>
      <c r="OXX1" s="10"/>
      <c r="OXY1" s="10"/>
      <c r="OXZ1" s="10"/>
      <c r="OYA1" s="10"/>
      <c r="OYB1" s="10"/>
      <c r="OYC1" s="10"/>
      <c r="OYD1" s="10"/>
      <c r="OYE1" s="10"/>
      <c r="OYF1" s="10"/>
      <c r="OYG1" s="10"/>
      <c r="OYH1" s="10"/>
      <c r="OYI1" s="10"/>
      <c r="OYJ1" s="10"/>
      <c r="OYK1" s="10"/>
      <c r="OYL1" s="10"/>
      <c r="OYM1" s="10"/>
      <c r="OYN1" s="10"/>
      <c r="OYO1" s="10"/>
      <c r="OYP1" s="10"/>
      <c r="OYQ1" s="10"/>
      <c r="OYR1" s="10"/>
      <c r="OYS1" s="10"/>
      <c r="OYT1" s="10"/>
      <c r="OYU1" s="10"/>
      <c r="OYV1" s="10"/>
      <c r="OYW1" s="10"/>
      <c r="OYX1" s="10"/>
      <c r="OYY1" s="10"/>
      <c r="OYZ1" s="10"/>
      <c r="OZA1" s="10"/>
      <c r="OZB1" s="10"/>
      <c r="OZC1" s="10"/>
      <c r="OZD1" s="10"/>
      <c r="OZE1" s="10"/>
      <c r="OZF1" s="10"/>
      <c r="OZG1" s="10"/>
      <c r="OZH1" s="10"/>
      <c r="OZI1" s="10"/>
      <c r="OZJ1" s="10"/>
      <c r="OZK1" s="10"/>
      <c r="OZL1" s="10"/>
      <c r="OZM1" s="10"/>
      <c r="OZN1" s="10"/>
      <c r="OZO1" s="10"/>
      <c r="OZP1" s="10"/>
      <c r="OZQ1" s="10"/>
      <c r="OZR1" s="10"/>
      <c r="OZS1" s="10"/>
      <c r="OZT1" s="10"/>
      <c r="OZU1" s="10"/>
      <c r="OZV1" s="10"/>
      <c r="OZW1" s="10"/>
      <c r="OZX1" s="10"/>
      <c r="OZY1" s="10"/>
      <c r="OZZ1" s="10"/>
      <c r="PAA1" s="10"/>
      <c r="PAB1" s="10"/>
      <c r="PAC1" s="10"/>
      <c r="PAD1" s="10"/>
      <c r="PAE1" s="10"/>
      <c r="PAF1" s="10"/>
      <c r="PAG1" s="10"/>
      <c r="PAH1" s="10"/>
      <c r="PAI1" s="10"/>
      <c r="PAJ1" s="10"/>
      <c r="PAK1" s="10"/>
      <c r="PAL1" s="10"/>
      <c r="PAM1" s="10"/>
      <c r="PAN1" s="10"/>
      <c r="PAO1" s="10"/>
      <c r="PAP1" s="10"/>
      <c r="PAQ1" s="10"/>
      <c r="PAR1" s="10"/>
      <c r="PAS1" s="10"/>
      <c r="PAT1" s="10"/>
      <c r="PAU1" s="10"/>
      <c r="PAV1" s="10"/>
      <c r="PAW1" s="10"/>
      <c r="PAX1" s="10"/>
      <c r="PAY1" s="10"/>
      <c r="PAZ1" s="10"/>
      <c r="PBA1" s="10"/>
      <c r="PBB1" s="10"/>
      <c r="PBC1" s="10"/>
      <c r="PBD1" s="10"/>
      <c r="PBE1" s="10"/>
      <c r="PBF1" s="10"/>
      <c r="PBG1" s="10"/>
      <c r="PBH1" s="10"/>
      <c r="PBI1" s="10"/>
      <c r="PBJ1" s="10"/>
      <c r="PBK1" s="10"/>
      <c r="PBL1" s="10"/>
      <c r="PBM1" s="10"/>
      <c r="PBN1" s="10"/>
      <c r="PBO1" s="10"/>
      <c r="PBP1" s="10"/>
      <c r="PBQ1" s="10"/>
      <c r="PBR1" s="10"/>
      <c r="PBS1" s="10"/>
      <c r="PBT1" s="10"/>
      <c r="PBU1" s="10"/>
      <c r="PBV1" s="10"/>
      <c r="PBW1" s="10"/>
      <c r="PBX1" s="10"/>
      <c r="PBY1" s="10"/>
      <c r="PBZ1" s="10"/>
      <c r="PCA1" s="10"/>
      <c r="PCB1" s="10"/>
      <c r="PCC1" s="10"/>
      <c r="PCD1" s="10"/>
      <c r="PCE1" s="10"/>
      <c r="PCF1" s="10"/>
      <c r="PCG1" s="10"/>
      <c r="PCH1" s="10"/>
      <c r="PCI1" s="10"/>
      <c r="PCJ1" s="10"/>
      <c r="PCK1" s="10"/>
      <c r="PCL1" s="10"/>
      <c r="PCM1" s="10"/>
      <c r="PCN1" s="10"/>
      <c r="PCO1" s="10"/>
      <c r="PCP1" s="10"/>
      <c r="PCQ1" s="10"/>
      <c r="PCR1" s="10"/>
      <c r="PCS1" s="10"/>
      <c r="PCT1" s="10"/>
      <c r="PCU1" s="10"/>
      <c r="PCV1" s="10"/>
      <c r="PCW1" s="10"/>
      <c r="PCX1" s="10"/>
      <c r="PCY1" s="10"/>
      <c r="PCZ1" s="10"/>
      <c r="PDA1" s="10"/>
      <c r="PDB1" s="10"/>
      <c r="PDC1" s="10"/>
      <c r="PDD1" s="10"/>
      <c r="PDE1" s="10"/>
      <c r="PDF1" s="10"/>
      <c r="PDG1" s="10"/>
      <c r="PDH1" s="10"/>
      <c r="PDI1" s="10"/>
      <c r="PDJ1" s="10"/>
      <c r="PDK1" s="10"/>
      <c r="PDL1" s="10"/>
      <c r="PDM1" s="10"/>
      <c r="PDN1" s="10"/>
      <c r="PDO1" s="10"/>
      <c r="PDP1" s="10"/>
      <c r="PDQ1" s="10"/>
      <c r="PDR1" s="10"/>
      <c r="PDS1" s="10"/>
      <c r="PDT1" s="10"/>
      <c r="PDU1" s="10"/>
      <c r="PDV1" s="10"/>
      <c r="PDW1" s="10"/>
      <c r="PDX1" s="10"/>
      <c r="PDY1" s="10"/>
      <c r="PDZ1" s="10"/>
      <c r="PEA1" s="10"/>
      <c r="PEB1" s="10"/>
      <c r="PEC1" s="10"/>
      <c r="PED1" s="10"/>
      <c r="PEE1" s="10"/>
      <c r="PEF1" s="10"/>
      <c r="PEG1" s="10"/>
      <c r="PEH1" s="10"/>
      <c r="PEI1" s="10"/>
      <c r="PEJ1" s="10"/>
      <c r="PEK1" s="10"/>
      <c r="PEL1" s="10"/>
      <c r="PEM1" s="10"/>
      <c r="PEN1" s="10"/>
      <c r="PEO1" s="10"/>
      <c r="PEP1" s="10"/>
      <c r="PEQ1" s="10"/>
      <c r="PER1" s="10"/>
      <c r="PES1" s="10"/>
      <c r="PET1" s="10"/>
      <c r="PEU1" s="10"/>
      <c r="PEV1" s="10"/>
      <c r="PEW1" s="10"/>
      <c r="PEX1" s="10"/>
      <c r="PEY1" s="10"/>
      <c r="PEZ1" s="10"/>
      <c r="PFA1" s="10"/>
      <c r="PFB1" s="10"/>
      <c r="PFC1" s="10"/>
      <c r="PFD1" s="10"/>
      <c r="PFE1" s="10"/>
      <c r="PFF1" s="10"/>
      <c r="PFG1" s="10"/>
      <c r="PFH1" s="10"/>
      <c r="PFI1" s="10"/>
      <c r="PFJ1" s="10"/>
      <c r="PFK1" s="10"/>
      <c r="PFL1" s="10"/>
      <c r="PFM1" s="10"/>
      <c r="PFN1" s="10"/>
      <c r="PFO1" s="10"/>
      <c r="PFP1" s="10"/>
      <c r="PFQ1" s="10"/>
      <c r="PFR1" s="10"/>
      <c r="PFS1" s="10"/>
      <c r="PFT1" s="10"/>
      <c r="PFU1" s="10"/>
      <c r="PFV1" s="10"/>
      <c r="PFW1" s="10"/>
      <c r="PFX1" s="10"/>
      <c r="PFY1" s="10"/>
      <c r="PFZ1" s="10"/>
      <c r="PGA1" s="10"/>
      <c r="PGB1" s="10"/>
      <c r="PGC1" s="10"/>
      <c r="PGD1" s="10"/>
      <c r="PGE1" s="10"/>
      <c r="PGF1" s="10"/>
      <c r="PGG1" s="10"/>
      <c r="PGH1" s="10"/>
      <c r="PGI1" s="10"/>
      <c r="PGJ1" s="10"/>
      <c r="PGK1" s="10"/>
      <c r="PGL1" s="10"/>
      <c r="PGM1" s="10"/>
      <c r="PGN1" s="10"/>
      <c r="PGO1" s="10"/>
      <c r="PGP1" s="10"/>
      <c r="PGQ1" s="10"/>
      <c r="PGR1" s="10"/>
      <c r="PGS1" s="10"/>
      <c r="PGT1" s="10"/>
      <c r="PGU1" s="10"/>
      <c r="PGV1" s="10"/>
      <c r="PGW1" s="10"/>
      <c r="PGX1" s="10"/>
      <c r="PGY1" s="10"/>
      <c r="PGZ1" s="10"/>
      <c r="PHA1" s="10"/>
      <c r="PHB1" s="10"/>
      <c r="PHC1" s="10"/>
      <c r="PHD1" s="10"/>
      <c r="PHE1" s="10"/>
      <c r="PHF1" s="10"/>
      <c r="PHG1" s="10"/>
      <c r="PHH1" s="10"/>
      <c r="PHI1" s="10"/>
      <c r="PHJ1" s="10"/>
      <c r="PHK1" s="10"/>
      <c r="PHL1" s="10"/>
      <c r="PHM1" s="10"/>
      <c r="PHN1" s="10"/>
      <c r="PHO1" s="10"/>
      <c r="PHP1" s="10"/>
      <c r="PHQ1" s="10"/>
      <c r="PHR1" s="10"/>
      <c r="PHS1" s="10"/>
      <c r="PHT1" s="10"/>
      <c r="PHU1" s="10"/>
      <c r="PHV1" s="10"/>
      <c r="PHW1" s="10"/>
      <c r="PHX1" s="10"/>
      <c r="PHY1" s="10"/>
      <c r="PHZ1" s="10"/>
      <c r="PIA1" s="10"/>
      <c r="PIB1" s="10"/>
      <c r="PIC1" s="10"/>
      <c r="PID1" s="10"/>
      <c r="PIE1" s="10"/>
      <c r="PIF1" s="10"/>
      <c r="PIG1" s="10"/>
      <c r="PIH1" s="10"/>
      <c r="PII1" s="10"/>
      <c r="PIJ1" s="10"/>
      <c r="PIK1" s="10"/>
      <c r="PIL1" s="10"/>
      <c r="PIM1" s="10"/>
      <c r="PIN1" s="10"/>
      <c r="PIO1" s="10"/>
      <c r="PIP1" s="10"/>
      <c r="PIQ1" s="10"/>
      <c r="PIR1" s="10"/>
      <c r="PIS1" s="10"/>
      <c r="PIT1" s="10"/>
      <c r="PIU1" s="10"/>
      <c r="PIV1" s="10"/>
      <c r="PIW1" s="10"/>
      <c r="PIX1" s="10"/>
      <c r="PIY1" s="10"/>
      <c r="PIZ1" s="10"/>
      <c r="PJA1" s="10"/>
      <c r="PJB1" s="10"/>
      <c r="PJC1" s="10"/>
      <c r="PJD1" s="10"/>
      <c r="PJE1" s="10"/>
      <c r="PJF1" s="10"/>
      <c r="PJG1" s="10"/>
      <c r="PJH1" s="10"/>
      <c r="PJI1" s="10"/>
      <c r="PJJ1" s="10"/>
      <c r="PJK1" s="10"/>
      <c r="PJL1" s="10"/>
      <c r="PJM1" s="10"/>
      <c r="PJN1" s="10"/>
      <c r="PJO1" s="10"/>
      <c r="PJP1" s="10"/>
      <c r="PJQ1" s="10"/>
      <c r="PJR1" s="10"/>
      <c r="PJS1" s="10"/>
      <c r="PJT1" s="10"/>
      <c r="PJU1" s="10"/>
      <c r="PJV1" s="10"/>
      <c r="PJW1" s="10"/>
      <c r="PJX1" s="10"/>
      <c r="PJY1" s="10"/>
      <c r="PJZ1" s="10"/>
      <c r="PKA1" s="10"/>
      <c r="PKB1" s="10"/>
      <c r="PKC1" s="10"/>
      <c r="PKD1" s="10"/>
      <c r="PKE1" s="10"/>
      <c r="PKF1" s="10"/>
      <c r="PKG1" s="10"/>
      <c r="PKH1" s="10"/>
      <c r="PKI1" s="10"/>
      <c r="PKJ1" s="10"/>
      <c r="PKK1" s="10"/>
      <c r="PKL1" s="10"/>
      <c r="PKM1" s="10"/>
      <c r="PKN1" s="10"/>
      <c r="PKO1" s="10"/>
      <c r="PKP1" s="10"/>
      <c r="PKQ1" s="10"/>
      <c r="PKR1" s="10"/>
      <c r="PKS1" s="10"/>
      <c r="PKT1" s="10"/>
      <c r="PKU1" s="10"/>
      <c r="PKV1" s="10"/>
      <c r="PKW1" s="10"/>
      <c r="PKX1" s="10"/>
      <c r="PKY1" s="10"/>
      <c r="PKZ1" s="10"/>
      <c r="PLA1" s="10"/>
      <c r="PLB1" s="10"/>
      <c r="PLC1" s="10"/>
      <c r="PLD1" s="10"/>
      <c r="PLE1" s="10"/>
      <c r="PLF1" s="10"/>
      <c r="PLG1" s="10"/>
      <c r="PLH1" s="10"/>
      <c r="PLI1" s="10"/>
      <c r="PLJ1" s="10"/>
      <c r="PLK1" s="10"/>
      <c r="PLL1" s="10"/>
      <c r="PLM1" s="10"/>
      <c r="PLN1" s="10"/>
      <c r="PLO1" s="10"/>
      <c r="PLP1" s="10"/>
      <c r="PLQ1" s="10"/>
      <c r="PLR1" s="10"/>
      <c r="PLS1" s="10"/>
      <c r="PLT1" s="10"/>
      <c r="PLU1" s="10"/>
      <c r="PLV1" s="10"/>
      <c r="PLW1" s="10"/>
      <c r="PLX1" s="10"/>
      <c r="PLY1" s="10"/>
      <c r="PLZ1" s="10"/>
      <c r="PMA1" s="10"/>
      <c r="PMB1" s="10"/>
      <c r="PMC1" s="10"/>
      <c r="PMD1" s="10"/>
      <c r="PME1" s="10"/>
      <c r="PMF1" s="10"/>
      <c r="PMG1" s="10"/>
      <c r="PMH1" s="10"/>
      <c r="PMI1" s="10"/>
      <c r="PMJ1" s="10"/>
      <c r="PMK1" s="10"/>
      <c r="PML1" s="10"/>
      <c r="PMM1" s="10"/>
      <c r="PMN1" s="10"/>
      <c r="PMO1" s="10"/>
      <c r="PMP1" s="10"/>
      <c r="PMQ1" s="10"/>
      <c r="PMR1" s="10"/>
      <c r="PMS1" s="10"/>
      <c r="PMT1" s="10"/>
      <c r="PMU1" s="10"/>
      <c r="PMV1" s="10"/>
      <c r="PMW1" s="10"/>
      <c r="PMX1" s="10"/>
      <c r="PMY1" s="10"/>
      <c r="PMZ1" s="10"/>
      <c r="PNA1" s="10"/>
      <c r="PNB1" s="10"/>
      <c r="PNC1" s="10"/>
      <c r="PND1" s="10"/>
      <c r="PNE1" s="10"/>
      <c r="PNF1" s="10"/>
      <c r="PNG1" s="10"/>
      <c r="PNH1" s="10"/>
      <c r="PNI1" s="10"/>
      <c r="PNJ1" s="10"/>
      <c r="PNK1" s="10"/>
      <c r="PNL1" s="10"/>
      <c r="PNM1" s="10"/>
      <c r="PNN1" s="10"/>
      <c r="PNO1" s="10"/>
      <c r="PNP1" s="10"/>
      <c r="PNQ1" s="10"/>
      <c r="PNR1" s="10"/>
      <c r="PNS1" s="10"/>
      <c r="PNT1" s="10"/>
      <c r="PNU1" s="10"/>
      <c r="PNV1" s="10"/>
      <c r="PNW1" s="10"/>
      <c r="PNX1" s="10"/>
      <c r="PNY1" s="10"/>
      <c r="PNZ1" s="10"/>
      <c r="POA1" s="10"/>
      <c r="POB1" s="10"/>
      <c r="POC1" s="10"/>
      <c r="POD1" s="10"/>
      <c r="POE1" s="10"/>
      <c r="POF1" s="10"/>
      <c r="POG1" s="10"/>
      <c r="POH1" s="10"/>
      <c r="POI1" s="10"/>
      <c r="POJ1" s="10"/>
      <c r="POK1" s="10"/>
      <c r="POL1" s="10"/>
      <c r="POM1" s="10"/>
      <c r="PON1" s="10"/>
      <c r="POO1" s="10"/>
      <c r="POP1" s="10"/>
      <c r="POQ1" s="10"/>
      <c r="POR1" s="10"/>
      <c r="POS1" s="10"/>
      <c r="POT1" s="10"/>
      <c r="POU1" s="10"/>
      <c r="POV1" s="10"/>
      <c r="POW1" s="10"/>
      <c r="POX1" s="10"/>
      <c r="POY1" s="10"/>
      <c r="POZ1" s="10"/>
      <c r="PPA1" s="10"/>
      <c r="PPB1" s="10"/>
      <c r="PPC1" s="10"/>
      <c r="PPD1" s="10"/>
      <c r="PPE1" s="10"/>
      <c r="PPF1" s="10"/>
      <c r="PPG1" s="10"/>
      <c r="PPH1" s="10"/>
      <c r="PPI1" s="10"/>
      <c r="PPJ1" s="10"/>
      <c r="PPK1" s="10"/>
      <c r="PPL1" s="10"/>
      <c r="PPM1" s="10"/>
      <c r="PPN1" s="10"/>
      <c r="PPO1" s="10"/>
      <c r="PPP1" s="10"/>
      <c r="PPQ1" s="10"/>
      <c r="PPR1" s="10"/>
      <c r="PPS1" s="10"/>
      <c r="PPT1" s="10"/>
      <c r="PPU1" s="10"/>
      <c r="PPV1" s="10"/>
      <c r="PPW1" s="10"/>
      <c r="PPX1" s="10"/>
      <c r="PPY1" s="10"/>
      <c r="PPZ1" s="10"/>
      <c r="PQA1" s="10"/>
      <c r="PQB1" s="10"/>
      <c r="PQC1" s="10"/>
      <c r="PQD1" s="10"/>
      <c r="PQE1" s="10"/>
      <c r="PQF1" s="10"/>
      <c r="PQG1" s="10"/>
      <c r="PQH1" s="10"/>
      <c r="PQI1" s="10"/>
      <c r="PQJ1" s="10"/>
      <c r="PQK1" s="10"/>
      <c r="PQL1" s="10"/>
      <c r="PQM1" s="10"/>
      <c r="PQN1" s="10"/>
      <c r="PQO1" s="10"/>
      <c r="PQP1" s="10"/>
      <c r="PQQ1" s="10"/>
      <c r="PQR1" s="10"/>
      <c r="PQS1" s="10"/>
      <c r="PQT1" s="10"/>
      <c r="PQU1" s="10"/>
      <c r="PQV1" s="10"/>
      <c r="PQW1" s="10"/>
      <c r="PQX1" s="10"/>
      <c r="PQY1" s="10"/>
      <c r="PQZ1" s="10"/>
      <c r="PRA1" s="10"/>
      <c r="PRB1" s="10"/>
      <c r="PRC1" s="10"/>
      <c r="PRD1" s="10"/>
      <c r="PRE1" s="10"/>
      <c r="PRF1" s="10"/>
      <c r="PRG1" s="10"/>
      <c r="PRH1" s="10"/>
      <c r="PRI1" s="10"/>
      <c r="PRJ1" s="10"/>
      <c r="PRK1" s="10"/>
      <c r="PRL1" s="10"/>
      <c r="PRM1" s="10"/>
      <c r="PRN1" s="10"/>
      <c r="PRO1" s="10"/>
      <c r="PRP1" s="10"/>
      <c r="PRQ1" s="10"/>
      <c r="PRR1" s="10"/>
      <c r="PRS1" s="10"/>
      <c r="PRT1" s="10"/>
      <c r="PRU1" s="10"/>
      <c r="PRV1" s="10"/>
      <c r="PRW1" s="10"/>
      <c r="PRX1" s="10"/>
      <c r="PRY1" s="10"/>
      <c r="PRZ1" s="10"/>
      <c r="PSA1" s="10"/>
      <c r="PSB1" s="10"/>
      <c r="PSC1" s="10"/>
      <c r="PSD1" s="10"/>
      <c r="PSE1" s="10"/>
      <c r="PSF1" s="10"/>
      <c r="PSG1" s="10"/>
      <c r="PSH1" s="10"/>
      <c r="PSI1" s="10"/>
      <c r="PSJ1" s="10"/>
      <c r="PSK1" s="10"/>
      <c r="PSL1" s="10"/>
      <c r="PSM1" s="10"/>
      <c r="PSN1" s="10"/>
      <c r="PSO1" s="10"/>
      <c r="PSP1" s="10"/>
      <c r="PSQ1" s="10"/>
      <c r="PSR1" s="10"/>
      <c r="PSS1" s="10"/>
      <c r="PST1" s="10"/>
      <c r="PSU1" s="10"/>
      <c r="PSV1" s="10"/>
      <c r="PSW1" s="10"/>
      <c r="PSX1" s="10"/>
      <c r="PSY1" s="10"/>
      <c r="PSZ1" s="10"/>
      <c r="PTA1" s="10"/>
      <c r="PTB1" s="10"/>
      <c r="PTC1" s="10"/>
      <c r="PTD1" s="10"/>
      <c r="PTE1" s="10"/>
      <c r="PTF1" s="10"/>
      <c r="PTG1" s="10"/>
      <c r="PTH1" s="10"/>
      <c r="PTI1" s="10"/>
      <c r="PTJ1" s="10"/>
      <c r="PTK1" s="10"/>
      <c r="PTL1" s="10"/>
      <c r="PTM1" s="10"/>
      <c r="PTN1" s="10"/>
      <c r="PTO1" s="10"/>
      <c r="PTP1" s="10"/>
      <c r="PTQ1" s="10"/>
      <c r="PTR1" s="10"/>
      <c r="PTS1" s="10"/>
      <c r="PTT1" s="10"/>
      <c r="PTU1" s="10"/>
      <c r="PTV1" s="10"/>
      <c r="PTW1" s="10"/>
      <c r="PTX1" s="10"/>
      <c r="PTY1" s="10"/>
      <c r="PTZ1" s="10"/>
      <c r="PUA1" s="10"/>
      <c r="PUB1" s="10"/>
      <c r="PUC1" s="10"/>
      <c r="PUD1" s="10"/>
      <c r="PUE1" s="10"/>
      <c r="PUF1" s="10"/>
      <c r="PUG1" s="10"/>
      <c r="PUH1" s="10"/>
      <c r="PUI1" s="10"/>
      <c r="PUJ1" s="10"/>
      <c r="PUK1" s="10"/>
      <c r="PUL1" s="10"/>
      <c r="PUM1" s="10"/>
      <c r="PUN1" s="10"/>
      <c r="PUO1" s="10"/>
      <c r="PUP1" s="10"/>
      <c r="PUQ1" s="10"/>
      <c r="PUR1" s="10"/>
      <c r="PUS1" s="10"/>
      <c r="PUT1" s="10"/>
      <c r="PUU1" s="10"/>
      <c r="PUV1" s="10"/>
      <c r="PUW1" s="10"/>
      <c r="PUX1" s="10"/>
      <c r="PUY1" s="10"/>
      <c r="PUZ1" s="10"/>
      <c r="PVA1" s="10"/>
      <c r="PVB1" s="10"/>
      <c r="PVC1" s="10"/>
      <c r="PVD1" s="10"/>
      <c r="PVE1" s="10"/>
      <c r="PVF1" s="10"/>
      <c r="PVG1" s="10"/>
      <c r="PVH1" s="10"/>
      <c r="PVI1" s="10"/>
      <c r="PVJ1" s="10"/>
      <c r="PVK1" s="10"/>
      <c r="PVL1" s="10"/>
      <c r="PVM1" s="10"/>
      <c r="PVN1" s="10"/>
      <c r="PVO1" s="10"/>
      <c r="PVP1" s="10"/>
      <c r="PVQ1" s="10"/>
      <c r="PVR1" s="10"/>
      <c r="PVS1" s="10"/>
      <c r="PVT1" s="10"/>
      <c r="PVU1" s="10"/>
      <c r="PVV1" s="10"/>
      <c r="PVW1" s="10"/>
      <c r="PVX1" s="10"/>
      <c r="PVY1" s="10"/>
      <c r="PVZ1" s="10"/>
      <c r="PWA1" s="10"/>
      <c r="PWB1" s="10"/>
      <c r="PWC1" s="10"/>
      <c r="PWD1" s="10"/>
      <c r="PWE1" s="10"/>
      <c r="PWF1" s="10"/>
      <c r="PWG1" s="10"/>
      <c r="PWH1" s="10"/>
      <c r="PWI1" s="10"/>
      <c r="PWJ1" s="10"/>
      <c r="PWK1" s="10"/>
      <c r="PWL1" s="10"/>
      <c r="PWM1" s="10"/>
      <c r="PWN1" s="10"/>
      <c r="PWO1" s="10"/>
      <c r="PWP1" s="10"/>
      <c r="PWQ1" s="10"/>
      <c r="PWR1" s="10"/>
      <c r="PWS1" s="10"/>
      <c r="PWT1" s="10"/>
      <c r="PWU1" s="10"/>
      <c r="PWV1" s="10"/>
      <c r="PWW1" s="10"/>
      <c r="PWX1" s="10"/>
      <c r="PWY1" s="10"/>
      <c r="PWZ1" s="10"/>
      <c r="PXA1" s="10"/>
      <c r="PXB1" s="10"/>
      <c r="PXC1" s="10"/>
      <c r="PXD1" s="10"/>
      <c r="PXE1" s="10"/>
      <c r="PXF1" s="10"/>
      <c r="PXG1" s="10"/>
      <c r="PXH1" s="10"/>
      <c r="PXI1" s="10"/>
      <c r="PXJ1" s="10"/>
      <c r="PXK1" s="10"/>
      <c r="PXL1" s="10"/>
      <c r="PXM1" s="10"/>
      <c r="PXN1" s="10"/>
      <c r="PXO1" s="10"/>
      <c r="PXP1" s="10"/>
      <c r="PXQ1" s="10"/>
      <c r="PXR1" s="10"/>
      <c r="PXS1" s="10"/>
      <c r="PXT1" s="10"/>
      <c r="PXU1" s="10"/>
      <c r="PXV1" s="10"/>
      <c r="PXW1" s="10"/>
      <c r="PXX1" s="10"/>
      <c r="PXY1" s="10"/>
      <c r="PXZ1" s="10"/>
      <c r="PYA1" s="10"/>
      <c r="PYB1" s="10"/>
      <c r="PYC1" s="10"/>
      <c r="PYD1" s="10"/>
      <c r="PYE1" s="10"/>
      <c r="PYF1" s="10"/>
      <c r="PYG1" s="10"/>
      <c r="PYH1" s="10"/>
      <c r="PYI1" s="10"/>
      <c r="PYJ1" s="10"/>
      <c r="PYK1" s="10"/>
      <c r="PYL1" s="10"/>
      <c r="PYM1" s="10"/>
      <c r="PYN1" s="10"/>
      <c r="PYO1" s="10"/>
      <c r="PYP1" s="10"/>
      <c r="PYQ1" s="10"/>
      <c r="PYR1" s="10"/>
      <c r="PYS1" s="10"/>
      <c r="PYT1" s="10"/>
      <c r="PYU1" s="10"/>
      <c r="PYV1" s="10"/>
      <c r="PYW1" s="10"/>
      <c r="PYX1" s="10"/>
      <c r="PYY1" s="10"/>
      <c r="PYZ1" s="10"/>
      <c r="PZA1" s="10"/>
      <c r="PZB1" s="10"/>
      <c r="PZC1" s="10"/>
      <c r="PZD1" s="10"/>
      <c r="PZE1" s="10"/>
      <c r="PZF1" s="10"/>
      <c r="PZG1" s="10"/>
      <c r="PZH1" s="10"/>
      <c r="PZI1" s="10"/>
      <c r="PZJ1" s="10"/>
      <c r="PZK1" s="10"/>
      <c r="PZL1" s="10"/>
      <c r="PZM1" s="10"/>
      <c r="PZN1" s="10"/>
      <c r="PZO1" s="10"/>
      <c r="PZP1" s="10"/>
      <c r="PZQ1" s="10"/>
      <c r="PZR1" s="10"/>
      <c r="PZS1" s="10"/>
      <c r="PZT1" s="10"/>
      <c r="PZU1" s="10"/>
      <c r="PZV1" s="10"/>
      <c r="PZW1" s="10"/>
      <c r="PZX1" s="10"/>
      <c r="PZY1" s="10"/>
      <c r="PZZ1" s="10"/>
      <c r="QAA1" s="10"/>
      <c r="QAB1" s="10"/>
      <c r="QAC1" s="10"/>
      <c r="QAD1" s="10"/>
      <c r="QAE1" s="10"/>
      <c r="QAF1" s="10"/>
      <c r="QAG1" s="10"/>
      <c r="QAH1" s="10"/>
      <c r="QAI1" s="10"/>
      <c r="QAJ1" s="10"/>
      <c r="QAK1" s="10"/>
      <c r="QAL1" s="10"/>
      <c r="QAM1" s="10"/>
      <c r="QAN1" s="10"/>
      <c r="QAO1" s="10"/>
      <c r="QAP1" s="10"/>
      <c r="QAQ1" s="10"/>
      <c r="QAR1" s="10"/>
      <c r="QAS1" s="10"/>
      <c r="QAT1" s="10"/>
      <c r="QAU1" s="10"/>
      <c r="QAV1" s="10"/>
      <c r="QAW1" s="10"/>
      <c r="QAX1" s="10"/>
      <c r="QAY1" s="10"/>
      <c r="QAZ1" s="10"/>
      <c r="QBA1" s="10"/>
      <c r="QBB1" s="10"/>
      <c r="QBC1" s="10"/>
      <c r="QBD1" s="10"/>
      <c r="QBE1" s="10"/>
      <c r="QBF1" s="10"/>
      <c r="QBG1" s="10"/>
      <c r="QBH1" s="10"/>
      <c r="QBI1" s="10"/>
      <c r="QBJ1" s="10"/>
      <c r="QBK1" s="10"/>
      <c r="QBL1" s="10"/>
      <c r="QBM1" s="10"/>
      <c r="QBN1" s="10"/>
      <c r="QBO1" s="10"/>
      <c r="QBP1" s="10"/>
      <c r="QBQ1" s="10"/>
      <c r="QBR1" s="10"/>
      <c r="QBS1" s="10"/>
      <c r="QBT1" s="10"/>
      <c r="QBU1" s="10"/>
      <c r="QBV1" s="10"/>
      <c r="QBW1" s="10"/>
      <c r="QBX1" s="10"/>
      <c r="QBY1" s="10"/>
      <c r="QBZ1" s="10"/>
      <c r="QCA1" s="10"/>
      <c r="QCB1" s="10"/>
      <c r="QCC1" s="10"/>
      <c r="QCD1" s="10"/>
      <c r="QCE1" s="10"/>
      <c r="QCF1" s="10"/>
      <c r="QCG1" s="10"/>
      <c r="QCH1" s="10"/>
      <c r="QCI1" s="10"/>
      <c r="QCJ1" s="10"/>
      <c r="QCK1" s="10"/>
      <c r="QCL1" s="10"/>
      <c r="QCM1" s="10"/>
      <c r="QCN1" s="10"/>
      <c r="QCO1" s="10"/>
      <c r="QCP1" s="10"/>
      <c r="QCQ1" s="10"/>
      <c r="QCR1" s="10"/>
      <c r="QCS1" s="10"/>
      <c r="QCT1" s="10"/>
      <c r="QCU1" s="10"/>
      <c r="QCV1" s="10"/>
      <c r="QCW1" s="10"/>
      <c r="QCX1" s="10"/>
      <c r="QCY1" s="10"/>
      <c r="QCZ1" s="10"/>
      <c r="QDA1" s="10"/>
      <c r="QDB1" s="10"/>
      <c r="QDC1" s="10"/>
      <c r="QDD1" s="10"/>
      <c r="QDE1" s="10"/>
      <c r="QDF1" s="10"/>
      <c r="QDG1" s="10"/>
      <c r="QDH1" s="10"/>
      <c r="QDI1" s="10"/>
      <c r="QDJ1" s="10"/>
      <c r="QDK1" s="10"/>
      <c r="QDL1" s="10"/>
      <c r="QDM1" s="10"/>
      <c r="QDN1" s="10"/>
      <c r="QDO1" s="10"/>
      <c r="QDP1" s="10"/>
      <c r="QDQ1" s="10"/>
      <c r="QDR1" s="10"/>
      <c r="QDS1" s="10"/>
      <c r="QDT1" s="10"/>
      <c r="QDU1" s="10"/>
      <c r="QDV1" s="10"/>
      <c r="QDW1" s="10"/>
      <c r="QDX1" s="10"/>
      <c r="QDY1" s="10"/>
      <c r="QDZ1" s="10"/>
      <c r="QEA1" s="10"/>
      <c r="QEB1" s="10"/>
      <c r="QEC1" s="10"/>
      <c r="QED1" s="10"/>
      <c r="QEE1" s="10"/>
      <c r="QEF1" s="10"/>
      <c r="QEG1" s="10"/>
      <c r="QEH1" s="10"/>
      <c r="QEI1" s="10"/>
      <c r="QEJ1" s="10"/>
      <c r="QEK1" s="10"/>
      <c r="QEL1" s="10"/>
      <c r="QEM1" s="10"/>
      <c r="QEN1" s="10"/>
      <c r="QEO1" s="10"/>
      <c r="QEP1" s="10"/>
      <c r="QEQ1" s="10"/>
      <c r="QER1" s="10"/>
      <c r="QES1" s="10"/>
      <c r="QET1" s="10"/>
      <c r="QEU1" s="10"/>
      <c r="QEV1" s="10"/>
      <c r="QEW1" s="10"/>
      <c r="QEX1" s="10"/>
      <c r="QEY1" s="10"/>
      <c r="QEZ1" s="10"/>
      <c r="QFA1" s="10"/>
      <c r="QFB1" s="10"/>
      <c r="QFC1" s="10"/>
      <c r="QFD1" s="10"/>
      <c r="QFE1" s="10"/>
      <c r="QFF1" s="10"/>
      <c r="QFG1" s="10"/>
      <c r="QFH1" s="10"/>
      <c r="QFI1" s="10"/>
      <c r="QFJ1" s="10"/>
      <c r="QFK1" s="10"/>
      <c r="QFL1" s="10"/>
      <c r="QFM1" s="10"/>
      <c r="QFN1" s="10"/>
      <c r="QFO1" s="10"/>
      <c r="QFP1" s="10"/>
      <c r="QFQ1" s="10"/>
      <c r="QFR1" s="10"/>
      <c r="QFS1" s="10"/>
      <c r="QFT1" s="10"/>
      <c r="QFU1" s="10"/>
      <c r="QFV1" s="10"/>
      <c r="QFW1" s="10"/>
      <c r="QFX1" s="10"/>
      <c r="QFY1" s="10"/>
      <c r="QFZ1" s="10"/>
      <c r="QGA1" s="10"/>
      <c r="QGB1" s="10"/>
      <c r="QGC1" s="10"/>
      <c r="QGD1" s="10"/>
      <c r="QGE1" s="10"/>
      <c r="QGF1" s="10"/>
      <c r="QGG1" s="10"/>
      <c r="QGH1" s="10"/>
      <c r="QGI1" s="10"/>
      <c r="QGJ1" s="10"/>
      <c r="QGK1" s="10"/>
      <c r="QGL1" s="10"/>
      <c r="QGM1" s="10"/>
      <c r="QGN1" s="10"/>
      <c r="QGO1" s="10"/>
      <c r="QGP1" s="10"/>
      <c r="QGQ1" s="10"/>
      <c r="QGR1" s="10"/>
      <c r="QGS1" s="10"/>
      <c r="QGT1" s="10"/>
      <c r="QGU1" s="10"/>
      <c r="QGV1" s="10"/>
      <c r="QGW1" s="10"/>
      <c r="QGX1" s="10"/>
      <c r="QGY1" s="10"/>
      <c r="QGZ1" s="10"/>
      <c r="QHA1" s="10"/>
      <c r="QHB1" s="10"/>
      <c r="QHC1" s="10"/>
      <c r="QHD1" s="10"/>
      <c r="QHE1" s="10"/>
      <c r="QHF1" s="10"/>
      <c r="QHG1" s="10"/>
      <c r="QHH1" s="10"/>
      <c r="QHI1" s="10"/>
      <c r="QHJ1" s="10"/>
      <c r="QHK1" s="10"/>
      <c r="QHL1" s="10"/>
      <c r="QHM1" s="10"/>
      <c r="QHN1" s="10"/>
      <c r="QHO1" s="10"/>
      <c r="QHP1" s="10"/>
      <c r="QHQ1" s="10"/>
      <c r="QHR1" s="10"/>
      <c r="QHS1" s="10"/>
      <c r="QHT1" s="10"/>
      <c r="QHU1" s="10"/>
      <c r="QHV1" s="10"/>
      <c r="QHW1" s="10"/>
      <c r="QHX1" s="10"/>
      <c r="QHY1" s="10"/>
      <c r="QHZ1" s="10"/>
      <c r="QIA1" s="10"/>
      <c r="QIB1" s="10"/>
      <c r="QIC1" s="10"/>
      <c r="QID1" s="10"/>
      <c r="QIE1" s="10"/>
      <c r="QIF1" s="10"/>
      <c r="QIG1" s="10"/>
      <c r="QIH1" s="10"/>
      <c r="QII1" s="10"/>
      <c r="QIJ1" s="10"/>
      <c r="QIK1" s="10"/>
      <c r="QIL1" s="10"/>
      <c r="QIM1" s="10"/>
      <c r="QIN1" s="10"/>
      <c r="QIO1" s="10"/>
      <c r="QIP1" s="10"/>
      <c r="QIQ1" s="10"/>
      <c r="QIR1" s="10"/>
      <c r="QIS1" s="10"/>
      <c r="QIT1" s="10"/>
      <c r="QIU1" s="10"/>
      <c r="QIV1" s="10"/>
      <c r="QIW1" s="10"/>
      <c r="QIX1" s="10"/>
      <c r="QIY1" s="10"/>
      <c r="QIZ1" s="10"/>
      <c r="QJA1" s="10"/>
      <c r="QJB1" s="10"/>
      <c r="QJC1" s="10"/>
      <c r="QJD1" s="10"/>
      <c r="QJE1" s="10"/>
      <c r="QJF1" s="10"/>
      <c r="QJG1" s="10"/>
      <c r="QJH1" s="10"/>
      <c r="QJI1" s="10"/>
      <c r="QJJ1" s="10"/>
      <c r="QJK1" s="10"/>
      <c r="QJL1" s="10"/>
      <c r="QJM1" s="10"/>
      <c r="QJN1" s="10"/>
      <c r="QJO1" s="10"/>
      <c r="QJP1" s="10"/>
      <c r="QJQ1" s="10"/>
      <c r="QJR1" s="10"/>
      <c r="QJS1" s="10"/>
      <c r="QJT1" s="10"/>
      <c r="QJU1" s="10"/>
      <c r="QJV1" s="10"/>
      <c r="QJW1" s="10"/>
      <c r="QJX1" s="10"/>
      <c r="QJY1" s="10"/>
      <c r="QJZ1" s="10"/>
      <c r="QKA1" s="10"/>
      <c r="QKB1" s="10"/>
      <c r="QKC1" s="10"/>
      <c r="QKD1" s="10"/>
      <c r="QKE1" s="10"/>
      <c r="QKF1" s="10"/>
      <c r="QKG1" s="10"/>
      <c r="QKH1" s="10"/>
      <c r="QKI1" s="10"/>
      <c r="QKJ1" s="10"/>
      <c r="QKK1" s="10"/>
      <c r="QKL1" s="10"/>
      <c r="QKM1" s="10"/>
      <c r="QKN1" s="10"/>
      <c r="QKO1" s="10"/>
      <c r="QKP1" s="10"/>
      <c r="QKQ1" s="10"/>
      <c r="QKR1" s="10"/>
      <c r="QKS1" s="10"/>
      <c r="QKT1" s="10"/>
      <c r="QKU1" s="10"/>
      <c r="QKV1" s="10"/>
      <c r="QKW1" s="10"/>
      <c r="QKX1" s="10"/>
      <c r="QKY1" s="10"/>
      <c r="QKZ1" s="10"/>
      <c r="QLA1" s="10"/>
      <c r="QLB1" s="10"/>
      <c r="QLC1" s="10"/>
      <c r="QLD1" s="10"/>
      <c r="QLE1" s="10"/>
      <c r="QLF1" s="10"/>
      <c r="QLG1" s="10"/>
      <c r="QLH1" s="10"/>
      <c r="QLI1" s="10"/>
      <c r="QLJ1" s="10"/>
      <c r="QLK1" s="10"/>
      <c r="QLL1" s="10"/>
      <c r="QLM1" s="10"/>
      <c r="QLN1" s="10"/>
      <c r="QLO1" s="10"/>
      <c r="QLP1" s="10"/>
      <c r="QLQ1" s="10"/>
      <c r="QLR1" s="10"/>
      <c r="QLS1" s="10"/>
      <c r="QLT1" s="10"/>
      <c r="QLU1" s="10"/>
      <c r="QLV1" s="10"/>
      <c r="QLW1" s="10"/>
      <c r="QLX1" s="10"/>
      <c r="QLY1" s="10"/>
      <c r="QLZ1" s="10"/>
      <c r="QMA1" s="10"/>
      <c r="QMB1" s="10"/>
      <c r="QMC1" s="10"/>
      <c r="QMD1" s="10"/>
      <c r="QME1" s="10"/>
      <c r="QMF1" s="10"/>
      <c r="QMG1" s="10"/>
      <c r="QMH1" s="10"/>
      <c r="QMI1" s="10"/>
      <c r="QMJ1" s="10"/>
      <c r="QMK1" s="10"/>
      <c r="QML1" s="10"/>
      <c r="QMM1" s="10"/>
      <c r="QMN1" s="10"/>
      <c r="QMO1" s="10"/>
      <c r="QMP1" s="10"/>
      <c r="QMQ1" s="10"/>
      <c r="QMR1" s="10"/>
      <c r="QMS1" s="10"/>
      <c r="QMT1" s="10"/>
      <c r="QMU1" s="10"/>
      <c r="QMV1" s="10"/>
      <c r="QMW1" s="10"/>
      <c r="QMX1" s="10"/>
      <c r="QMY1" s="10"/>
      <c r="QMZ1" s="10"/>
      <c r="QNA1" s="10"/>
      <c r="QNB1" s="10"/>
      <c r="QNC1" s="10"/>
      <c r="QND1" s="10"/>
      <c r="QNE1" s="10"/>
      <c r="QNF1" s="10"/>
      <c r="QNG1" s="10"/>
      <c r="QNH1" s="10"/>
      <c r="QNI1" s="10"/>
      <c r="QNJ1" s="10"/>
      <c r="QNK1" s="10"/>
      <c r="QNL1" s="10"/>
      <c r="QNM1" s="10"/>
      <c r="QNN1" s="10"/>
      <c r="QNO1" s="10"/>
      <c r="QNP1" s="10"/>
      <c r="QNQ1" s="10"/>
      <c r="QNR1" s="10"/>
      <c r="QNS1" s="10"/>
      <c r="QNT1" s="10"/>
      <c r="QNU1" s="10"/>
      <c r="QNV1" s="10"/>
      <c r="QNW1" s="10"/>
      <c r="QNX1" s="10"/>
      <c r="QNY1" s="10"/>
      <c r="QNZ1" s="10"/>
      <c r="QOA1" s="10"/>
      <c r="QOB1" s="10"/>
      <c r="QOC1" s="10"/>
      <c r="QOD1" s="10"/>
      <c r="QOE1" s="10"/>
      <c r="QOF1" s="10"/>
      <c r="QOG1" s="10"/>
      <c r="QOH1" s="10"/>
      <c r="QOI1" s="10"/>
      <c r="QOJ1" s="10"/>
      <c r="QOK1" s="10"/>
      <c r="QOL1" s="10"/>
      <c r="QOM1" s="10"/>
      <c r="QON1" s="10"/>
      <c r="QOO1" s="10"/>
      <c r="QOP1" s="10"/>
      <c r="QOQ1" s="10"/>
      <c r="QOR1" s="10"/>
      <c r="QOS1" s="10"/>
      <c r="QOT1" s="10"/>
      <c r="QOU1" s="10"/>
      <c r="QOV1" s="10"/>
      <c r="QOW1" s="10"/>
      <c r="QOX1" s="10"/>
      <c r="QOY1" s="10"/>
      <c r="QOZ1" s="10"/>
      <c r="QPA1" s="10"/>
      <c r="QPB1" s="10"/>
      <c r="QPC1" s="10"/>
      <c r="QPD1" s="10"/>
      <c r="QPE1" s="10"/>
      <c r="QPF1" s="10"/>
      <c r="QPG1" s="10"/>
      <c r="QPH1" s="10"/>
      <c r="QPI1" s="10"/>
      <c r="QPJ1" s="10"/>
      <c r="QPK1" s="10"/>
      <c r="QPL1" s="10"/>
      <c r="QPM1" s="10"/>
      <c r="QPN1" s="10"/>
      <c r="QPO1" s="10"/>
      <c r="QPP1" s="10"/>
      <c r="QPQ1" s="10"/>
      <c r="QPR1" s="10"/>
      <c r="QPS1" s="10"/>
      <c r="QPT1" s="10"/>
      <c r="QPU1" s="10"/>
      <c r="QPV1" s="10"/>
      <c r="QPW1" s="10"/>
      <c r="QPX1" s="10"/>
      <c r="QPY1" s="10"/>
      <c r="QPZ1" s="10"/>
      <c r="QQA1" s="10"/>
      <c r="QQB1" s="10"/>
      <c r="QQC1" s="10"/>
      <c r="QQD1" s="10"/>
      <c r="QQE1" s="10"/>
      <c r="QQF1" s="10"/>
      <c r="QQG1" s="10"/>
      <c r="QQH1" s="10"/>
      <c r="QQI1" s="10"/>
      <c r="QQJ1" s="10"/>
      <c r="QQK1" s="10"/>
      <c r="QQL1" s="10"/>
      <c r="QQM1" s="10"/>
      <c r="QQN1" s="10"/>
      <c r="QQO1" s="10"/>
      <c r="QQP1" s="10"/>
      <c r="QQQ1" s="10"/>
      <c r="QQR1" s="10"/>
      <c r="QQS1" s="10"/>
      <c r="QQT1" s="10"/>
      <c r="QQU1" s="10"/>
      <c r="QQV1" s="10"/>
      <c r="QQW1" s="10"/>
      <c r="QQX1" s="10"/>
      <c r="QQY1" s="10"/>
      <c r="QQZ1" s="10"/>
      <c r="QRA1" s="10"/>
      <c r="QRB1" s="10"/>
      <c r="QRC1" s="10"/>
      <c r="QRD1" s="10"/>
      <c r="QRE1" s="10"/>
      <c r="QRF1" s="10"/>
      <c r="QRG1" s="10"/>
      <c r="QRH1" s="10"/>
      <c r="QRI1" s="10"/>
      <c r="QRJ1" s="10"/>
      <c r="QRK1" s="10"/>
      <c r="QRL1" s="10"/>
      <c r="QRM1" s="10"/>
      <c r="QRN1" s="10"/>
      <c r="QRO1" s="10"/>
      <c r="QRP1" s="10"/>
      <c r="QRQ1" s="10"/>
      <c r="QRR1" s="10"/>
      <c r="QRS1" s="10"/>
      <c r="QRT1" s="10"/>
      <c r="QRU1" s="10"/>
      <c r="QRV1" s="10"/>
      <c r="QRW1" s="10"/>
      <c r="QRX1" s="10"/>
      <c r="QRY1" s="10"/>
      <c r="QRZ1" s="10"/>
      <c r="QSA1" s="10"/>
      <c r="QSB1" s="10"/>
      <c r="QSC1" s="10"/>
      <c r="QSD1" s="10"/>
      <c r="QSE1" s="10"/>
      <c r="QSF1" s="10"/>
      <c r="QSG1" s="10"/>
      <c r="QSH1" s="10"/>
      <c r="QSI1" s="10"/>
      <c r="QSJ1" s="10"/>
      <c r="QSK1" s="10"/>
      <c r="QSL1" s="10"/>
      <c r="QSM1" s="10"/>
      <c r="QSN1" s="10"/>
      <c r="QSO1" s="10"/>
      <c r="QSP1" s="10"/>
      <c r="QSQ1" s="10"/>
      <c r="QSR1" s="10"/>
      <c r="QSS1" s="10"/>
      <c r="QST1" s="10"/>
      <c r="QSU1" s="10"/>
      <c r="QSV1" s="10"/>
      <c r="QSW1" s="10"/>
      <c r="QSX1" s="10"/>
      <c r="QSY1" s="10"/>
      <c r="QSZ1" s="10"/>
      <c r="QTA1" s="10"/>
      <c r="QTB1" s="10"/>
      <c r="QTC1" s="10"/>
      <c r="QTD1" s="10"/>
      <c r="QTE1" s="10"/>
      <c r="QTF1" s="10"/>
      <c r="QTG1" s="10"/>
      <c r="QTH1" s="10"/>
      <c r="QTI1" s="10"/>
      <c r="QTJ1" s="10"/>
      <c r="QTK1" s="10"/>
      <c r="QTL1" s="10"/>
      <c r="QTM1" s="10"/>
      <c r="QTN1" s="10"/>
      <c r="QTO1" s="10"/>
      <c r="QTP1" s="10"/>
      <c r="QTQ1" s="10"/>
      <c r="QTR1" s="10"/>
      <c r="QTS1" s="10"/>
      <c r="QTT1" s="10"/>
      <c r="QTU1" s="10"/>
      <c r="QTV1" s="10"/>
      <c r="QTW1" s="10"/>
      <c r="QTX1" s="10"/>
      <c r="QTY1" s="10"/>
      <c r="QTZ1" s="10"/>
      <c r="QUA1" s="10"/>
      <c r="QUB1" s="10"/>
      <c r="QUC1" s="10"/>
      <c r="QUD1" s="10"/>
      <c r="QUE1" s="10"/>
      <c r="QUF1" s="10"/>
      <c r="QUG1" s="10"/>
      <c r="QUH1" s="10"/>
      <c r="QUI1" s="10"/>
      <c r="QUJ1" s="10"/>
      <c r="QUK1" s="10"/>
      <c r="QUL1" s="10"/>
      <c r="QUM1" s="10"/>
      <c r="QUN1" s="10"/>
      <c r="QUO1" s="10"/>
      <c r="QUP1" s="10"/>
      <c r="QUQ1" s="10"/>
      <c r="QUR1" s="10"/>
      <c r="QUS1" s="10"/>
      <c r="QUT1" s="10"/>
      <c r="QUU1" s="10"/>
      <c r="QUV1" s="10"/>
      <c r="QUW1" s="10"/>
      <c r="QUX1" s="10"/>
      <c r="QUY1" s="10"/>
      <c r="QUZ1" s="10"/>
      <c r="QVA1" s="10"/>
      <c r="QVB1" s="10"/>
      <c r="QVC1" s="10"/>
      <c r="QVD1" s="10"/>
      <c r="QVE1" s="10"/>
      <c r="QVF1" s="10"/>
      <c r="QVG1" s="10"/>
      <c r="QVH1" s="10"/>
      <c r="QVI1" s="10"/>
      <c r="QVJ1" s="10"/>
      <c r="QVK1" s="10"/>
      <c r="QVL1" s="10"/>
      <c r="QVM1" s="10"/>
      <c r="QVN1" s="10"/>
      <c r="QVO1" s="10"/>
      <c r="QVP1" s="10"/>
      <c r="QVQ1" s="10"/>
      <c r="QVR1" s="10"/>
      <c r="QVS1" s="10"/>
      <c r="QVT1" s="10"/>
      <c r="QVU1" s="10"/>
      <c r="QVV1" s="10"/>
      <c r="QVW1" s="10"/>
      <c r="QVX1" s="10"/>
      <c r="QVY1" s="10"/>
      <c r="QVZ1" s="10"/>
      <c r="QWA1" s="10"/>
      <c r="QWB1" s="10"/>
      <c r="QWC1" s="10"/>
      <c r="QWD1" s="10"/>
      <c r="QWE1" s="10"/>
      <c r="QWF1" s="10"/>
      <c r="QWG1" s="10"/>
      <c r="QWH1" s="10"/>
      <c r="QWI1" s="10"/>
      <c r="QWJ1" s="10"/>
      <c r="QWK1" s="10"/>
      <c r="QWL1" s="10"/>
      <c r="QWM1" s="10"/>
      <c r="QWN1" s="10"/>
      <c r="QWO1" s="10"/>
      <c r="QWP1" s="10"/>
      <c r="QWQ1" s="10"/>
      <c r="QWR1" s="10"/>
      <c r="QWS1" s="10"/>
      <c r="QWT1" s="10"/>
      <c r="QWU1" s="10"/>
      <c r="QWV1" s="10"/>
      <c r="QWW1" s="10"/>
      <c r="QWX1" s="10"/>
      <c r="QWY1" s="10"/>
      <c r="QWZ1" s="10"/>
      <c r="QXA1" s="10"/>
      <c r="QXB1" s="10"/>
      <c r="QXC1" s="10"/>
      <c r="QXD1" s="10"/>
      <c r="QXE1" s="10"/>
      <c r="QXF1" s="10"/>
      <c r="QXG1" s="10"/>
      <c r="QXH1" s="10"/>
      <c r="QXI1" s="10"/>
      <c r="QXJ1" s="10"/>
      <c r="QXK1" s="10"/>
      <c r="QXL1" s="10"/>
      <c r="QXM1" s="10"/>
      <c r="QXN1" s="10"/>
      <c r="QXO1" s="10"/>
      <c r="QXP1" s="10"/>
      <c r="QXQ1" s="10"/>
      <c r="QXR1" s="10"/>
      <c r="QXS1" s="10"/>
      <c r="QXT1" s="10"/>
      <c r="QXU1" s="10"/>
      <c r="QXV1" s="10"/>
      <c r="QXW1" s="10"/>
      <c r="QXX1" s="10"/>
      <c r="QXY1" s="10"/>
      <c r="QXZ1" s="10"/>
      <c r="QYA1" s="10"/>
      <c r="QYB1" s="10"/>
      <c r="QYC1" s="10"/>
      <c r="QYD1" s="10"/>
      <c r="QYE1" s="10"/>
      <c r="QYF1" s="10"/>
      <c r="QYG1" s="10"/>
      <c r="QYH1" s="10"/>
      <c r="QYI1" s="10"/>
      <c r="QYJ1" s="10"/>
      <c r="QYK1" s="10"/>
      <c r="QYL1" s="10"/>
      <c r="QYM1" s="10"/>
      <c r="QYN1" s="10"/>
      <c r="QYO1" s="10"/>
      <c r="QYP1" s="10"/>
      <c r="QYQ1" s="10"/>
      <c r="QYR1" s="10"/>
      <c r="QYS1" s="10"/>
      <c r="QYT1" s="10"/>
      <c r="QYU1" s="10"/>
      <c r="QYV1" s="10"/>
      <c r="QYW1" s="10"/>
      <c r="QYX1" s="10"/>
      <c r="QYY1" s="10"/>
      <c r="QYZ1" s="10"/>
      <c r="QZA1" s="10"/>
      <c r="QZB1" s="10"/>
      <c r="QZC1" s="10"/>
      <c r="QZD1" s="10"/>
      <c r="QZE1" s="10"/>
      <c r="QZF1" s="10"/>
      <c r="QZG1" s="10"/>
      <c r="QZH1" s="10"/>
      <c r="QZI1" s="10"/>
      <c r="QZJ1" s="10"/>
      <c r="QZK1" s="10"/>
      <c r="QZL1" s="10"/>
      <c r="QZM1" s="10"/>
      <c r="QZN1" s="10"/>
      <c r="QZO1" s="10"/>
      <c r="QZP1" s="10"/>
      <c r="QZQ1" s="10"/>
      <c r="QZR1" s="10"/>
      <c r="QZS1" s="10"/>
      <c r="QZT1" s="10"/>
      <c r="QZU1" s="10"/>
      <c r="QZV1" s="10"/>
      <c r="QZW1" s="10"/>
      <c r="QZX1" s="10"/>
      <c r="QZY1" s="10"/>
      <c r="QZZ1" s="10"/>
      <c r="RAA1" s="10"/>
      <c r="RAB1" s="10"/>
      <c r="RAC1" s="10"/>
      <c r="RAD1" s="10"/>
      <c r="RAE1" s="10"/>
      <c r="RAF1" s="10"/>
      <c r="RAG1" s="10"/>
      <c r="RAH1" s="10"/>
      <c r="RAI1" s="10"/>
      <c r="RAJ1" s="10"/>
      <c r="RAK1" s="10"/>
      <c r="RAL1" s="10"/>
      <c r="RAM1" s="10"/>
      <c r="RAN1" s="10"/>
      <c r="RAO1" s="10"/>
      <c r="RAP1" s="10"/>
      <c r="RAQ1" s="10"/>
      <c r="RAR1" s="10"/>
      <c r="RAS1" s="10"/>
      <c r="RAT1" s="10"/>
      <c r="RAU1" s="10"/>
      <c r="RAV1" s="10"/>
      <c r="RAW1" s="10"/>
      <c r="RAX1" s="10"/>
      <c r="RAY1" s="10"/>
      <c r="RAZ1" s="10"/>
      <c r="RBA1" s="10"/>
      <c r="RBB1" s="10"/>
      <c r="RBC1" s="10"/>
      <c r="RBD1" s="10"/>
      <c r="RBE1" s="10"/>
      <c r="RBF1" s="10"/>
      <c r="RBG1" s="10"/>
      <c r="RBH1" s="10"/>
      <c r="RBI1" s="10"/>
      <c r="RBJ1" s="10"/>
      <c r="RBK1" s="10"/>
      <c r="RBL1" s="10"/>
      <c r="RBM1" s="10"/>
      <c r="RBN1" s="10"/>
      <c r="RBO1" s="10"/>
      <c r="RBP1" s="10"/>
      <c r="RBQ1" s="10"/>
      <c r="RBR1" s="10"/>
      <c r="RBS1" s="10"/>
      <c r="RBT1" s="10"/>
      <c r="RBU1" s="10"/>
      <c r="RBV1" s="10"/>
      <c r="RBW1" s="10"/>
      <c r="RBX1" s="10"/>
      <c r="RBY1" s="10"/>
      <c r="RBZ1" s="10"/>
      <c r="RCA1" s="10"/>
      <c r="RCB1" s="10"/>
      <c r="RCC1" s="10"/>
      <c r="RCD1" s="10"/>
      <c r="RCE1" s="10"/>
      <c r="RCF1" s="10"/>
      <c r="RCG1" s="10"/>
      <c r="RCH1" s="10"/>
      <c r="RCI1" s="10"/>
      <c r="RCJ1" s="10"/>
      <c r="RCK1" s="10"/>
      <c r="RCL1" s="10"/>
      <c r="RCM1" s="10"/>
      <c r="RCN1" s="10"/>
      <c r="RCO1" s="10"/>
      <c r="RCP1" s="10"/>
      <c r="RCQ1" s="10"/>
      <c r="RCR1" s="10"/>
      <c r="RCS1" s="10"/>
      <c r="RCT1" s="10"/>
      <c r="RCU1" s="10"/>
      <c r="RCV1" s="10"/>
      <c r="RCW1" s="10"/>
      <c r="RCX1" s="10"/>
      <c r="RCY1" s="10"/>
      <c r="RCZ1" s="10"/>
      <c r="RDA1" s="10"/>
      <c r="RDB1" s="10"/>
      <c r="RDC1" s="10"/>
      <c r="RDD1" s="10"/>
      <c r="RDE1" s="10"/>
      <c r="RDF1" s="10"/>
      <c r="RDG1" s="10"/>
      <c r="RDH1" s="10"/>
      <c r="RDI1" s="10"/>
      <c r="RDJ1" s="10"/>
      <c r="RDK1" s="10"/>
      <c r="RDL1" s="10"/>
      <c r="RDM1" s="10"/>
      <c r="RDN1" s="10"/>
      <c r="RDO1" s="10"/>
      <c r="RDP1" s="10"/>
      <c r="RDQ1" s="10"/>
      <c r="RDR1" s="10"/>
      <c r="RDS1" s="10"/>
      <c r="RDT1" s="10"/>
      <c r="RDU1" s="10"/>
      <c r="RDV1" s="10"/>
      <c r="RDW1" s="10"/>
      <c r="RDX1" s="10"/>
      <c r="RDY1" s="10"/>
      <c r="RDZ1" s="10"/>
      <c r="REA1" s="10"/>
      <c r="REB1" s="10"/>
      <c r="REC1" s="10"/>
      <c r="RED1" s="10"/>
      <c r="REE1" s="10"/>
      <c r="REF1" s="10"/>
      <c r="REG1" s="10"/>
      <c r="REH1" s="10"/>
      <c r="REI1" s="10"/>
      <c r="REJ1" s="10"/>
      <c r="REK1" s="10"/>
      <c r="REL1" s="10"/>
      <c r="REM1" s="10"/>
      <c r="REN1" s="10"/>
      <c r="REO1" s="10"/>
      <c r="REP1" s="10"/>
      <c r="REQ1" s="10"/>
      <c r="RER1" s="10"/>
      <c r="RES1" s="10"/>
      <c r="RET1" s="10"/>
      <c r="REU1" s="10"/>
      <c r="REV1" s="10"/>
      <c r="REW1" s="10"/>
      <c r="REX1" s="10"/>
      <c r="REY1" s="10"/>
      <c r="REZ1" s="10"/>
      <c r="RFA1" s="10"/>
      <c r="RFB1" s="10"/>
      <c r="RFC1" s="10"/>
      <c r="RFD1" s="10"/>
      <c r="RFE1" s="10"/>
      <c r="RFF1" s="10"/>
      <c r="RFG1" s="10"/>
      <c r="RFH1" s="10"/>
      <c r="RFI1" s="10"/>
      <c r="RFJ1" s="10"/>
      <c r="RFK1" s="10"/>
      <c r="RFL1" s="10"/>
      <c r="RFM1" s="10"/>
      <c r="RFN1" s="10"/>
      <c r="RFO1" s="10"/>
      <c r="RFP1" s="10"/>
      <c r="RFQ1" s="10"/>
      <c r="RFR1" s="10"/>
      <c r="RFS1" s="10"/>
      <c r="RFT1" s="10"/>
      <c r="RFU1" s="10"/>
      <c r="RFV1" s="10"/>
      <c r="RFW1" s="10"/>
      <c r="RFX1" s="10"/>
      <c r="RFY1" s="10"/>
      <c r="RFZ1" s="10"/>
      <c r="RGA1" s="10"/>
      <c r="RGB1" s="10"/>
      <c r="RGC1" s="10"/>
      <c r="RGD1" s="10"/>
      <c r="RGE1" s="10"/>
      <c r="RGF1" s="10"/>
      <c r="RGG1" s="10"/>
      <c r="RGH1" s="10"/>
      <c r="RGI1" s="10"/>
      <c r="RGJ1" s="10"/>
      <c r="RGK1" s="10"/>
      <c r="RGL1" s="10"/>
      <c r="RGM1" s="10"/>
      <c r="RGN1" s="10"/>
      <c r="RGO1" s="10"/>
      <c r="RGP1" s="10"/>
      <c r="RGQ1" s="10"/>
      <c r="RGR1" s="10"/>
      <c r="RGS1" s="10"/>
      <c r="RGT1" s="10"/>
      <c r="RGU1" s="10"/>
      <c r="RGV1" s="10"/>
      <c r="RGW1" s="10"/>
      <c r="RGX1" s="10"/>
      <c r="RGY1" s="10"/>
      <c r="RGZ1" s="10"/>
      <c r="RHA1" s="10"/>
      <c r="RHB1" s="10"/>
      <c r="RHC1" s="10"/>
      <c r="RHD1" s="10"/>
      <c r="RHE1" s="10"/>
      <c r="RHF1" s="10"/>
      <c r="RHG1" s="10"/>
      <c r="RHH1" s="10"/>
      <c r="RHI1" s="10"/>
      <c r="RHJ1" s="10"/>
      <c r="RHK1" s="10"/>
      <c r="RHL1" s="10"/>
      <c r="RHM1" s="10"/>
      <c r="RHN1" s="10"/>
      <c r="RHO1" s="10"/>
      <c r="RHP1" s="10"/>
      <c r="RHQ1" s="10"/>
      <c r="RHR1" s="10"/>
      <c r="RHS1" s="10"/>
      <c r="RHT1" s="10"/>
      <c r="RHU1" s="10"/>
      <c r="RHV1" s="10"/>
      <c r="RHW1" s="10"/>
      <c r="RHX1" s="10"/>
      <c r="RHY1" s="10"/>
      <c r="RHZ1" s="10"/>
      <c r="RIA1" s="10"/>
      <c r="RIB1" s="10"/>
      <c r="RIC1" s="10"/>
      <c r="RID1" s="10"/>
      <c r="RIE1" s="10"/>
      <c r="RIF1" s="10"/>
      <c r="RIG1" s="10"/>
      <c r="RIH1" s="10"/>
      <c r="RII1" s="10"/>
      <c r="RIJ1" s="10"/>
      <c r="RIK1" s="10"/>
      <c r="RIL1" s="10"/>
      <c r="RIM1" s="10"/>
      <c r="RIN1" s="10"/>
      <c r="RIO1" s="10"/>
      <c r="RIP1" s="10"/>
      <c r="RIQ1" s="10"/>
      <c r="RIR1" s="10"/>
      <c r="RIS1" s="10"/>
      <c r="RIT1" s="10"/>
      <c r="RIU1" s="10"/>
      <c r="RIV1" s="10"/>
      <c r="RIW1" s="10"/>
      <c r="RIX1" s="10"/>
      <c r="RIY1" s="10"/>
      <c r="RIZ1" s="10"/>
      <c r="RJA1" s="10"/>
      <c r="RJB1" s="10"/>
      <c r="RJC1" s="10"/>
      <c r="RJD1" s="10"/>
      <c r="RJE1" s="10"/>
      <c r="RJF1" s="10"/>
      <c r="RJG1" s="10"/>
      <c r="RJH1" s="10"/>
      <c r="RJI1" s="10"/>
      <c r="RJJ1" s="10"/>
      <c r="RJK1" s="10"/>
      <c r="RJL1" s="10"/>
      <c r="RJM1" s="10"/>
      <c r="RJN1" s="10"/>
      <c r="RJO1" s="10"/>
      <c r="RJP1" s="10"/>
      <c r="RJQ1" s="10"/>
      <c r="RJR1" s="10"/>
      <c r="RJS1" s="10"/>
      <c r="RJT1" s="10"/>
      <c r="RJU1" s="10"/>
      <c r="RJV1" s="10"/>
      <c r="RJW1" s="10"/>
      <c r="RJX1" s="10"/>
      <c r="RJY1" s="10"/>
      <c r="RJZ1" s="10"/>
      <c r="RKA1" s="10"/>
      <c r="RKB1" s="10"/>
      <c r="RKC1" s="10"/>
      <c r="RKD1" s="10"/>
      <c r="RKE1" s="10"/>
      <c r="RKF1" s="10"/>
      <c r="RKG1" s="10"/>
      <c r="RKH1" s="10"/>
      <c r="RKI1" s="10"/>
      <c r="RKJ1" s="10"/>
      <c r="RKK1" s="10"/>
      <c r="RKL1" s="10"/>
      <c r="RKM1" s="10"/>
      <c r="RKN1" s="10"/>
      <c r="RKO1" s="10"/>
      <c r="RKP1" s="10"/>
      <c r="RKQ1" s="10"/>
      <c r="RKR1" s="10"/>
      <c r="RKS1" s="10"/>
      <c r="RKT1" s="10"/>
      <c r="RKU1" s="10"/>
      <c r="RKV1" s="10"/>
      <c r="RKW1" s="10"/>
      <c r="RKX1" s="10"/>
      <c r="RKY1" s="10"/>
      <c r="RKZ1" s="10"/>
      <c r="RLA1" s="10"/>
      <c r="RLB1" s="10"/>
      <c r="RLC1" s="10"/>
      <c r="RLD1" s="10"/>
      <c r="RLE1" s="10"/>
      <c r="RLF1" s="10"/>
      <c r="RLG1" s="10"/>
      <c r="RLH1" s="10"/>
      <c r="RLI1" s="10"/>
      <c r="RLJ1" s="10"/>
      <c r="RLK1" s="10"/>
      <c r="RLL1" s="10"/>
      <c r="RLM1" s="10"/>
      <c r="RLN1" s="10"/>
      <c r="RLO1" s="10"/>
      <c r="RLP1" s="10"/>
      <c r="RLQ1" s="10"/>
      <c r="RLR1" s="10"/>
      <c r="RLS1" s="10"/>
      <c r="RLT1" s="10"/>
      <c r="RLU1" s="10"/>
      <c r="RLV1" s="10"/>
      <c r="RLW1" s="10"/>
      <c r="RLX1" s="10"/>
      <c r="RLY1" s="10"/>
      <c r="RLZ1" s="10"/>
      <c r="RMA1" s="10"/>
      <c r="RMB1" s="10"/>
      <c r="RMC1" s="10"/>
      <c r="RMD1" s="10"/>
      <c r="RME1" s="10"/>
      <c r="RMF1" s="10"/>
      <c r="RMG1" s="10"/>
      <c r="RMH1" s="10"/>
      <c r="RMI1" s="10"/>
      <c r="RMJ1" s="10"/>
      <c r="RMK1" s="10"/>
      <c r="RML1" s="10"/>
      <c r="RMM1" s="10"/>
      <c r="RMN1" s="10"/>
      <c r="RMO1" s="10"/>
      <c r="RMP1" s="10"/>
      <c r="RMQ1" s="10"/>
      <c r="RMR1" s="10"/>
      <c r="RMS1" s="10"/>
      <c r="RMT1" s="10"/>
      <c r="RMU1" s="10"/>
      <c r="RMV1" s="10"/>
      <c r="RMW1" s="10"/>
      <c r="RMX1" s="10"/>
      <c r="RMY1" s="10"/>
      <c r="RMZ1" s="10"/>
      <c r="RNA1" s="10"/>
      <c r="RNB1" s="10"/>
      <c r="RNC1" s="10"/>
      <c r="RND1" s="10"/>
      <c r="RNE1" s="10"/>
      <c r="RNF1" s="10"/>
      <c r="RNG1" s="10"/>
      <c r="RNH1" s="10"/>
      <c r="RNI1" s="10"/>
      <c r="RNJ1" s="10"/>
      <c r="RNK1" s="10"/>
      <c r="RNL1" s="10"/>
      <c r="RNM1" s="10"/>
      <c r="RNN1" s="10"/>
      <c r="RNO1" s="10"/>
      <c r="RNP1" s="10"/>
      <c r="RNQ1" s="10"/>
      <c r="RNR1" s="10"/>
      <c r="RNS1" s="10"/>
      <c r="RNT1" s="10"/>
      <c r="RNU1" s="10"/>
      <c r="RNV1" s="10"/>
      <c r="RNW1" s="10"/>
      <c r="RNX1" s="10"/>
      <c r="RNY1" s="10"/>
      <c r="RNZ1" s="10"/>
      <c r="ROA1" s="10"/>
      <c r="ROB1" s="10"/>
      <c r="ROC1" s="10"/>
      <c r="ROD1" s="10"/>
      <c r="ROE1" s="10"/>
      <c r="ROF1" s="10"/>
      <c r="ROG1" s="10"/>
      <c r="ROH1" s="10"/>
      <c r="ROI1" s="10"/>
      <c r="ROJ1" s="10"/>
      <c r="ROK1" s="10"/>
      <c r="ROL1" s="10"/>
      <c r="ROM1" s="10"/>
      <c r="RON1" s="10"/>
      <c r="ROO1" s="10"/>
      <c r="ROP1" s="10"/>
      <c r="ROQ1" s="10"/>
      <c r="ROR1" s="10"/>
      <c r="ROS1" s="10"/>
      <c r="ROT1" s="10"/>
      <c r="ROU1" s="10"/>
      <c r="ROV1" s="10"/>
      <c r="ROW1" s="10"/>
      <c r="ROX1" s="10"/>
      <c r="ROY1" s="10"/>
      <c r="ROZ1" s="10"/>
      <c r="RPA1" s="10"/>
      <c r="RPB1" s="10"/>
      <c r="RPC1" s="10"/>
      <c r="RPD1" s="10"/>
      <c r="RPE1" s="10"/>
      <c r="RPF1" s="10"/>
      <c r="RPG1" s="10"/>
      <c r="RPH1" s="10"/>
      <c r="RPI1" s="10"/>
      <c r="RPJ1" s="10"/>
      <c r="RPK1" s="10"/>
      <c r="RPL1" s="10"/>
      <c r="RPM1" s="10"/>
      <c r="RPN1" s="10"/>
      <c r="RPO1" s="10"/>
      <c r="RPP1" s="10"/>
      <c r="RPQ1" s="10"/>
      <c r="RPR1" s="10"/>
      <c r="RPS1" s="10"/>
      <c r="RPT1" s="10"/>
      <c r="RPU1" s="10"/>
      <c r="RPV1" s="10"/>
      <c r="RPW1" s="10"/>
      <c r="RPX1" s="10"/>
      <c r="RPY1" s="10"/>
      <c r="RPZ1" s="10"/>
      <c r="RQA1" s="10"/>
      <c r="RQB1" s="10"/>
      <c r="RQC1" s="10"/>
      <c r="RQD1" s="10"/>
      <c r="RQE1" s="10"/>
      <c r="RQF1" s="10"/>
      <c r="RQG1" s="10"/>
      <c r="RQH1" s="10"/>
      <c r="RQI1" s="10"/>
      <c r="RQJ1" s="10"/>
      <c r="RQK1" s="10"/>
      <c r="RQL1" s="10"/>
      <c r="RQM1" s="10"/>
      <c r="RQN1" s="10"/>
      <c r="RQO1" s="10"/>
      <c r="RQP1" s="10"/>
      <c r="RQQ1" s="10"/>
      <c r="RQR1" s="10"/>
      <c r="RQS1" s="10"/>
      <c r="RQT1" s="10"/>
      <c r="RQU1" s="10"/>
      <c r="RQV1" s="10"/>
      <c r="RQW1" s="10"/>
      <c r="RQX1" s="10"/>
      <c r="RQY1" s="10"/>
      <c r="RQZ1" s="10"/>
      <c r="RRA1" s="10"/>
      <c r="RRB1" s="10"/>
      <c r="RRC1" s="10"/>
      <c r="RRD1" s="10"/>
      <c r="RRE1" s="10"/>
      <c r="RRF1" s="10"/>
      <c r="RRG1" s="10"/>
      <c r="RRH1" s="10"/>
      <c r="RRI1" s="10"/>
      <c r="RRJ1" s="10"/>
      <c r="RRK1" s="10"/>
      <c r="RRL1" s="10"/>
      <c r="RRM1" s="10"/>
      <c r="RRN1" s="10"/>
      <c r="RRO1" s="10"/>
      <c r="RRP1" s="10"/>
      <c r="RRQ1" s="10"/>
      <c r="RRR1" s="10"/>
      <c r="RRS1" s="10"/>
      <c r="RRT1" s="10"/>
      <c r="RRU1" s="10"/>
      <c r="RRV1" s="10"/>
      <c r="RRW1" s="10"/>
      <c r="RRX1" s="10"/>
      <c r="RRY1" s="10"/>
      <c r="RRZ1" s="10"/>
      <c r="RSA1" s="10"/>
      <c r="RSB1" s="10"/>
      <c r="RSC1" s="10"/>
      <c r="RSD1" s="10"/>
      <c r="RSE1" s="10"/>
      <c r="RSF1" s="10"/>
      <c r="RSG1" s="10"/>
      <c r="RSH1" s="10"/>
      <c r="RSI1" s="10"/>
      <c r="RSJ1" s="10"/>
      <c r="RSK1" s="10"/>
      <c r="RSL1" s="10"/>
      <c r="RSM1" s="10"/>
      <c r="RSN1" s="10"/>
      <c r="RSO1" s="10"/>
      <c r="RSP1" s="10"/>
      <c r="RSQ1" s="10"/>
      <c r="RSR1" s="10"/>
      <c r="RSS1" s="10"/>
      <c r="RST1" s="10"/>
      <c r="RSU1" s="10"/>
      <c r="RSV1" s="10"/>
      <c r="RSW1" s="10"/>
      <c r="RSX1" s="10"/>
      <c r="RSY1" s="10"/>
      <c r="RSZ1" s="10"/>
      <c r="RTA1" s="10"/>
      <c r="RTB1" s="10"/>
      <c r="RTC1" s="10"/>
      <c r="RTD1" s="10"/>
      <c r="RTE1" s="10"/>
      <c r="RTF1" s="10"/>
      <c r="RTG1" s="10"/>
      <c r="RTH1" s="10"/>
      <c r="RTI1" s="10"/>
      <c r="RTJ1" s="10"/>
      <c r="RTK1" s="10"/>
      <c r="RTL1" s="10"/>
      <c r="RTM1" s="10"/>
      <c r="RTN1" s="10"/>
      <c r="RTO1" s="10"/>
      <c r="RTP1" s="10"/>
      <c r="RTQ1" s="10"/>
      <c r="RTR1" s="10"/>
      <c r="RTS1" s="10"/>
      <c r="RTT1" s="10"/>
      <c r="RTU1" s="10"/>
      <c r="RTV1" s="10"/>
      <c r="RTW1" s="10"/>
      <c r="RTX1" s="10"/>
      <c r="RTY1" s="10"/>
      <c r="RTZ1" s="10"/>
      <c r="RUA1" s="10"/>
      <c r="RUB1" s="10"/>
      <c r="RUC1" s="10"/>
      <c r="RUD1" s="10"/>
      <c r="RUE1" s="10"/>
      <c r="RUF1" s="10"/>
      <c r="RUG1" s="10"/>
      <c r="RUH1" s="10"/>
      <c r="RUI1" s="10"/>
      <c r="RUJ1" s="10"/>
      <c r="RUK1" s="10"/>
      <c r="RUL1" s="10"/>
      <c r="RUM1" s="10"/>
      <c r="RUN1" s="10"/>
      <c r="RUO1" s="10"/>
      <c r="RUP1" s="10"/>
      <c r="RUQ1" s="10"/>
      <c r="RUR1" s="10"/>
      <c r="RUS1" s="10"/>
      <c r="RUT1" s="10"/>
      <c r="RUU1" s="10"/>
      <c r="RUV1" s="10"/>
      <c r="RUW1" s="10"/>
      <c r="RUX1" s="10"/>
      <c r="RUY1" s="10"/>
      <c r="RUZ1" s="10"/>
      <c r="RVA1" s="10"/>
      <c r="RVB1" s="10"/>
      <c r="RVC1" s="10"/>
      <c r="RVD1" s="10"/>
      <c r="RVE1" s="10"/>
      <c r="RVF1" s="10"/>
      <c r="RVG1" s="10"/>
      <c r="RVH1" s="10"/>
      <c r="RVI1" s="10"/>
      <c r="RVJ1" s="10"/>
      <c r="RVK1" s="10"/>
      <c r="RVL1" s="10"/>
      <c r="RVM1" s="10"/>
      <c r="RVN1" s="10"/>
      <c r="RVO1" s="10"/>
      <c r="RVP1" s="10"/>
      <c r="RVQ1" s="10"/>
      <c r="RVR1" s="10"/>
      <c r="RVS1" s="10"/>
      <c r="RVT1" s="10"/>
      <c r="RVU1" s="10"/>
      <c r="RVV1" s="10"/>
      <c r="RVW1" s="10"/>
      <c r="RVX1" s="10"/>
      <c r="RVY1" s="10"/>
      <c r="RVZ1" s="10"/>
      <c r="RWA1" s="10"/>
      <c r="RWB1" s="10"/>
      <c r="RWC1" s="10"/>
      <c r="RWD1" s="10"/>
      <c r="RWE1" s="10"/>
      <c r="RWF1" s="10"/>
      <c r="RWG1" s="10"/>
      <c r="RWH1" s="10"/>
      <c r="RWI1" s="10"/>
      <c r="RWJ1" s="10"/>
      <c r="RWK1" s="10"/>
      <c r="RWL1" s="10"/>
      <c r="RWM1" s="10"/>
      <c r="RWN1" s="10"/>
      <c r="RWO1" s="10"/>
      <c r="RWP1" s="10"/>
      <c r="RWQ1" s="10"/>
      <c r="RWR1" s="10"/>
      <c r="RWS1" s="10"/>
      <c r="RWT1" s="10"/>
      <c r="RWU1" s="10"/>
      <c r="RWV1" s="10"/>
      <c r="RWW1" s="10"/>
      <c r="RWX1" s="10"/>
      <c r="RWY1" s="10"/>
      <c r="RWZ1" s="10"/>
      <c r="RXA1" s="10"/>
      <c r="RXB1" s="10"/>
      <c r="RXC1" s="10"/>
      <c r="RXD1" s="10"/>
      <c r="RXE1" s="10"/>
      <c r="RXF1" s="10"/>
      <c r="RXG1" s="10"/>
      <c r="RXH1" s="10"/>
      <c r="RXI1" s="10"/>
      <c r="RXJ1" s="10"/>
      <c r="RXK1" s="10"/>
      <c r="RXL1" s="10"/>
      <c r="RXM1" s="10"/>
      <c r="RXN1" s="10"/>
      <c r="RXO1" s="10"/>
      <c r="RXP1" s="10"/>
      <c r="RXQ1" s="10"/>
      <c r="RXR1" s="10"/>
      <c r="RXS1" s="10"/>
      <c r="RXT1" s="10"/>
      <c r="RXU1" s="10"/>
      <c r="RXV1" s="10"/>
      <c r="RXW1" s="10"/>
      <c r="RXX1" s="10"/>
      <c r="RXY1" s="10"/>
      <c r="RXZ1" s="10"/>
      <c r="RYA1" s="10"/>
      <c r="RYB1" s="10"/>
      <c r="RYC1" s="10"/>
      <c r="RYD1" s="10"/>
      <c r="RYE1" s="10"/>
      <c r="RYF1" s="10"/>
      <c r="RYG1" s="10"/>
      <c r="RYH1" s="10"/>
      <c r="RYI1" s="10"/>
      <c r="RYJ1" s="10"/>
      <c r="RYK1" s="10"/>
      <c r="RYL1" s="10"/>
      <c r="RYM1" s="10"/>
      <c r="RYN1" s="10"/>
      <c r="RYO1" s="10"/>
      <c r="RYP1" s="10"/>
      <c r="RYQ1" s="10"/>
      <c r="RYR1" s="10"/>
      <c r="RYS1" s="10"/>
      <c r="RYT1" s="10"/>
      <c r="RYU1" s="10"/>
      <c r="RYV1" s="10"/>
      <c r="RYW1" s="10"/>
      <c r="RYX1" s="10"/>
      <c r="RYY1" s="10"/>
      <c r="RYZ1" s="10"/>
      <c r="RZA1" s="10"/>
      <c r="RZB1" s="10"/>
      <c r="RZC1" s="10"/>
      <c r="RZD1" s="10"/>
      <c r="RZE1" s="10"/>
      <c r="RZF1" s="10"/>
      <c r="RZG1" s="10"/>
      <c r="RZH1" s="10"/>
      <c r="RZI1" s="10"/>
      <c r="RZJ1" s="10"/>
      <c r="RZK1" s="10"/>
      <c r="RZL1" s="10"/>
      <c r="RZM1" s="10"/>
      <c r="RZN1" s="10"/>
      <c r="RZO1" s="10"/>
      <c r="RZP1" s="10"/>
      <c r="RZQ1" s="10"/>
      <c r="RZR1" s="10"/>
      <c r="RZS1" s="10"/>
      <c r="RZT1" s="10"/>
      <c r="RZU1" s="10"/>
      <c r="RZV1" s="10"/>
      <c r="RZW1" s="10"/>
      <c r="RZX1" s="10"/>
      <c r="RZY1" s="10"/>
      <c r="RZZ1" s="10"/>
      <c r="SAA1" s="10"/>
      <c r="SAB1" s="10"/>
      <c r="SAC1" s="10"/>
      <c r="SAD1" s="10"/>
      <c r="SAE1" s="10"/>
      <c r="SAF1" s="10"/>
      <c r="SAG1" s="10"/>
      <c r="SAH1" s="10"/>
      <c r="SAI1" s="10"/>
      <c r="SAJ1" s="10"/>
      <c r="SAK1" s="10"/>
      <c r="SAL1" s="10"/>
      <c r="SAM1" s="10"/>
      <c r="SAN1" s="10"/>
      <c r="SAO1" s="10"/>
      <c r="SAP1" s="10"/>
      <c r="SAQ1" s="10"/>
      <c r="SAR1" s="10"/>
      <c r="SAS1" s="10"/>
      <c r="SAT1" s="10"/>
      <c r="SAU1" s="10"/>
      <c r="SAV1" s="10"/>
      <c r="SAW1" s="10"/>
      <c r="SAX1" s="10"/>
      <c r="SAY1" s="10"/>
      <c r="SAZ1" s="10"/>
      <c r="SBA1" s="10"/>
      <c r="SBB1" s="10"/>
      <c r="SBC1" s="10"/>
      <c r="SBD1" s="10"/>
      <c r="SBE1" s="10"/>
      <c r="SBF1" s="10"/>
      <c r="SBG1" s="10"/>
      <c r="SBH1" s="10"/>
      <c r="SBI1" s="10"/>
      <c r="SBJ1" s="10"/>
      <c r="SBK1" s="10"/>
      <c r="SBL1" s="10"/>
      <c r="SBM1" s="10"/>
      <c r="SBN1" s="10"/>
      <c r="SBO1" s="10"/>
      <c r="SBP1" s="10"/>
      <c r="SBQ1" s="10"/>
      <c r="SBR1" s="10"/>
      <c r="SBS1" s="10"/>
      <c r="SBT1" s="10"/>
      <c r="SBU1" s="10"/>
      <c r="SBV1" s="10"/>
      <c r="SBW1" s="10"/>
      <c r="SBX1" s="10"/>
      <c r="SBY1" s="10"/>
      <c r="SBZ1" s="10"/>
      <c r="SCA1" s="10"/>
      <c r="SCB1" s="10"/>
      <c r="SCC1" s="10"/>
      <c r="SCD1" s="10"/>
      <c r="SCE1" s="10"/>
      <c r="SCF1" s="10"/>
      <c r="SCG1" s="10"/>
      <c r="SCH1" s="10"/>
      <c r="SCI1" s="10"/>
      <c r="SCJ1" s="10"/>
      <c r="SCK1" s="10"/>
      <c r="SCL1" s="10"/>
      <c r="SCM1" s="10"/>
      <c r="SCN1" s="10"/>
      <c r="SCO1" s="10"/>
      <c r="SCP1" s="10"/>
      <c r="SCQ1" s="10"/>
      <c r="SCR1" s="10"/>
      <c r="SCS1" s="10"/>
      <c r="SCT1" s="10"/>
      <c r="SCU1" s="10"/>
      <c r="SCV1" s="10"/>
      <c r="SCW1" s="10"/>
      <c r="SCX1" s="10"/>
      <c r="SCY1" s="10"/>
      <c r="SCZ1" s="10"/>
      <c r="SDA1" s="10"/>
      <c r="SDB1" s="10"/>
      <c r="SDC1" s="10"/>
      <c r="SDD1" s="10"/>
      <c r="SDE1" s="10"/>
      <c r="SDF1" s="10"/>
      <c r="SDG1" s="10"/>
      <c r="SDH1" s="10"/>
      <c r="SDI1" s="10"/>
      <c r="SDJ1" s="10"/>
      <c r="SDK1" s="10"/>
      <c r="SDL1" s="10"/>
      <c r="SDM1" s="10"/>
      <c r="SDN1" s="10"/>
      <c r="SDO1" s="10"/>
      <c r="SDP1" s="10"/>
      <c r="SDQ1" s="10"/>
      <c r="SDR1" s="10"/>
      <c r="SDS1" s="10"/>
      <c r="SDT1" s="10"/>
      <c r="SDU1" s="10"/>
      <c r="SDV1" s="10"/>
      <c r="SDW1" s="10"/>
      <c r="SDX1" s="10"/>
      <c r="SDY1" s="10"/>
      <c r="SDZ1" s="10"/>
      <c r="SEA1" s="10"/>
      <c r="SEB1" s="10"/>
      <c r="SEC1" s="10"/>
      <c r="SED1" s="10"/>
      <c r="SEE1" s="10"/>
      <c r="SEF1" s="10"/>
      <c r="SEG1" s="10"/>
      <c r="SEH1" s="10"/>
      <c r="SEI1" s="10"/>
      <c r="SEJ1" s="10"/>
      <c r="SEK1" s="10"/>
      <c r="SEL1" s="10"/>
      <c r="SEM1" s="10"/>
      <c r="SEN1" s="10"/>
      <c r="SEO1" s="10"/>
      <c r="SEP1" s="10"/>
      <c r="SEQ1" s="10"/>
      <c r="SER1" s="10"/>
      <c r="SES1" s="10"/>
      <c r="SET1" s="10"/>
      <c r="SEU1" s="10"/>
      <c r="SEV1" s="10"/>
      <c r="SEW1" s="10"/>
      <c r="SEX1" s="10"/>
      <c r="SEY1" s="10"/>
      <c r="SEZ1" s="10"/>
      <c r="SFA1" s="10"/>
      <c r="SFB1" s="10"/>
      <c r="SFC1" s="10"/>
      <c r="SFD1" s="10"/>
      <c r="SFE1" s="10"/>
      <c r="SFF1" s="10"/>
      <c r="SFG1" s="10"/>
      <c r="SFH1" s="10"/>
      <c r="SFI1" s="10"/>
      <c r="SFJ1" s="10"/>
      <c r="SFK1" s="10"/>
      <c r="SFL1" s="10"/>
      <c r="SFM1" s="10"/>
      <c r="SFN1" s="10"/>
      <c r="SFO1" s="10"/>
      <c r="SFP1" s="10"/>
      <c r="SFQ1" s="10"/>
      <c r="SFR1" s="10"/>
      <c r="SFS1" s="10"/>
      <c r="SFT1" s="10"/>
      <c r="SFU1" s="10"/>
      <c r="SFV1" s="10"/>
      <c r="SFW1" s="10"/>
      <c r="SFX1" s="10"/>
      <c r="SFY1" s="10"/>
      <c r="SFZ1" s="10"/>
      <c r="SGA1" s="10"/>
      <c r="SGB1" s="10"/>
      <c r="SGC1" s="10"/>
      <c r="SGD1" s="10"/>
      <c r="SGE1" s="10"/>
      <c r="SGF1" s="10"/>
      <c r="SGG1" s="10"/>
      <c r="SGH1" s="10"/>
      <c r="SGI1" s="10"/>
      <c r="SGJ1" s="10"/>
      <c r="SGK1" s="10"/>
      <c r="SGL1" s="10"/>
      <c r="SGM1" s="10"/>
      <c r="SGN1" s="10"/>
      <c r="SGO1" s="10"/>
      <c r="SGP1" s="10"/>
      <c r="SGQ1" s="10"/>
      <c r="SGR1" s="10"/>
      <c r="SGS1" s="10"/>
      <c r="SGT1" s="10"/>
      <c r="SGU1" s="10"/>
      <c r="SGV1" s="10"/>
      <c r="SGW1" s="10"/>
      <c r="SGX1" s="10"/>
      <c r="SGY1" s="10"/>
      <c r="SGZ1" s="10"/>
      <c r="SHA1" s="10"/>
      <c r="SHB1" s="10"/>
      <c r="SHC1" s="10"/>
      <c r="SHD1" s="10"/>
      <c r="SHE1" s="10"/>
      <c r="SHF1" s="10"/>
      <c r="SHG1" s="10"/>
      <c r="SHH1" s="10"/>
      <c r="SHI1" s="10"/>
      <c r="SHJ1" s="10"/>
      <c r="SHK1" s="10"/>
      <c r="SHL1" s="10"/>
      <c r="SHM1" s="10"/>
      <c r="SHN1" s="10"/>
      <c r="SHO1" s="10"/>
      <c r="SHP1" s="10"/>
      <c r="SHQ1" s="10"/>
      <c r="SHR1" s="10"/>
      <c r="SHS1" s="10"/>
      <c r="SHT1" s="10"/>
      <c r="SHU1" s="10"/>
      <c r="SHV1" s="10"/>
      <c r="SHW1" s="10"/>
      <c r="SHX1" s="10"/>
      <c r="SHY1" s="10"/>
      <c r="SHZ1" s="10"/>
      <c r="SIA1" s="10"/>
      <c r="SIB1" s="10"/>
      <c r="SIC1" s="10"/>
      <c r="SID1" s="10"/>
      <c r="SIE1" s="10"/>
      <c r="SIF1" s="10"/>
      <c r="SIG1" s="10"/>
      <c r="SIH1" s="10"/>
      <c r="SII1" s="10"/>
      <c r="SIJ1" s="10"/>
      <c r="SIK1" s="10"/>
      <c r="SIL1" s="10"/>
      <c r="SIM1" s="10"/>
      <c r="SIN1" s="10"/>
      <c r="SIO1" s="10"/>
      <c r="SIP1" s="10"/>
      <c r="SIQ1" s="10"/>
      <c r="SIR1" s="10"/>
      <c r="SIS1" s="10"/>
      <c r="SIT1" s="10"/>
      <c r="SIU1" s="10"/>
      <c r="SIV1" s="10"/>
      <c r="SIW1" s="10"/>
      <c r="SIX1" s="10"/>
      <c r="SIY1" s="10"/>
      <c r="SIZ1" s="10"/>
      <c r="SJA1" s="10"/>
      <c r="SJB1" s="10"/>
      <c r="SJC1" s="10"/>
      <c r="SJD1" s="10"/>
      <c r="SJE1" s="10"/>
      <c r="SJF1" s="10"/>
      <c r="SJG1" s="10"/>
      <c r="SJH1" s="10"/>
      <c r="SJI1" s="10"/>
      <c r="SJJ1" s="10"/>
      <c r="SJK1" s="10"/>
      <c r="SJL1" s="10"/>
      <c r="SJM1" s="10"/>
      <c r="SJN1" s="10"/>
      <c r="SJO1" s="10"/>
      <c r="SJP1" s="10"/>
      <c r="SJQ1" s="10"/>
      <c r="SJR1" s="10"/>
      <c r="SJS1" s="10"/>
      <c r="SJT1" s="10"/>
      <c r="SJU1" s="10"/>
      <c r="SJV1" s="10"/>
      <c r="SJW1" s="10"/>
      <c r="SJX1" s="10"/>
      <c r="SJY1" s="10"/>
      <c r="SJZ1" s="10"/>
      <c r="SKA1" s="10"/>
      <c r="SKB1" s="10"/>
      <c r="SKC1" s="10"/>
      <c r="SKD1" s="10"/>
      <c r="SKE1" s="10"/>
      <c r="SKF1" s="10"/>
      <c r="SKG1" s="10"/>
      <c r="SKH1" s="10"/>
      <c r="SKI1" s="10"/>
      <c r="SKJ1" s="10"/>
      <c r="SKK1" s="10"/>
      <c r="SKL1" s="10"/>
      <c r="SKM1" s="10"/>
      <c r="SKN1" s="10"/>
      <c r="SKO1" s="10"/>
      <c r="SKP1" s="10"/>
      <c r="SKQ1" s="10"/>
      <c r="SKR1" s="10"/>
      <c r="SKS1" s="10"/>
      <c r="SKT1" s="10"/>
      <c r="SKU1" s="10"/>
      <c r="SKV1" s="10"/>
      <c r="SKW1" s="10"/>
      <c r="SKX1" s="10"/>
      <c r="SKY1" s="10"/>
      <c r="SKZ1" s="10"/>
      <c r="SLA1" s="10"/>
      <c r="SLB1" s="10"/>
      <c r="SLC1" s="10"/>
      <c r="SLD1" s="10"/>
      <c r="SLE1" s="10"/>
      <c r="SLF1" s="10"/>
      <c r="SLG1" s="10"/>
      <c r="SLH1" s="10"/>
      <c r="SLI1" s="10"/>
      <c r="SLJ1" s="10"/>
      <c r="SLK1" s="10"/>
      <c r="SLL1" s="10"/>
      <c r="SLM1" s="10"/>
      <c r="SLN1" s="10"/>
      <c r="SLO1" s="10"/>
      <c r="SLP1" s="10"/>
      <c r="SLQ1" s="10"/>
      <c r="SLR1" s="10"/>
      <c r="SLS1" s="10"/>
      <c r="SLT1" s="10"/>
      <c r="SLU1" s="10"/>
      <c r="SLV1" s="10"/>
      <c r="SLW1" s="10"/>
      <c r="SLX1" s="10"/>
      <c r="SLY1" s="10"/>
      <c r="SLZ1" s="10"/>
      <c r="SMA1" s="10"/>
      <c r="SMB1" s="10"/>
      <c r="SMC1" s="10"/>
      <c r="SMD1" s="10"/>
      <c r="SME1" s="10"/>
      <c r="SMF1" s="10"/>
      <c r="SMG1" s="10"/>
      <c r="SMH1" s="10"/>
      <c r="SMI1" s="10"/>
      <c r="SMJ1" s="10"/>
      <c r="SMK1" s="10"/>
      <c r="SML1" s="10"/>
      <c r="SMM1" s="10"/>
      <c r="SMN1" s="10"/>
      <c r="SMO1" s="10"/>
      <c r="SMP1" s="10"/>
      <c r="SMQ1" s="10"/>
      <c r="SMR1" s="10"/>
      <c r="SMS1" s="10"/>
      <c r="SMT1" s="10"/>
      <c r="SMU1" s="10"/>
      <c r="SMV1" s="10"/>
      <c r="SMW1" s="10"/>
      <c r="SMX1" s="10"/>
      <c r="SMY1" s="10"/>
      <c r="SMZ1" s="10"/>
      <c r="SNA1" s="10"/>
      <c r="SNB1" s="10"/>
      <c r="SNC1" s="10"/>
      <c r="SND1" s="10"/>
      <c r="SNE1" s="10"/>
      <c r="SNF1" s="10"/>
      <c r="SNG1" s="10"/>
      <c r="SNH1" s="10"/>
      <c r="SNI1" s="10"/>
      <c r="SNJ1" s="10"/>
      <c r="SNK1" s="10"/>
      <c r="SNL1" s="10"/>
      <c r="SNM1" s="10"/>
      <c r="SNN1" s="10"/>
      <c r="SNO1" s="10"/>
      <c r="SNP1" s="10"/>
      <c r="SNQ1" s="10"/>
      <c r="SNR1" s="10"/>
      <c r="SNS1" s="10"/>
      <c r="SNT1" s="10"/>
      <c r="SNU1" s="10"/>
      <c r="SNV1" s="10"/>
      <c r="SNW1" s="10"/>
      <c r="SNX1" s="10"/>
      <c r="SNY1" s="10"/>
      <c r="SNZ1" s="10"/>
      <c r="SOA1" s="10"/>
      <c r="SOB1" s="10"/>
      <c r="SOC1" s="10"/>
      <c r="SOD1" s="10"/>
      <c r="SOE1" s="10"/>
      <c r="SOF1" s="10"/>
      <c r="SOG1" s="10"/>
      <c r="SOH1" s="10"/>
      <c r="SOI1" s="10"/>
      <c r="SOJ1" s="10"/>
      <c r="SOK1" s="10"/>
      <c r="SOL1" s="10"/>
      <c r="SOM1" s="10"/>
      <c r="SON1" s="10"/>
      <c r="SOO1" s="10"/>
      <c r="SOP1" s="10"/>
      <c r="SOQ1" s="10"/>
      <c r="SOR1" s="10"/>
      <c r="SOS1" s="10"/>
      <c r="SOT1" s="10"/>
      <c r="SOU1" s="10"/>
      <c r="SOV1" s="10"/>
      <c r="SOW1" s="10"/>
      <c r="SOX1" s="10"/>
      <c r="SOY1" s="10"/>
      <c r="SOZ1" s="10"/>
      <c r="SPA1" s="10"/>
      <c r="SPB1" s="10"/>
      <c r="SPC1" s="10"/>
      <c r="SPD1" s="10"/>
      <c r="SPE1" s="10"/>
      <c r="SPF1" s="10"/>
      <c r="SPG1" s="10"/>
      <c r="SPH1" s="10"/>
      <c r="SPI1" s="10"/>
      <c r="SPJ1" s="10"/>
      <c r="SPK1" s="10"/>
      <c r="SPL1" s="10"/>
      <c r="SPM1" s="10"/>
      <c r="SPN1" s="10"/>
      <c r="SPO1" s="10"/>
      <c r="SPP1" s="10"/>
      <c r="SPQ1" s="10"/>
      <c r="SPR1" s="10"/>
      <c r="SPS1" s="10"/>
      <c r="SPT1" s="10"/>
      <c r="SPU1" s="10"/>
      <c r="SPV1" s="10"/>
      <c r="SPW1" s="10"/>
      <c r="SPX1" s="10"/>
      <c r="SPY1" s="10"/>
      <c r="SPZ1" s="10"/>
      <c r="SQA1" s="10"/>
      <c r="SQB1" s="10"/>
      <c r="SQC1" s="10"/>
      <c r="SQD1" s="10"/>
      <c r="SQE1" s="10"/>
      <c r="SQF1" s="10"/>
      <c r="SQG1" s="10"/>
      <c r="SQH1" s="10"/>
      <c r="SQI1" s="10"/>
      <c r="SQJ1" s="10"/>
      <c r="SQK1" s="10"/>
      <c r="SQL1" s="10"/>
      <c r="SQM1" s="10"/>
      <c r="SQN1" s="10"/>
      <c r="SQO1" s="10"/>
      <c r="SQP1" s="10"/>
      <c r="SQQ1" s="10"/>
      <c r="SQR1" s="10"/>
      <c r="SQS1" s="10"/>
      <c r="SQT1" s="10"/>
      <c r="SQU1" s="10"/>
      <c r="SQV1" s="10"/>
      <c r="SQW1" s="10"/>
      <c r="SQX1" s="10"/>
      <c r="SQY1" s="10"/>
      <c r="SQZ1" s="10"/>
      <c r="SRA1" s="10"/>
      <c r="SRB1" s="10"/>
      <c r="SRC1" s="10"/>
      <c r="SRD1" s="10"/>
      <c r="SRE1" s="10"/>
      <c r="SRF1" s="10"/>
      <c r="SRG1" s="10"/>
      <c r="SRH1" s="10"/>
      <c r="SRI1" s="10"/>
      <c r="SRJ1" s="10"/>
      <c r="SRK1" s="10"/>
      <c r="SRL1" s="10"/>
      <c r="SRM1" s="10"/>
      <c r="SRN1" s="10"/>
      <c r="SRO1" s="10"/>
      <c r="SRP1" s="10"/>
      <c r="SRQ1" s="10"/>
      <c r="SRR1" s="10"/>
      <c r="SRS1" s="10"/>
      <c r="SRT1" s="10"/>
      <c r="SRU1" s="10"/>
      <c r="SRV1" s="10"/>
      <c r="SRW1" s="10"/>
      <c r="SRX1" s="10"/>
      <c r="SRY1" s="10"/>
      <c r="SRZ1" s="10"/>
      <c r="SSA1" s="10"/>
      <c r="SSB1" s="10"/>
      <c r="SSC1" s="10"/>
      <c r="SSD1" s="10"/>
      <c r="SSE1" s="10"/>
      <c r="SSF1" s="10"/>
      <c r="SSG1" s="10"/>
      <c r="SSH1" s="10"/>
      <c r="SSI1" s="10"/>
      <c r="SSJ1" s="10"/>
      <c r="SSK1" s="10"/>
      <c r="SSL1" s="10"/>
      <c r="SSM1" s="10"/>
      <c r="SSN1" s="10"/>
      <c r="SSO1" s="10"/>
      <c r="SSP1" s="10"/>
      <c r="SSQ1" s="10"/>
      <c r="SSR1" s="10"/>
      <c r="SSS1" s="10"/>
      <c r="SST1" s="10"/>
      <c r="SSU1" s="10"/>
      <c r="SSV1" s="10"/>
      <c r="SSW1" s="10"/>
      <c r="SSX1" s="10"/>
      <c r="SSY1" s="10"/>
      <c r="SSZ1" s="10"/>
      <c r="STA1" s="10"/>
      <c r="STB1" s="10"/>
      <c r="STC1" s="10"/>
      <c r="STD1" s="10"/>
      <c r="STE1" s="10"/>
      <c r="STF1" s="10"/>
      <c r="STG1" s="10"/>
      <c r="STH1" s="10"/>
      <c r="STI1" s="10"/>
      <c r="STJ1" s="10"/>
      <c r="STK1" s="10"/>
      <c r="STL1" s="10"/>
      <c r="STM1" s="10"/>
      <c r="STN1" s="10"/>
      <c r="STO1" s="10"/>
      <c r="STP1" s="10"/>
      <c r="STQ1" s="10"/>
      <c r="STR1" s="10"/>
      <c r="STS1" s="10"/>
      <c r="STT1" s="10"/>
      <c r="STU1" s="10"/>
      <c r="STV1" s="10"/>
      <c r="STW1" s="10"/>
      <c r="STX1" s="10"/>
      <c r="STY1" s="10"/>
      <c r="STZ1" s="10"/>
      <c r="SUA1" s="10"/>
      <c r="SUB1" s="10"/>
      <c r="SUC1" s="10"/>
      <c r="SUD1" s="10"/>
      <c r="SUE1" s="10"/>
      <c r="SUF1" s="10"/>
      <c r="SUG1" s="10"/>
      <c r="SUH1" s="10"/>
      <c r="SUI1" s="10"/>
      <c r="SUJ1" s="10"/>
      <c r="SUK1" s="10"/>
      <c r="SUL1" s="10"/>
      <c r="SUM1" s="10"/>
      <c r="SUN1" s="10"/>
      <c r="SUO1" s="10"/>
      <c r="SUP1" s="10"/>
      <c r="SUQ1" s="10"/>
      <c r="SUR1" s="10"/>
      <c r="SUS1" s="10"/>
      <c r="SUT1" s="10"/>
      <c r="SUU1" s="10"/>
      <c r="SUV1" s="10"/>
      <c r="SUW1" s="10"/>
      <c r="SUX1" s="10"/>
      <c r="SUY1" s="10"/>
      <c r="SUZ1" s="10"/>
      <c r="SVA1" s="10"/>
      <c r="SVB1" s="10"/>
      <c r="SVC1" s="10"/>
      <c r="SVD1" s="10"/>
      <c r="SVE1" s="10"/>
      <c r="SVF1" s="10"/>
      <c r="SVG1" s="10"/>
      <c r="SVH1" s="10"/>
      <c r="SVI1" s="10"/>
      <c r="SVJ1" s="10"/>
      <c r="SVK1" s="10"/>
      <c r="SVL1" s="10"/>
      <c r="SVM1" s="10"/>
      <c r="SVN1" s="10"/>
      <c r="SVO1" s="10"/>
      <c r="SVP1" s="10"/>
      <c r="SVQ1" s="10"/>
      <c r="SVR1" s="10"/>
      <c r="SVS1" s="10"/>
      <c r="SVT1" s="10"/>
      <c r="SVU1" s="10"/>
      <c r="SVV1" s="10"/>
      <c r="SVW1" s="10"/>
      <c r="SVX1" s="10"/>
      <c r="SVY1" s="10"/>
      <c r="SVZ1" s="10"/>
      <c r="SWA1" s="10"/>
      <c r="SWB1" s="10"/>
      <c r="SWC1" s="10"/>
      <c r="SWD1" s="10"/>
      <c r="SWE1" s="10"/>
      <c r="SWF1" s="10"/>
      <c r="SWG1" s="10"/>
      <c r="SWH1" s="10"/>
      <c r="SWI1" s="10"/>
      <c r="SWJ1" s="10"/>
      <c r="SWK1" s="10"/>
      <c r="SWL1" s="10"/>
      <c r="SWM1" s="10"/>
      <c r="SWN1" s="10"/>
      <c r="SWO1" s="10"/>
      <c r="SWP1" s="10"/>
      <c r="SWQ1" s="10"/>
      <c r="SWR1" s="10"/>
      <c r="SWS1" s="10"/>
      <c r="SWT1" s="10"/>
      <c r="SWU1" s="10"/>
      <c r="SWV1" s="10"/>
      <c r="SWW1" s="10"/>
      <c r="SWX1" s="10"/>
      <c r="SWY1" s="10"/>
      <c r="SWZ1" s="10"/>
      <c r="SXA1" s="10"/>
      <c r="SXB1" s="10"/>
      <c r="SXC1" s="10"/>
      <c r="SXD1" s="10"/>
      <c r="SXE1" s="10"/>
      <c r="SXF1" s="10"/>
      <c r="SXG1" s="10"/>
      <c r="SXH1" s="10"/>
      <c r="SXI1" s="10"/>
      <c r="SXJ1" s="10"/>
      <c r="SXK1" s="10"/>
      <c r="SXL1" s="10"/>
      <c r="SXM1" s="10"/>
      <c r="SXN1" s="10"/>
      <c r="SXO1" s="10"/>
      <c r="SXP1" s="10"/>
      <c r="SXQ1" s="10"/>
      <c r="SXR1" s="10"/>
      <c r="SXS1" s="10"/>
      <c r="SXT1" s="10"/>
      <c r="SXU1" s="10"/>
      <c r="SXV1" s="10"/>
      <c r="SXW1" s="10"/>
      <c r="SXX1" s="10"/>
      <c r="SXY1" s="10"/>
      <c r="SXZ1" s="10"/>
      <c r="SYA1" s="10"/>
      <c r="SYB1" s="10"/>
      <c r="SYC1" s="10"/>
      <c r="SYD1" s="10"/>
      <c r="SYE1" s="10"/>
      <c r="SYF1" s="10"/>
      <c r="SYG1" s="10"/>
      <c r="SYH1" s="10"/>
      <c r="SYI1" s="10"/>
      <c r="SYJ1" s="10"/>
      <c r="SYK1" s="10"/>
      <c r="SYL1" s="10"/>
      <c r="SYM1" s="10"/>
      <c r="SYN1" s="10"/>
      <c r="SYO1" s="10"/>
      <c r="SYP1" s="10"/>
      <c r="SYQ1" s="10"/>
      <c r="SYR1" s="10"/>
      <c r="SYS1" s="10"/>
      <c r="SYT1" s="10"/>
      <c r="SYU1" s="10"/>
      <c r="SYV1" s="10"/>
      <c r="SYW1" s="10"/>
      <c r="SYX1" s="10"/>
      <c r="SYY1" s="10"/>
      <c r="SYZ1" s="10"/>
      <c r="SZA1" s="10"/>
      <c r="SZB1" s="10"/>
      <c r="SZC1" s="10"/>
      <c r="SZD1" s="10"/>
      <c r="SZE1" s="10"/>
      <c r="SZF1" s="10"/>
      <c r="SZG1" s="10"/>
      <c r="SZH1" s="10"/>
      <c r="SZI1" s="10"/>
      <c r="SZJ1" s="10"/>
      <c r="SZK1" s="10"/>
      <c r="SZL1" s="10"/>
      <c r="SZM1" s="10"/>
      <c r="SZN1" s="10"/>
      <c r="SZO1" s="10"/>
      <c r="SZP1" s="10"/>
      <c r="SZQ1" s="10"/>
      <c r="SZR1" s="10"/>
      <c r="SZS1" s="10"/>
      <c r="SZT1" s="10"/>
      <c r="SZU1" s="10"/>
      <c r="SZV1" s="10"/>
      <c r="SZW1" s="10"/>
      <c r="SZX1" s="10"/>
      <c r="SZY1" s="10"/>
      <c r="SZZ1" s="10"/>
      <c r="TAA1" s="10"/>
      <c r="TAB1" s="10"/>
      <c r="TAC1" s="10"/>
      <c r="TAD1" s="10"/>
      <c r="TAE1" s="10"/>
      <c r="TAF1" s="10"/>
      <c r="TAG1" s="10"/>
      <c r="TAH1" s="10"/>
      <c r="TAI1" s="10"/>
      <c r="TAJ1" s="10"/>
      <c r="TAK1" s="10"/>
      <c r="TAL1" s="10"/>
      <c r="TAM1" s="10"/>
      <c r="TAN1" s="10"/>
      <c r="TAO1" s="10"/>
      <c r="TAP1" s="10"/>
      <c r="TAQ1" s="10"/>
      <c r="TAR1" s="10"/>
      <c r="TAS1" s="10"/>
      <c r="TAT1" s="10"/>
      <c r="TAU1" s="10"/>
      <c r="TAV1" s="10"/>
      <c r="TAW1" s="10"/>
      <c r="TAX1" s="10"/>
      <c r="TAY1" s="10"/>
      <c r="TAZ1" s="10"/>
      <c r="TBA1" s="10"/>
      <c r="TBB1" s="10"/>
      <c r="TBC1" s="10"/>
      <c r="TBD1" s="10"/>
      <c r="TBE1" s="10"/>
      <c r="TBF1" s="10"/>
      <c r="TBG1" s="10"/>
      <c r="TBH1" s="10"/>
      <c r="TBI1" s="10"/>
      <c r="TBJ1" s="10"/>
      <c r="TBK1" s="10"/>
      <c r="TBL1" s="10"/>
      <c r="TBM1" s="10"/>
      <c r="TBN1" s="10"/>
      <c r="TBO1" s="10"/>
      <c r="TBP1" s="10"/>
      <c r="TBQ1" s="10"/>
      <c r="TBR1" s="10"/>
      <c r="TBS1" s="10"/>
      <c r="TBT1" s="10"/>
      <c r="TBU1" s="10"/>
      <c r="TBV1" s="10"/>
      <c r="TBW1" s="10"/>
      <c r="TBX1" s="10"/>
      <c r="TBY1" s="10"/>
      <c r="TBZ1" s="10"/>
      <c r="TCA1" s="10"/>
      <c r="TCB1" s="10"/>
      <c r="TCC1" s="10"/>
      <c r="TCD1" s="10"/>
      <c r="TCE1" s="10"/>
      <c r="TCF1" s="10"/>
      <c r="TCG1" s="10"/>
      <c r="TCH1" s="10"/>
      <c r="TCI1" s="10"/>
      <c r="TCJ1" s="10"/>
      <c r="TCK1" s="10"/>
      <c r="TCL1" s="10"/>
      <c r="TCM1" s="10"/>
      <c r="TCN1" s="10"/>
      <c r="TCO1" s="10"/>
      <c r="TCP1" s="10"/>
      <c r="TCQ1" s="10"/>
      <c r="TCR1" s="10"/>
      <c r="TCS1" s="10"/>
      <c r="TCT1" s="10"/>
      <c r="TCU1" s="10"/>
      <c r="TCV1" s="10"/>
      <c r="TCW1" s="10"/>
      <c r="TCX1" s="10"/>
      <c r="TCY1" s="10"/>
      <c r="TCZ1" s="10"/>
      <c r="TDA1" s="10"/>
      <c r="TDB1" s="10"/>
      <c r="TDC1" s="10"/>
      <c r="TDD1" s="10"/>
      <c r="TDE1" s="10"/>
      <c r="TDF1" s="10"/>
      <c r="TDG1" s="10"/>
      <c r="TDH1" s="10"/>
      <c r="TDI1" s="10"/>
      <c r="TDJ1" s="10"/>
      <c r="TDK1" s="10"/>
      <c r="TDL1" s="10"/>
      <c r="TDM1" s="10"/>
      <c r="TDN1" s="10"/>
      <c r="TDO1" s="10"/>
      <c r="TDP1" s="10"/>
      <c r="TDQ1" s="10"/>
      <c r="TDR1" s="10"/>
      <c r="TDS1" s="10"/>
      <c r="TDT1" s="10"/>
      <c r="TDU1" s="10"/>
      <c r="TDV1" s="10"/>
      <c r="TDW1" s="10"/>
      <c r="TDX1" s="10"/>
      <c r="TDY1" s="10"/>
      <c r="TDZ1" s="10"/>
      <c r="TEA1" s="10"/>
      <c r="TEB1" s="10"/>
      <c r="TEC1" s="10"/>
      <c r="TED1" s="10"/>
      <c r="TEE1" s="10"/>
      <c r="TEF1" s="10"/>
      <c r="TEG1" s="10"/>
      <c r="TEH1" s="10"/>
      <c r="TEI1" s="10"/>
      <c r="TEJ1" s="10"/>
      <c r="TEK1" s="10"/>
      <c r="TEL1" s="10"/>
      <c r="TEM1" s="10"/>
      <c r="TEN1" s="10"/>
      <c r="TEO1" s="10"/>
      <c r="TEP1" s="10"/>
      <c r="TEQ1" s="10"/>
      <c r="TER1" s="10"/>
      <c r="TES1" s="10"/>
      <c r="TET1" s="10"/>
      <c r="TEU1" s="10"/>
      <c r="TEV1" s="10"/>
      <c r="TEW1" s="10"/>
      <c r="TEX1" s="10"/>
      <c r="TEY1" s="10"/>
      <c r="TEZ1" s="10"/>
      <c r="TFA1" s="10"/>
      <c r="TFB1" s="10"/>
      <c r="TFC1" s="10"/>
      <c r="TFD1" s="10"/>
      <c r="TFE1" s="10"/>
      <c r="TFF1" s="10"/>
      <c r="TFG1" s="10"/>
      <c r="TFH1" s="10"/>
      <c r="TFI1" s="10"/>
      <c r="TFJ1" s="10"/>
      <c r="TFK1" s="10"/>
      <c r="TFL1" s="10"/>
      <c r="TFM1" s="10"/>
      <c r="TFN1" s="10"/>
      <c r="TFO1" s="10"/>
      <c r="TFP1" s="10"/>
      <c r="TFQ1" s="10"/>
      <c r="TFR1" s="10"/>
      <c r="TFS1" s="10"/>
      <c r="TFT1" s="10"/>
      <c r="TFU1" s="10"/>
      <c r="TFV1" s="10"/>
      <c r="TFW1" s="10"/>
      <c r="TFX1" s="10"/>
      <c r="TFY1" s="10"/>
      <c r="TFZ1" s="10"/>
      <c r="TGA1" s="10"/>
      <c r="TGB1" s="10"/>
      <c r="TGC1" s="10"/>
      <c r="TGD1" s="10"/>
      <c r="TGE1" s="10"/>
      <c r="TGF1" s="10"/>
      <c r="TGG1" s="10"/>
      <c r="TGH1" s="10"/>
      <c r="TGI1" s="10"/>
      <c r="TGJ1" s="10"/>
      <c r="TGK1" s="10"/>
      <c r="TGL1" s="10"/>
      <c r="TGM1" s="10"/>
      <c r="TGN1" s="10"/>
      <c r="TGO1" s="10"/>
      <c r="TGP1" s="10"/>
      <c r="TGQ1" s="10"/>
      <c r="TGR1" s="10"/>
      <c r="TGS1" s="10"/>
      <c r="TGT1" s="10"/>
      <c r="TGU1" s="10"/>
      <c r="TGV1" s="10"/>
      <c r="TGW1" s="10"/>
      <c r="TGX1" s="10"/>
      <c r="TGY1" s="10"/>
      <c r="TGZ1" s="10"/>
      <c r="THA1" s="10"/>
      <c r="THB1" s="10"/>
      <c r="THC1" s="10"/>
      <c r="THD1" s="10"/>
      <c r="THE1" s="10"/>
      <c r="THF1" s="10"/>
      <c r="THG1" s="10"/>
      <c r="THH1" s="10"/>
      <c r="THI1" s="10"/>
      <c r="THJ1" s="10"/>
      <c r="THK1" s="10"/>
      <c r="THL1" s="10"/>
      <c r="THM1" s="10"/>
      <c r="THN1" s="10"/>
      <c r="THO1" s="10"/>
      <c r="THP1" s="10"/>
      <c r="THQ1" s="10"/>
      <c r="THR1" s="10"/>
      <c r="THS1" s="10"/>
      <c r="THT1" s="10"/>
      <c r="THU1" s="10"/>
      <c r="THV1" s="10"/>
      <c r="THW1" s="10"/>
      <c r="THX1" s="10"/>
      <c r="THY1" s="10"/>
      <c r="THZ1" s="10"/>
      <c r="TIA1" s="10"/>
      <c r="TIB1" s="10"/>
      <c r="TIC1" s="10"/>
      <c r="TID1" s="10"/>
      <c r="TIE1" s="10"/>
      <c r="TIF1" s="10"/>
      <c r="TIG1" s="10"/>
      <c r="TIH1" s="10"/>
      <c r="TII1" s="10"/>
      <c r="TIJ1" s="10"/>
      <c r="TIK1" s="10"/>
      <c r="TIL1" s="10"/>
      <c r="TIM1" s="10"/>
      <c r="TIN1" s="10"/>
      <c r="TIO1" s="10"/>
      <c r="TIP1" s="10"/>
      <c r="TIQ1" s="10"/>
      <c r="TIR1" s="10"/>
      <c r="TIS1" s="10"/>
      <c r="TIT1" s="10"/>
      <c r="TIU1" s="10"/>
      <c r="TIV1" s="10"/>
      <c r="TIW1" s="10"/>
      <c r="TIX1" s="10"/>
      <c r="TIY1" s="10"/>
      <c r="TIZ1" s="10"/>
      <c r="TJA1" s="10"/>
      <c r="TJB1" s="10"/>
      <c r="TJC1" s="10"/>
      <c r="TJD1" s="10"/>
      <c r="TJE1" s="10"/>
      <c r="TJF1" s="10"/>
      <c r="TJG1" s="10"/>
      <c r="TJH1" s="10"/>
      <c r="TJI1" s="10"/>
      <c r="TJJ1" s="10"/>
      <c r="TJK1" s="10"/>
      <c r="TJL1" s="10"/>
      <c r="TJM1" s="10"/>
      <c r="TJN1" s="10"/>
      <c r="TJO1" s="10"/>
      <c r="TJP1" s="10"/>
      <c r="TJQ1" s="10"/>
      <c r="TJR1" s="10"/>
      <c r="TJS1" s="10"/>
      <c r="TJT1" s="10"/>
      <c r="TJU1" s="10"/>
      <c r="TJV1" s="10"/>
      <c r="TJW1" s="10"/>
      <c r="TJX1" s="10"/>
      <c r="TJY1" s="10"/>
      <c r="TJZ1" s="10"/>
      <c r="TKA1" s="10"/>
      <c r="TKB1" s="10"/>
      <c r="TKC1" s="10"/>
      <c r="TKD1" s="10"/>
      <c r="TKE1" s="10"/>
      <c r="TKF1" s="10"/>
      <c r="TKG1" s="10"/>
      <c r="TKH1" s="10"/>
      <c r="TKI1" s="10"/>
      <c r="TKJ1" s="10"/>
      <c r="TKK1" s="10"/>
      <c r="TKL1" s="10"/>
      <c r="TKM1" s="10"/>
      <c r="TKN1" s="10"/>
      <c r="TKO1" s="10"/>
      <c r="TKP1" s="10"/>
      <c r="TKQ1" s="10"/>
      <c r="TKR1" s="10"/>
      <c r="TKS1" s="10"/>
      <c r="TKT1" s="10"/>
      <c r="TKU1" s="10"/>
      <c r="TKV1" s="10"/>
      <c r="TKW1" s="10"/>
      <c r="TKX1" s="10"/>
      <c r="TKY1" s="10"/>
      <c r="TKZ1" s="10"/>
      <c r="TLA1" s="10"/>
      <c r="TLB1" s="10"/>
      <c r="TLC1" s="10"/>
      <c r="TLD1" s="10"/>
      <c r="TLE1" s="10"/>
      <c r="TLF1" s="10"/>
      <c r="TLG1" s="10"/>
      <c r="TLH1" s="10"/>
      <c r="TLI1" s="10"/>
      <c r="TLJ1" s="10"/>
      <c r="TLK1" s="10"/>
      <c r="TLL1" s="10"/>
      <c r="TLM1" s="10"/>
      <c r="TLN1" s="10"/>
      <c r="TLO1" s="10"/>
      <c r="TLP1" s="10"/>
      <c r="TLQ1" s="10"/>
      <c r="TLR1" s="10"/>
      <c r="TLS1" s="10"/>
      <c r="TLT1" s="10"/>
      <c r="TLU1" s="10"/>
      <c r="TLV1" s="10"/>
      <c r="TLW1" s="10"/>
      <c r="TLX1" s="10"/>
      <c r="TLY1" s="10"/>
      <c r="TLZ1" s="10"/>
      <c r="TMA1" s="10"/>
      <c r="TMB1" s="10"/>
      <c r="TMC1" s="10"/>
      <c r="TMD1" s="10"/>
      <c r="TME1" s="10"/>
      <c r="TMF1" s="10"/>
      <c r="TMG1" s="10"/>
      <c r="TMH1" s="10"/>
      <c r="TMI1" s="10"/>
      <c r="TMJ1" s="10"/>
      <c r="TMK1" s="10"/>
      <c r="TML1" s="10"/>
      <c r="TMM1" s="10"/>
      <c r="TMN1" s="10"/>
      <c r="TMO1" s="10"/>
      <c r="TMP1" s="10"/>
      <c r="TMQ1" s="10"/>
      <c r="TMR1" s="10"/>
      <c r="TMS1" s="10"/>
      <c r="TMT1" s="10"/>
      <c r="TMU1" s="10"/>
      <c r="TMV1" s="10"/>
      <c r="TMW1" s="10"/>
      <c r="TMX1" s="10"/>
      <c r="TMY1" s="10"/>
      <c r="TMZ1" s="10"/>
      <c r="TNA1" s="10"/>
      <c r="TNB1" s="10"/>
      <c r="TNC1" s="10"/>
      <c r="TND1" s="10"/>
      <c r="TNE1" s="10"/>
      <c r="TNF1" s="10"/>
      <c r="TNG1" s="10"/>
      <c r="TNH1" s="10"/>
      <c r="TNI1" s="10"/>
      <c r="TNJ1" s="10"/>
      <c r="TNK1" s="10"/>
      <c r="TNL1" s="10"/>
      <c r="TNM1" s="10"/>
      <c r="TNN1" s="10"/>
      <c r="TNO1" s="10"/>
      <c r="TNP1" s="10"/>
      <c r="TNQ1" s="10"/>
      <c r="TNR1" s="10"/>
      <c r="TNS1" s="10"/>
      <c r="TNT1" s="10"/>
      <c r="TNU1" s="10"/>
      <c r="TNV1" s="10"/>
      <c r="TNW1" s="10"/>
      <c r="TNX1" s="10"/>
      <c r="TNY1" s="10"/>
      <c r="TNZ1" s="10"/>
      <c r="TOA1" s="10"/>
      <c r="TOB1" s="10"/>
      <c r="TOC1" s="10"/>
      <c r="TOD1" s="10"/>
      <c r="TOE1" s="10"/>
      <c r="TOF1" s="10"/>
      <c r="TOG1" s="10"/>
      <c r="TOH1" s="10"/>
      <c r="TOI1" s="10"/>
      <c r="TOJ1" s="10"/>
      <c r="TOK1" s="10"/>
      <c r="TOL1" s="10"/>
      <c r="TOM1" s="10"/>
      <c r="TON1" s="10"/>
      <c r="TOO1" s="10"/>
      <c r="TOP1" s="10"/>
      <c r="TOQ1" s="10"/>
      <c r="TOR1" s="10"/>
      <c r="TOS1" s="10"/>
      <c r="TOT1" s="10"/>
      <c r="TOU1" s="10"/>
      <c r="TOV1" s="10"/>
      <c r="TOW1" s="10"/>
      <c r="TOX1" s="10"/>
      <c r="TOY1" s="10"/>
      <c r="TOZ1" s="10"/>
      <c r="TPA1" s="10"/>
      <c r="TPB1" s="10"/>
      <c r="TPC1" s="10"/>
      <c r="TPD1" s="10"/>
      <c r="TPE1" s="10"/>
      <c r="TPF1" s="10"/>
      <c r="TPG1" s="10"/>
      <c r="TPH1" s="10"/>
      <c r="TPI1" s="10"/>
      <c r="TPJ1" s="10"/>
      <c r="TPK1" s="10"/>
      <c r="TPL1" s="10"/>
      <c r="TPM1" s="10"/>
      <c r="TPN1" s="10"/>
      <c r="TPO1" s="10"/>
      <c r="TPP1" s="10"/>
      <c r="TPQ1" s="10"/>
      <c r="TPR1" s="10"/>
      <c r="TPS1" s="10"/>
      <c r="TPT1" s="10"/>
      <c r="TPU1" s="10"/>
      <c r="TPV1" s="10"/>
      <c r="TPW1" s="10"/>
      <c r="TPX1" s="10"/>
      <c r="TPY1" s="10"/>
      <c r="TPZ1" s="10"/>
      <c r="TQA1" s="10"/>
      <c r="TQB1" s="10"/>
      <c r="TQC1" s="10"/>
      <c r="TQD1" s="10"/>
      <c r="TQE1" s="10"/>
      <c r="TQF1" s="10"/>
      <c r="TQG1" s="10"/>
      <c r="TQH1" s="10"/>
      <c r="TQI1" s="10"/>
      <c r="TQJ1" s="10"/>
      <c r="TQK1" s="10"/>
      <c r="TQL1" s="10"/>
      <c r="TQM1" s="10"/>
      <c r="TQN1" s="10"/>
      <c r="TQO1" s="10"/>
      <c r="TQP1" s="10"/>
      <c r="TQQ1" s="10"/>
      <c r="TQR1" s="10"/>
      <c r="TQS1" s="10"/>
      <c r="TQT1" s="10"/>
      <c r="TQU1" s="10"/>
      <c r="TQV1" s="10"/>
      <c r="TQW1" s="10"/>
      <c r="TQX1" s="10"/>
      <c r="TQY1" s="10"/>
      <c r="TQZ1" s="10"/>
      <c r="TRA1" s="10"/>
      <c r="TRB1" s="10"/>
      <c r="TRC1" s="10"/>
      <c r="TRD1" s="10"/>
      <c r="TRE1" s="10"/>
      <c r="TRF1" s="10"/>
      <c r="TRG1" s="10"/>
      <c r="TRH1" s="10"/>
      <c r="TRI1" s="10"/>
      <c r="TRJ1" s="10"/>
      <c r="TRK1" s="10"/>
      <c r="TRL1" s="10"/>
      <c r="TRM1" s="10"/>
      <c r="TRN1" s="10"/>
      <c r="TRO1" s="10"/>
      <c r="TRP1" s="10"/>
      <c r="TRQ1" s="10"/>
      <c r="TRR1" s="10"/>
      <c r="TRS1" s="10"/>
      <c r="TRT1" s="10"/>
      <c r="TRU1" s="10"/>
      <c r="TRV1" s="10"/>
      <c r="TRW1" s="10"/>
      <c r="TRX1" s="10"/>
      <c r="TRY1" s="10"/>
      <c r="TRZ1" s="10"/>
      <c r="TSA1" s="10"/>
      <c r="TSB1" s="10"/>
      <c r="TSC1" s="10"/>
      <c r="TSD1" s="10"/>
      <c r="TSE1" s="10"/>
      <c r="TSF1" s="10"/>
      <c r="TSG1" s="10"/>
      <c r="TSH1" s="10"/>
      <c r="TSI1" s="10"/>
      <c r="TSJ1" s="10"/>
      <c r="TSK1" s="10"/>
      <c r="TSL1" s="10"/>
      <c r="TSM1" s="10"/>
      <c r="TSN1" s="10"/>
      <c r="TSO1" s="10"/>
      <c r="TSP1" s="10"/>
      <c r="TSQ1" s="10"/>
      <c r="TSR1" s="10"/>
      <c r="TSS1" s="10"/>
      <c r="TST1" s="10"/>
      <c r="TSU1" s="10"/>
      <c r="TSV1" s="10"/>
      <c r="TSW1" s="10"/>
      <c r="TSX1" s="10"/>
      <c r="TSY1" s="10"/>
      <c r="TSZ1" s="10"/>
      <c r="TTA1" s="10"/>
      <c r="TTB1" s="10"/>
      <c r="TTC1" s="10"/>
      <c r="TTD1" s="10"/>
      <c r="TTE1" s="10"/>
      <c r="TTF1" s="10"/>
      <c r="TTG1" s="10"/>
      <c r="TTH1" s="10"/>
      <c r="TTI1" s="10"/>
      <c r="TTJ1" s="10"/>
      <c r="TTK1" s="10"/>
      <c r="TTL1" s="10"/>
      <c r="TTM1" s="10"/>
      <c r="TTN1" s="10"/>
      <c r="TTO1" s="10"/>
      <c r="TTP1" s="10"/>
      <c r="TTQ1" s="10"/>
      <c r="TTR1" s="10"/>
      <c r="TTS1" s="10"/>
      <c r="TTT1" s="10"/>
      <c r="TTU1" s="10"/>
      <c r="TTV1" s="10"/>
      <c r="TTW1" s="10"/>
      <c r="TTX1" s="10"/>
      <c r="TTY1" s="10"/>
      <c r="TTZ1" s="10"/>
      <c r="TUA1" s="10"/>
      <c r="TUB1" s="10"/>
      <c r="TUC1" s="10"/>
      <c r="TUD1" s="10"/>
      <c r="TUE1" s="10"/>
      <c r="TUF1" s="10"/>
      <c r="TUG1" s="10"/>
      <c r="TUH1" s="10"/>
      <c r="TUI1" s="10"/>
      <c r="TUJ1" s="10"/>
      <c r="TUK1" s="10"/>
      <c r="TUL1" s="10"/>
      <c r="TUM1" s="10"/>
      <c r="TUN1" s="10"/>
      <c r="TUO1" s="10"/>
      <c r="TUP1" s="10"/>
      <c r="TUQ1" s="10"/>
      <c r="TUR1" s="10"/>
      <c r="TUS1" s="10"/>
      <c r="TUT1" s="10"/>
      <c r="TUU1" s="10"/>
      <c r="TUV1" s="10"/>
      <c r="TUW1" s="10"/>
      <c r="TUX1" s="10"/>
      <c r="TUY1" s="10"/>
      <c r="TUZ1" s="10"/>
      <c r="TVA1" s="10"/>
      <c r="TVB1" s="10"/>
      <c r="TVC1" s="10"/>
      <c r="TVD1" s="10"/>
      <c r="TVE1" s="10"/>
      <c r="TVF1" s="10"/>
      <c r="TVG1" s="10"/>
      <c r="TVH1" s="10"/>
      <c r="TVI1" s="10"/>
      <c r="TVJ1" s="10"/>
      <c r="TVK1" s="10"/>
      <c r="TVL1" s="10"/>
      <c r="TVM1" s="10"/>
      <c r="TVN1" s="10"/>
      <c r="TVO1" s="10"/>
      <c r="TVP1" s="10"/>
      <c r="TVQ1" s="10"/>
      <c r="TVR1" s="10"/>
      <c r="TVS1" s="10"/>
      <c r="TVT1" s="10"/>
      <c r="TVU1" s="10"/>
      <c r="TVV1" s="10"/>
      <c r="TVW1" s="10"/>
      <c r="TVX1" s="10"/>
      <c r="TVY1" s="10"/>
      <c r="TVZ1" s="10"/>
      <c r="TWA1" s="10"/>
      <c r="TWB1" s="10"/>
      <c r="TWC1" s="10"/>
      <c r="TWD1" s="10"/>
      <c r="TWE1" s="10"/>
      <c r="TWF1" s="10"/>
      <c r="TWG1" s="10"/>
      <c r="TWH1" s="10"/>
      <c r="TWI1" s="10"/>
      <c r="TWJ1" s="10"/>
      <c r="TWK1" s="10"/>
      <c r="TWL1" s="10"/>
      <c r="TWM1" s="10"/>
      <c r="TWN1" s="10"/>
      <c r="TWO1" s="10"/>
      <c r="TWP1" s="10"/>
      <c r="TWQ1" s="10"/>
      <c r="TWR1" s="10"/>
      <c r="TWS1" s="10"/>
      <c r="TWT1" s="10"/>
      <c r="TWU1" s="10"/>
      <c r="TWV1" s="10"/>
      <c r="TWW1" s="10"/>
      <c r="TWX1" s="10"/>
      <c r="TWY1" s="10"/>
      <c r="TWZ1" s="10"/>
      <c r="TXA1" s="10"/>
      <c r="TXB1" s="10"/>
      <c r="TXC1" s="10"/>
      <c r="TXD1" s="10"/>
      <c r="TXE1" s="10"/>
      <c r="TXF1" s="10"/>
      <c r="TXG1" s="10"/>
      <c r="TXH1" s="10"/>
      <c r="TXI1" s="10"/>
      <c r="TXJ1" s="10"/>
      <c r="TXK1" s="10"/>
      <c r="TXL1" s="10"/>
      <c r="TXM1" s="10"/>
      <c r="TXN1" s="10"/>
      <c r="TXO1" s="10"/>
      <c r="TXP1" s="10"/>
      <c r="TXQ1" s="10"/>
      <c r="TXR1" s="10"/>
      <c r="TXS1" s="10"/>
      <c r="TXT1" s="10"/>
      <c r="TXU1" s="10"/>
      <c r="TXV1" s="10"/>
      <c r="TXW1" s="10"/>
      <c r="TXX1" s="10"/>
      <c r="TXY1" s="10"/>
      <c r="TXZ1" s="10"/>
      <c r="TYA1" s="10"/>
      <c r="TYB1" s="10"/>
      <c r="TYC1" s="10"/>
      <c r="TYD1" s="10"/>
      <c r="TYE1" s="10"/>
      <c r="TYF1" s="10"/>
      <c r="TYG1" s="10"/>
      <c r="TYH1" s="10"/>
      <c r="TYI1" s="10"/>
      <c r="TYJ1" s="10"/>
      <c r="TYK1" s="10"/>
      <c r="TYL1" s="10"/>
      <c r="TYM1" s="10"/>
      <c r="TYN1" s="10"/>
      <c r="TYO1" s="10"/>
      <c r="TYP1" s="10"/>
      <c r="TYQ1" s="10"/>
      <c r="TYR1" s="10"/>
      <c r="TYS1" s="10"/>
      <c r="TYT1" s="10"/>
      <c r="TYU1" s="10"/>
      <c r="TYV1" s="10"/>
      <c r="TYW1" s="10"/>
      <c r="TYX1" s="10"/>
      <c r="TYY1" s="10"/>
      <c r="TYZ1" s="10"/>
      <c r="TZA1" s="10"/>
      <c r="TZB1" s="10"/>
      <c r="TZC1" s="10"/>
      <c r="TZD1" s="10"/>
      <c r="TZE1" s="10"/>
      <c r="TZF1" s="10"/>
      <c r="TZG1" s="10"/>
      <c r="TZH1" s="10"/>
      <c r="TZI1" s="10"/>
      <c r="TZJ1" s="10"/>
      <c r="TZK1" s="10"/>
      <c r="TZL1" s="10"/>
      <c r="TZM1" s="10"/>
      <c r="TZN1" s="10"/>
      <c r="TZO1" s="10"/>
      <c r="TZP1" s="10"/>
      <c r="TZQ1" s="10"/>
      <c r="TZR1" s="10"/>
      <c r="TZS1" s="10"/>
      <c r="TZT1" s="10"/>
      <c r="TZU1" s="10"/>
      <c r="TZV1" s="10"/>
      <c r="TZW1" s="10"/>
      <c r="TZX1" s="10"/>
      <c r="TZY1" s="10"/>
      <c r="TZZ1" s="10"/>
      <c r="UAA1" s="10"/>
      <c r="UAB1" s="10"/>
      <c r="UAC1" s="10"/>
      <c r="UAD1" s="10"/>
      <c r="UAE1" s="10"/>
      <c r="UAF1" s="10"/>
      <c r="UAG1" s="10"/>
      <c r="UAH1" s="10"/>
      <c r="UAI1" s="10"/>
      <c r="UAJ1" s="10"/>
      <c r="UAK1" s="10"/>
      <c r="UAL1" s="10"/>
      <c r="UAM1" s="10"/>
      <c r="UAN1" s="10"/>
      <c r="UAO1" s="10"/>
      <c r="UAP1" s="10"/>
      <c r="UAQ1" s="10"/>
      <c r="UAR1" s="10"/>
      <c r="UAS1" s="10"/>
      <c r="UAT1" s="10"/>
      <c r="UAU1" s="10"/>
      <c r="UAV1" s="10"/>
      <c r="UAW1" s="10"/>
      <c r="UAX1" s="10"/>
      <c r="UAY1" s="10"/>
      <c r="UAZ1" s="10"/>
      <c r="UBA1" s="10"/>
      <c r="UBB1" s="10"/>
      <c r="UBC1" s="10"/>
      <c r="UBD1" s="10"/>
      <c r="UBE1" s="10"/>
      <c r="UBF1" s="10"/>
      <c r="UBG1" s="10"/>
      <c r="UBH1" s="10"/>
      <c r="UBI1" s="10"/>
      <c r="UBJ1" s="10"/>
      <c r="UBK1" s="10"/>
      <c r="UBL1" s="10"/>
      <c r="UBM1" s="10"/>
      <c r="UBN1" s="10"/>
      <c r="UBO1" s="10"/>
      <c r="UBP1" s="10"/>
      <c r="UBQ1" s="10"/>
      <c r="UBR1" s="10"/>
      <c r="UBS1" s="10"/>
      <c r="UBT1" s="10"/>
      <c r="UBU1" s="10"/>
      <c r="UBV1" s="10"/>
      <c r="UBW1" s="10"/>
      <c r="UBX1" s="10"/>
      <c r="UBY1" s="10"/>
      <c r="UBZ1" s="10"/>
      <c r="UCA1" s="10"/>
      <c r="UCB1" s="10"/>
      <c r="UCC1" s="10"/>
      <c r="UCD1" s="10"/>
      <c r="UCE1" s="10"/>
      <c r="UCF1" s="10"/>
      <c r="UCG1" s="10"/>
      <c r="UCH1" s="10"/>
      <c r="UCI1" s="10"/>
      <c r="UCJ1" s="10"/>
      <c r="UCK1" s="10"/>
      <c r="UCL1" s="10"/>
      <c r="UCM1" s="10"/>
      <c r="UCN1" s="10"/>
      <c r="UCO1" s="10"/>
      <c r="UCP1" s="10"/>
      <c r="UCQ1" s="10"/>
      <c r="UCR1" s="10"/>
      <c r="UCS1" s="10"/>
      <c r="UCT1" s="10"/>
      <c r="UCU1" s="10"/>
      <c r="UCV1" s="10"/>
      <c r="UCW1" s="10"/>
      <c r="UCX1" s="10"/>
      <c r="UCY1" s="10"/>
      <c r="UCZ1" s="10"/>
      <c r="UDA1" s="10"/>
      <c r="UDB1" s="10"/>
      <c r="UDC1" s="10"/>
      <c r="UDD1" s="10"/>
      <c r="UDE1" s="10"/>
      <c r="UDF1" s="10"/>
      <c r="UDG1" s="10"/>
      <c r="UDH1" s="10"/>
      <c r="UDI1" s="10"/>
      <c r="UDJ1" s="10"/>
      <c r="UDK1" s="10"/>
      <c r="UDL1" s="10"/>
      <c r="UDM1" s="10"/>
      <c r="UDN1" s="10"/>
      <c r="UDO1" s="10"/>
      <c r="UDP1" s="10"/>
      <c r="UDQ1" s="10"/>
      <c r="UDR1" s="10"/>
      <c r="UDS1" s="10"/>
      <c r="UDT1" s="10"/>
      <c r="UDU1" s="10"/>
      <c r="UDV1" s="10"/>
      <c r="UDW1" s="10"/>
      <c r="UDX1" s="10"/>
      <c r="UDY1" s="10"/>
      <c r="UDZ1" s="10"/>
      <c r="UEA1" s="10"/>
      <c r="UEB1" s="10"/>
      <c r="UEC1" s="10"/>
      <c r="UED1" s="10"/>
      <c r="UEE1" s="10"/>
      <c r="UEF1" s="10"/>
      <c r="UEG1" s="10"/>
      <c r="UEH1" s="10"/>
      <c r="UEI1" s="10"/>
      <c r="UEJ1" s="10"/>
      <c r="UEK1" s="10"/>
      <c r="UEL1" s="10"/>
      <c r="UEM1" s="10"/>
      <c r="UEN1" s="10"/>
      <c r="UEO1" s="10"/>
      <c r="UEP1" s="10"/>
      <c r="UEQ1" s="10"/>
      <c r="UER1" s="10"/>
      <c r="UES1" s="10"/>
      <c r="UET1" s="10"/>
      <c r="UEU1" s="10"/>
      <c r="UEV1" s="10"/>
      <c r="UEW1" s="10"/>
      <c r="UEX1" s="10"/>
      <c r="UEY1" s="10"/>
      <c r="UEZ1" s="10"/>
      <c r="UFA1" s="10"/>
      <c r="UFB1" s="10"/>
      <c r="UFC1" s="10"/>
      <c r="UFD1" s="10"/>
      <c r="UFE1" s="10"/>
      <c r="UFF1" s="10"/>
      <c r="UFG1" s="10"/>
      <c r="UFH1" s="10"/>
      <c r="UFI1" s="10"/>
      <c r="UFJ1" s="10"/>
      <c r="UFK1" s="10"/>
      <c r="UFL1" s="10"/>
      <c r="UFM1" s="10"/>
      <c r="UFN1" s="10"/>
      <c r="UFO1" s="10"/>
      <c r="UFP1" s="10"/>
      <c r="UFQ1" s="10"/>
      <c r="UFR1" s="10"/>
      <c r="UFS1" s="10"/>
      <c r="UFT1" s="10"/>
      <c r="UFU1" s="10"/>
      <c r="UFV1" s="10"/>
      <c r="UFW1" s="10"/>
      <c r="UFX1" s="10"/>
      <c r="UFY1" s="10"/>
      <c r="UFZ1" s="10"/>
      <c r="UGA1" s="10"/>
      <c r="UGB1" s="10"/>
      <c r="UGC1" s="10"/>
      <c r="UGD1" s="10"/>
      <c r="UGE1" s="10"/>
      <c r="UGF1" s="10"/>
      <c r="UGG1" s="10"/>
      <c r="UGH1" s="10"/>
      <c r="UGI1" s="10"/>
      <c r="UGJ1" s="10"/>
      <c r="UGK1" s="10"/>
      <c r="UGL1" s="10"/>
      <c r="UGM1" s="10"/>
      <c r="UGN1" s="10"/>
      <c r="UGO1" s="10"/>
      <c r="UGP1" s="10"/>
      <c r="UGQ1" s="10"/>
      <c r="UGR1" s="10"/>
      <c r="UGS1" s="10"/>
      <c r="UGT1" s="10"/>
      <c r="UGU1" s="10"/>
      <c r="UGV1" s="10"/>
      <c r="UGW1" s="10"/>
      <c r="UGX1" s="10"/>
      <c r="UGY1" s="10"/>
      <c r="UGZ1" s="10"/>
      <c r="UHA1" s="10"/>
      <c r="UHB1" s="10"/>
      <c r="UHC1" s="10"/>
      <c r="UHD1" s="10"/>
      <c r="UHE1" s="10"/>
      <c r="UHF1" s="10"/>
      <c r="UHG1" s="10"/>
      <c r="UHH1" s="10"/>
      <c r="UHI1" s="10"/>
      <c r="UHJ1" s="10"/>
      <c r="UHK1" s="10"/>
      <c r="UHL1" s="10"/>
      <c r="UHM1" s="10"/>
      <c r="UHN1" s="10"/>
      <c r="UHO1" s="10"/>
      <c r="UHP1" s="10"/>
      <c r="UHQ1" s="10"/>
      <c r="UHR1" s="10"/>
      <c r="UHS1" s="10"/>
      <c r="UHT1" s="10"/>
      <c r="UHU1" s="10"/>
      <c r="UHV1" s="10"/>
      <c r="UHW1" s="10"/>
      <c r="UHX1" s="10"/>
      <c r="UHY1" s="10"/>
      <c r="UHZ1" s="10"/>
      <c r="UIA1" s="10"/>
      <c r="UIB1" s="10"/>
      <c r="UIC1" s="10"/>
      <c r="UID1" s="10"/>
      <c r="UIE1" s="10"/>
      <c r="UIF1" s="10"/>
      <c r="UIG1" s="10"/>
      <c r="UIH1" s="10"/>
      <c r="UII1" s="10"/>
      <c r="UIJ1" s="10"/>
      <c r="UIK1" s="10"/>
      <c r="UIL1" s="10"/>
      <c r="UIM1" s="10"/>
      <c r="UIN1" s="10"/>
      <c r="UIO1" s="10"/>
      <c r="UIP1" s="10"/>
      <c r="UIQ1" s="10"/>
      <c r="UIR1" s="10"/>
      <c r="UIS1" s="10"/>
      <c r="UIT1" s="10"/>
      <c r="UIU1" s="10"/>
      <c r="UIV1" s="10"/>
      <c r="UIW1" s="10"/>
      <c r="UIX1" s="10"/>
      <c r="UIY1" s="10"/>
      <c r="UIZ1" s="10"/>
      <c r="UJA1" s="10"/>
      <c r="UJB1" s="10"/>
      <c r="UJC1" s="10"/>
      <c r="UJD1" s="10"/>
      <c r="UJE1" s="10"/>
      <c r="UJF1" s="10"/>
      <c r="UJG1" s="10"/>
      <c r="UJH1" s="10"/>
      <c r="UJI1" s="10"/>
      <c r="UJJ1" s="10"/>
      <c r="UJK1" s="10"/>
      <c r="UJL1" s="10"/>
      <c r="UJM1" s="10"/>
      <c r="UJN1" s="10"/>
      <c r="UJO1" s="10"/>
      <c r="UJP1" s="10"/>
      <c r="UJQ1" s="10"/>
      <c r="UJR1" s="10"/>
      <c r="UJS1" s="10"/>
      <c r="UJT1" s="10"/>
      <c r="UJU1" s="10"/>
      <c r="UJV1" s="10"/>
      <c r="UJW1" s="10"/>
      <c r="UJX1" s="10"/>
      <c r="UJY1" s="10"/>
      <c r="UJZ1" s="10"/>
      <c r="UKA1" s="10"/>
      <c r="UKB1" s="10"/>
      <c r="UKC1" s="10"/>
      <c r="UKD1" s="10"/>
      <c r="UKE1" s="10"/>
      <c r="UKF1" s="10"/>
      <c r="UKG1" s="10"/>
      <c r="UKH1" s="10"/>
      <c r="UKI1" s="10"/>
      <c r="UKJ1" s="10"/>
      <c r="UKK1" s="10"/>
      <c r="UKL1" s="10"/>
      <c r="UKM1" s="10"/>
      <c r="UKN1" s="10"/>
      <c r="UKO1" s="10"/>
      <c r="UKP1" s="10"/>
      <c r="UKQ1" s="10"/>
      <c r="UKR1" s="10"/>
      <c r="UKS1" s="10"/>
      <c r="UKT1" s="10"/>
      <c r="UKU1" s="10"/>
      <c r="UKV1" s="10"/>
      <c r="UKW1" s="10"/>
      <c r="UKX1" s="10"/>
      <c r="UKY1" s="10"/>
      <c r="UKZ1" s="10"/>
      <c r="ULA1" s="10"/>
      <c r="ULB1" s="10"/>
      <c r="ULC1" s="10"/>
      <c r="ULD1" s="10"/>
      <c r="ULE1" s="10"/>
      <c r="ULF1" s="10"/>
      <c r="ULG1" s="10"/>
      <c r="ULH1" s="10"/>
      <c r="ULI1" s="10"/>
      <c r="ULJ1" s="10"/>
      <c r="ULK1" s="10"/>
      <c r="ULL1" s="10"/>
      <c r="ULM1" s="10"/>
      <c r="ULN1" s="10"/>
      <c r="ULO1" s="10"/>
      <c r="ULP1" s="10"/>
      <c r="ULQ1" s="10"/>
      <c r="ULR1" s="10"/>
      <c r="ULS1" s="10"/>
      <c r="ULT1" s="10"/>
      <c r="ULU1" s="10"/>
      <c r="ULV1" s="10"/>
      <c r="ULW1" s="10"/>
      <c r="ULX1" s="10"/>
      <c r="ULY1" s="10"/>
      <c r="ULZ1" s="10"/>
      <c r="UMA1" s="10"/>
      <c r="UMB1" s="10"/>
      <c r="UMC1" s="10"/>
      <c r="UMD1" s="10"/>
      <c r="UME1" s="10"/>
      <c r="UMF1" s="10"/>
      <c r="UMG1" s="10"/>
      <c r="UMH1" s="10"/>
      <c r="UMI1" s="10"/>
      <c r="UMJ1" s="10"/>
      <c r="UMK1" s="10"/>
      <c r="UML1" s="10"/>
      <c r="UMM1" s="10"/>
      <c r="UMN1" s="10"/>
      <c r="UMO1" s="10"/>
      <c r="UMP1" s="10"/>
      <c r="UMQ1" s="10"/>
      <c r="UMR1" s="10"/>
      <c r="UMS1" s="10"/>
      <c r="UMT1" s="10"/>
      <c r="UMU1" s="10"/>
      <c r="UMV1" s="10"/>
      <c r="UMW1" s="10"/>
      <c r="UMX1" s="10"/>
      <c r="UMY1" s="10"/>
      <c r="UMZ1" s="10"/>
      <c r="UNA1" s="10"/>
      <c r="UNB1" s="10"/>
      <c r="UNC1" s="10"/>
      <c r="UND1" s="10"/>
      <c r="UNE1" s="10"/>
      <c r="UNF1" s="10"/>
      <c r="UNG1" s="10"/>
      <c r="UNH1" s="10"/>
      <c r="UNI1" s="10"/>
      <c r="UNJ1" s="10"/>
      <c r="UNK1" s="10"/>
      <c r="UNL1" s="10"/>
      <c r="UNM1" s="10"/>
      <c r="UNN1" s="10"/>
      <c r="UNO1" s="10"/>
      <c r="UNP1" s="10"/>
      <c r="UNQ1" s="10"/>
      <c r="UNR1" s="10"/>
      <c r="UNS1" s="10"/>
      <c r="UNT1" s="10"/>
      <c r="UNU1" s="10"/>
      <c r="UNV1" s="10"/>
      <c r="UNW1" s="10"/>
      <c r="UNX1" s="10"/>
      <c r="UNY1" s="10"/>
      <c r="UNZ1" s="10"/>
      <c r="UOA1" s="10"/>
      <c r="UOB1" s="10"/>
      <c r="UOC1" s="10"/>
      <c r="UOD1" s="10"/>
      <c r="UOE1" s="10"/>
      <c r="UOF1" s="10"/>
      <c r="UOG1" s="10"/>
      <c r="UOH1" s="10"/>
      <c r="UOI1" s="10"/>
      <c r="UOJ1" s="10"/>
      <c r="UOK1" s="10"/>
      <c r="UOL1" s="10"/>
      <c r="UOM1" s="10"/>
      <c r="UON1" s="10"/>
      <c r="UOO1" s="10"/>
      <c r="UOP1" s="10"/>
      <c r="UOQ1" s="10"/>
      <c r="UOR1" s="10"/>
      <c r="UOS1" s="10"/>
      <c r="UOT1" s="10"/>
      <c r="UOU1" s="10"/>
      <c r="UOV1" s="10"/>
      <c r="UOW1" s="10"/>
      <c r="UOX1" s="10"/>
      <c r="UOY1" s="10"/>
      <c r="UOZ1" s="10"/>
      <c r="UPA1" s="10"/>
      <c r="UPB1" s="10"/>
      <c r="UPC1" s="10"/>
      <c r="UPD1" s="10"/>
      <c r="UPE1" s="10"/>
      <c r="UPF1" s="10"/>
      <c r="UPG1" s="10"/>
      <c r="UPH1" s="10"/>
      <c r="UPI1" s="10"/>
      <c r="UPJ1" s="10"/>
      <c r="UPK1" s="10"/>
      <c r="UPL1" s="10"/>
      <c r="UPM1" s="10"/>
      <c r="UPN1" s="10"/>
      <c r="UPO1" s="10"/>
      <c r="UPP1" s="10"/>
      <c r="UPQ1" s="10"/>
      <c r="UPR1" s="10"/>
      <c r="UPS1" s="10"/>
      <c r="UPT1" s="10"/>
      <c r="UPU1" s="10"/>
      <c r="UPV1" s="10"/>
      <c r="UPW1" s="10"/>
      <c r="UPX1" s="10"/>
      <c r="UPY1" s="10"/>
      <c r="UPZ1" s="10"/>
      <c r="UQA1" s="10"/>
      <c r="UQB1" s="10"/>
      <c r="UQC1" s="10"/>
      <c r="UQD1" s="10"/>
      <c r="UQE1" s="10"/>
      <c r="UQF1" s="10"/>
      <c r="UQG1" s="10"/>
      <c r="UQH1" s="10"/>
      <c r="UQI1" s="10"/>
      <c r="UQJ1" s="10"/>
      <c r="UQK1" s="10"/>
      <c r="UQL1" s="10"/>
      <c r="UQM1" s="10"/>
      <c r="UQN1" s="10"/>
      <c r="UQO1" s="10"/>
      <c r="UQP1" s="10"/>
      <c r="UQQ1" s="10"/>
      <c r="UQR1" s="10"/>
      <c r="UQS1" s="10"/>
      <c r="UQT1" s="10"/>
      <c r="UQU1" s="10"/>
      <c r="UQV1" s="10"/>
      <c r="UQW1" s="10"/>
      <c r="UQX1" s="10"/>
      <c r="UQY1" s="10"/>
      <c r="UQZ1" s="10"/>
      <c r="URA1" s="10"/>
      <c r="URB1" s="10"/>
      <c r="URC1" s="10"/>
      <c r="URD1" s="10"/>
      <c r="URE1" s="10"/>
      <c r="URF1" s="10"/>
      <c r="URG1" s="10"/>
      <c r="URH1" s="10"/>
      <c r="URI1" s="10"/>
      <c r="URJ1" s="10"/>
      <c r="URK1" s="10"/>
      <c r="URL1" s="10"/>
      <c r="URM1" s="10"/>
      <c r="URN1" s="10"/>
      <c r="URO1" s="10"/>
      <c r="URP1" s="10"/>
      <c r="URQ1" s="10"/>
      <c r="URR1" s="10"/>
      <c r="URS1" s="10"/>
      <c r="URT1" s="10"/>
      <c r="URU1" s="10"/>
      <c r="URV1" s="10"/>
      <c r="URW1" s="10"/>
      <c r="URX1" s="10"/>
      <c r="URY1" s="10"/>
      <c r="URZ1" s="10"/>
      <c r="USA1" s="10"/>
      <c r="USB1" s="10"/>
      <c r="USC1" s="10"/>
      <c r="USD1" s="10"/>
      <c r="USE1" s="10"/>
      <c r="USF1" s="10"/>
      <c r="USG1" s="10"/>
      <c r="USH1" s="10"/>
      <c r="USI1" s="10"/>
      <c r="USJ1" s="10"/>
      <c r="USK1" s="10"/>
      <c r="USL1" s="10"/>
      <c r="USM1" s="10"/>
      <c r="USN1" s="10"/>
      <c r="USO1" s="10"/>
      <c r="USP1" s="10"/>
      <c r="USQ1" s="10"/>
      <c r="USR1" s="10"/>
      <c r="USS1" s="10"/>
      <c r="UST1" s="10"/>
      <c r="USU1" s="10"/>
      <c r="USV1" s="10"/>
      <c r="USW1" s="10"/>
      <c r="USX1" s="10"/>
      <c r="USY1" s="10"/>
      <c r="USZ1" s="10"/>
      <c r="UTA1" s="10"/>
      <c r="UTB1" s="10"/>
      <c r="UTC1" s="10"/>
      <c r="UTD1" s="10"/>
      <c r="UTE1" s="10"/>
      <c r="UTF1" s="10"/>
      <c r="UTG1" s="10"/>
      <c r="UTH1" s="10"/>
      <c r="UTI1" s="10"/>
      <c r="UTJ1" s="10"/>
      <c r="UTK1" s="10"/>
      <c r="UTL1" s="10"/>
      <c r="UTM1" s="10"/>
      <c r="UTN1" s="10"/>
      <c r="UTO1" s="10"/>
      <c r="UTP1" s="10"/>
      <c r="UTQ1" s="10"/>
      <c r="UTR1" s="10"/>
      <c r="UTS1" s="10"/>
      <c r="UTT1" s="10"/>
      <c r="UTU1" s="10"/>
      <c r="UTV1" s="10"/>
      <c r="UTW1" s="10"/>
      <c r="UTX1" s="10"/>
      <c r="UTY1" s="10"/>
      <c r="UTZ1" s="10"/>
      <c r="UUA1" s="10"/>
      <c r="UUB1" s="10"/>
      <c r="UUC1" s="10"/>
      <c r="UUD1" s="10"/>
      <c r="UUE1" s="10"/>
      <c r="UUF1" s="10"/>
      <c r="UUG1" s="10"/>
      <c r="UUH1" s="10"/>
      <c r="UUI1" s="10"/>
      <c r="UUJ1" s="10"/>
      <c r="UUK1" s="10"/>
      <c r="UUL1" s="10"/>
      <c r="UUM1" s="10"/>
      <c r="UUN1" s="10"/>
      <c r="UUO1" s="10"/>
      <c r="UUP1" s="10"/>
      <c r="UUQ1" s="10"/>
      <c r="UUR1" s="10"/>
      <c r="UUS1" s="10"/>
      <c r="UUT1" s="10"/>
      <c r="UUU1" s="10"/>
      <c r="UUV1" s="10"/>
      <c r="UUW1" s="10"/>
      <c r="UUX1" s="10"/>
      <c r="UUY1" s="10"/>
      <c r="UUZ1" s="10"/>
      <c r="UVA1" s="10"/>
      <c r="UVB1" s="10"/>
      <c r="UVC1" s="10"/>
      <c r="UVD1" s="10"/>
      <c r="UVE1" s="10"/>
      <c r="UVF1" s="10"/>
      <c r="UVG1" s="10"/>
      <c r="UVH1" s="10"/>
      <c r="UVI1" s="10"/>
      <c r="UVJ1" s="10"/>
      <c r="UVK1" s="10"/>
      <c r="UVL1" s="10"/>
      <c r="UVM1" s="10"/>
      <c r="UVN1" s="10"/>
      <c r="UVO1" s="10"/>
      <c r="UVP1" s="10"/>
      <c r="UVQ1" s="10"/>
      <c r="UVR1" s="10"/>
      <c r="UVS1" s="10"/>
      <c r="UVT1" s="10"/>
      <c r="UVU1" s="10"/>
      <c r="UVV1" s="10"/>
      <c r="UVW1" s="10"/>
      <c r="UVX1" s="10"/>
      <c r="UVY1" s="10"/>
      <c r="UVZ1" s="10"/>
      <c r="UWA1" s="10"/>
      <c r="UWB1" s="10"/>
      <c r="UWC1" s="10"/>
      <c r="UWD1" s="10"/>
      <c r="UWE1" s="10"/>
      <c r="UWF1" s="10"/>
      <c r="UWG1" s="10"/>
      <c r="UWH1" s="10"/>
      <c r="UWI1" s="10"/>
      <c r="UWJ1" s="10"/>
      <c r="UWK1" s="10"/>
      <c r="UWL1" s="10"/>
      <c r="UWM1" s="10"/>
      <c r="UWN1" s="10"/>
      <c r="UWO1" s="10"/>
      <c r="UWP1" s="10"/>
      <c r="UWQ1" s="10"/>
      <c r="UWR1" s="10"/>
      <c r="UWS1" s="10"/>
      <c r="UWT1" s="10"/>
      <c r="UWU1" s="10"/>
      <c r="UWV1" s="10"/>
      <c r="UWW1" s="10"/>
      <c r="UWX1" s="10"/>
      <c r="UWY1" s="10"/>
      <c r="UWZ1" s="10"/>
      <c r="UXA1" s="10"/>
      <c r="UXB1" s="10"/>
      <c r="UXC1" s="10"/>
      <c r="UXD1" s="10"/>
      <c r="UXE1" s="10"/>
      <c r="UXF1" s="10"/>
      <c r="UXG1" s="10"/>
      <c r="UXH1" s="10"/>
      <c r="UXI1" s="10"/>
      <c r="UXJ1" s="10"/>
      <c r="UXK1" s="10"/>
      <c r="UXL1" s="10"/>
      <c r="UXM1" s="10"/>
      <c r="UXN1" s="10"/>
      <c r="UXO1" s="10"/>
      <c r="UXP1" s="10"/>
      <c r="UXQ1" s="10"/>
      <c r="UXR1" s="10"/>
      <c r="UXS1" s="10"/>
      <c r="UXT1" s="10"/>
      <c r="UXU1" s="10"/>
      <c r="UXV1" s="10"/>
      <c r="UXW1" s="10"/>
      <c r="UXX1" s="10"/>
      <c r="UXY1" s="10"/>
      <c r="UXZ1" s="10"/>
      <c r="UYA1" s="10"/>
      <c r="UYB1" s="10"/>
      <c r="UYC1" s="10"/>
      <c r="UYD1" s="10"/>
      <c r="UYE1" s="10"/>
      <c r="UYF1" s="10"/>
      <c r="UYG1" s="10"/>
      <c r="UYH1" s="10"/>
      <c r="UYI1" s="10"/>
      <c r="UYJ1" s="10"/>
      <c r="UYK1" s="10"/>
      <c r="UYL1" s="10"/>
      <c r="UYM1" s="10"/>
      <c r="UYN1" s="10"/>
      <c r="UYO1" s="10"/>
      <c r="UYP1" s="10"/>
      <c r="UYQ1" s="10"/>
      <c r="UYR1" s="10"/>
      <c r="UYS1" s="10"/>
      <c r="UYT1" s="10"/>
      <c r="UYU1" s="10"/>
      <c r="UYV1" s="10"/>
      <c r="UYW1" s="10"/>
      <c r="UYX1" s="10"/>
      <c r="UYY1" s="10"/>
      <c r="UYZ1" s="10"/>
      <c r="UZA1" s="10"/>
      <c r="UZB1" s="10"/>
      <c r="UZC1" s="10"/>
      <c r="UZD1" s="10"/>
      <c r="UZE1" s="10"/>
      <c r="UZF1" s="10"/>
      <c r="UZG1" s="10"/>
      <c r="UZH1" s="10"/>
      <c r="UZI1" s="10"/>
      <c r="UZJ1" s="10"/>
      <c r="UZK1" s="10"/>
      <c r="UZL1" s="10"/>
      <c r="UZM1" s="10"/>
      <c r="UZN1" s="10"/>
      <c r="UZO1" s="10"/>
      <c r="UZP1" s="10"/>
      <c r="UZQ1" s="10"/>
      <c r="UZR1" s="10"/>
      <c r="UZS1" s="10"/>
      <c r="UZT1" s="10"/>
      <c r="UZU1" s="10"/>
      <c r="UZV1" s="10"/>
      <c r="UZW1" s="10"/>
      <c r="UZX1" s="10"/>
      <c r="UZY1" s="10"/>
      <c r="UZZ1" s="10"/>
      <c r="VAA1" s="10"/>
      <c r="VAB1" s="10"/>
      <c r="VAC1" s="10"/>
      <c r="VAD1" s="10"/>
      <c r="VAE1" s="10"/>
      <c r="VAF1" s="10"/>
      <c r="VAG1" s="10"/>
      <c r="VAH1" s="10"/>
      <c r="VAI1" s="10"/>
      <c r="VAJ1" s="10"/>
      <c r="VAK1" s="10"/>
      <c r="VAL1" s="10"/>
      <c r="VAM1" s="10"/>
      <c r="VAN1" s="10"/>
      <c r="VAO1" s="10"/>
      <c r="VAP1" s="10"/>
      <c r="VAQ1" s="10"/>
      <c r="VAR1" s="10"/>
      <c r="VAS1" s="10"/>
      <c r="VAT1" s="10"/>
      <c r="VAU1" s="10"/>
      <c r="VAV1" s="10"/>
      <c r="VAW1" s="10"/>
      <c r="VAX1" s="10"/>
      <c r="VAY1" s="10"/>
      <c r="VAZ1" s="10"/>
      <c r="VBA1" s="10"/>
      <c r="VBB1" s="10"/>
      <c r="VBC1" s="10"/>
      <c r="VBD1" s="10"/>
      <c r="VBE1" s="10"/>
      <c r="VBF1" s="10"/>
      <c r="VBG1" s="10"/>
      <c r="VBH1" s="10"/>
      <c r="VBI1" s="10"/>
      <c r="VBJ1" s="10"/>
      <c r="VBK1" s="10"/>
      <c r="VBL1" s="10"/>
      <c r="VBM1" s="10"/>
      <c r="VBN1" s="10"/>
      <c r="VBO1" s="10"/>
      <c r="VBP1" s="10"/>
      <c r="VBQ1" s="10"/>
      <c r="VBR1" s="10"/>
      <c r="VBS1" s="10"/>
      <c r="VBT1" s="10"/>
      <c r="VBU1" s="10"/>
      <c r="VBV1" s="10"/>
      <c r="VBW1" s="10"/>
      <c r="VBX1" s="10"/>
      <c r="VBY1" s="10"/>
      <c r="VBZ1" s="10"/>
      <c r="VCA1" s="10"/>
      <c r="VCB1" s="10"/>
      <c r="VCC1" s="10"/>
      <c r="VCD1" s="10"/>
      <c r="VCE1" s="10"/>
      <c r="VCF1" s="10"/>
      <c r="VCG1" s="10"/>
      <c r="VCH1" s="10"/>
      <c r="VCI1" s="10"/>
      <c r="VCJ1" s="10"/>
      <c r="VCK1" s="10"/>
      <c r="VCL1" s="10"/>
      <c r="VCM1" s="10"/>
      <c r="VCN1" s="10"/>
      <c r="VCO1" s="10"/>
      <c r="VCP1" s="10"/>
      <c r="VCQ1" s="10"/>
      <c r="VCR1" s="10"/>
      <c r="VCS1" s="10"/>
      <c r="VCT1" s="10"/>
      <c r="VCU1" s="10"/>
      <c r="VCV1" s="10"/>
      <c r="VCW1" s="10"/>
      <c r="VCX1" s="10"/>
      <c r="VCY1" s="10"/>
      <c r="VCZ1" s="10"/>
      <c r="VDA1" s="10"/>
      <c r="VDB1" s="10"/>
      <c r="VDC1" s="10"/>
      <c r="VDD1" s="10"/>
      <c r="VDE1" s="10"/>
      <c r="VDF1" s="10"/>
      <c r="VDG1" s="10"/>
      <c r="VDH1" s="10"/>
      <c r="VDI1" s="10"/>
      <c r="VDJ1" s="10"/>
      <c r="VDK1" s="10"/>
      <c r="VDL1" s="10"/>
      <c r="VDM1" s="10"/>
      <c r="VDN1" s="10"/>
      <c r="VDO1" s="10"/>
      <c r="VDP1" s="10"/>
      <c r="VDQ1" s="10"/>
      <c r="VDR1" s="10"/>
      <c r="VDS1" s="10"/>
      <c r="VDT1" s="10"/>
      <c r="VDU1" s="10"/>
      <c r="VDV1" s="10"/>
      <c r="VDW1" s="10"/>
      <c r="VDX1" s="10"/>
      <c r="VDY1" s="10"/>
      <c r="VDZ1" s="10"/>
      <c r="VEA1" s="10"/>
      <c r="VEB1" s="10"/>
      <c r="VEC1" s="10"/>
      <c r="VED1" s="10"/>
      <c r="VEE1" s="10"/>
      <c r="VEF1" s="10"/>
      <c r="VEG1" s="10"/>
      <c r="VEH1" s="10"/>
      <c r="VEI1" s="10"/>
      <c r="VEJ1" s="10"/>
      <c r="VEK1" s="10"/>
      <c r="VEL1" s="10"/>
      <c r="VEM1" s="10"/>
      <c r="VEN1" s="10"/>
      <c r="VEO1" s="10"/>
      <c r="VEP1" s="10"/>
      <c r="VEQ1" s="10"/>
      <c r="VER1" s="10"/>
      <c r="VES1" s="10"/>
      <c r="VET1" s="10"/>
      <c r="VEU1" s="10"/>
      <c r="VEV1" s="10"/>
      <c r="VEW1" s="10"/>
      <c r="VEX1" s="10"/>
      <c r="VEY1" s="10"/>
      <c r="VEZ1" s="10"/>
      <c r="VFA1" s="10"/>
      <c r="VFB1" s="10"/>
      <c r="VFC1" s="10"/>
      <c r="VFD1" s="10"/>
      <c r="VFE1" s="10"/>
      <c r="VFF1" s="10"/>
      <c r="VFG1" s="10"/>
      <c r="VFH1" s="10"/>
      <c r="VFI1" s="10"/>
      <c r="VFJ1" s="10"/>
      <c r="VFK1" s="10"/>
      <c r="VFL1" s="10"/>
      <c r="VFM1" s="10"/>
      <c r="VFN1" s="10"/>
      <c r="VFO1" s="10"/>
      <c r="VFP1" s="10"/>
      <c r="VFQ1" s="10"/>
      <c r="VFR1" s="10"/>
      <c r="VFS1" s="10"/>
      <c r="VFT1" s="10"/>
      <c r="VFU1" s="10"/>
      <c r="VFV1" s="10"/>
      <c r="VFW1" s="10"/>
      <c r="VFX1" s="10"/>
      <c r="VFY1" s="10"/>
      <c r="VFZ1" s="10"/>
      <c r="VGA1" s="10"/>
      <c r="VGB1" s="10"/>
      <c r="VGC1" s="10"/>
      <c r="VGD1" s="10"/>
      <c r="VGE1" s="10"/>
      <c r="VGF1" s="10"/>
      <c r="VGG1" s="10"/>
      <c r="VGH1" s="10"/>
      <c r="VGI1" s="10"/>
      <c r="VGJ1" s="10"/>
      <c r="VGK1" s="10"/>
      <c r="VGL1" s="10"/>
      <c r="VGM1" s="10"/>
      <c r="VGN1" s="10"/>
      <c r="VGO1" s="10"/>
      <c r="VGP1" s="10"/>
      <c r="VGQ1" s="10"/>
      <c r="VGR1" s="10"/>
      <c r="VGS1" s="10"/>
      <c r="VGT1" s="10"/>
      <c r="VGU1" s="10"/>
      <c r="VGV1" s="10"/>
      <c r="VGW1" s="10"/>
      <c r="VGX1" s="10"/>
      <c r="VGY1" s="10"/>
      <c r="VGZ1" s="10"/>
      <c r="VHA1" s="10"/>
      <c r="VHB1" s="10"/>
      <c r="VHC1" s="10"/>
      <c r="VHD1" s="10"/>
      <c r="VHE1" s="10"/>
      <c r="VHF1" s="10"/>
      <c r="VHG1" s="10"/>
      <c r="VHH1" s="10"/>
      <c r="VHI1" s="10"/>
      <c r="VHJ1" s="10"/>
      <c r="VHK1" s="10"/>
      <c r="VHL1" s="10"/>
      <c r="VHM1" s="10"/>
      <c r="VHN1" s="10"/>
      <c r="VHO1" s="10"/>
      <c r="VHP1" s="10"/>
      <c r="VHQ1" s="10"/>
      <c r="VHR1" s="10"/>
      <c r="VHS1" s="10"/>
      <c r="VHT1" s="10"/>
      <c r="VHU1" s="10"/>
      <c r="VHV1" s="10"/>
      <c r="VHW1" s="10"/>
      <c r="VHX1" s="10"/>
      <c r="VHY1" s="10"/>
      <c r="VHZ1" s="10"/>
      <c r="VIA1" s="10"/>
      <c r="VIB1" s="10"/>
      <c r="VIC1" s="10"/>
      <c r="VID1" s="10"/>
      <c r="VIE1" s="10"/>
      <c r="VIF1" s="10"/>
      <c r="VIG1" s="10"/>
      <c r="VIH1" s="10"/>
      <c r="VII1" s="10"/>
      <c r="VIJ1" s="10"/>
      <c r="VIK1" s="10"/>
      <c r="VIL1" s="10"/>
      <c r="VIM1" s="10"/>
      <c r="VIN1" s="10"/>
      <c r="VIO1" s="10"/>
      <c r="VIP1" s="10"/>
      <c r="VIQ1" s="10"/>
      <c r="VIR1" s="10"/>
      <c r="VIS1" s="10"/>
      <c r="VIT1" s="10"/>
      <c r="VIU1" s="10"/>
      <c r="VIV1" s="10"/>
      <c r="VIW1" s="10"/>
      <c r="VIX1" s="10"/>
      <c r="VIY1" s="10"/>
      <c r="VIZ1" s="10"/>
      <c r="VJA1" s="10"/>
      <c r="VJB1" s="10"/>
      <c r="VJC1" s="10"/>
      <c r="VJD1" s="10"/>
      <c r="VJE1" s="10"/>
      <c r="VJF1" s="10"/>
      <c r="VJG1" s="10"/>
      <c r="VJH1" s="10"/>
      <c r="VJI1" s="10"/>
      <c r="VJJ1" s="10"/>
      <c r="VJK1" s="10"/>
      <c r="VJL1" s="10"/>
      <c r="VJM1" s="10"/>
      <c r="VJN1" s="10"/>
      <c r="VJO1" s="10"/>
      <c r="VJP1" s="10"/>
      <c r="VJQ1" s="10"/>
      <c r="VJR1" s="10"/>
      <c r="VJS1" s="10"/>
      <c r="VJT1" s="10"/>
      <c r="VJU1" s="10"/>
      <c r="VJV1" s="10"/>
      <c r="VJW1" s="10"/>
      <c r="VJX1" s="10"/>
      <c r="VJY1" s="10"/>
      <c r="VJZ1" s="10"/>
      <c r="VKA1" s="10"/>
      <c r="VKB1" s="10"/>
      <c r="VKC1" s="10"/>
      <c r="VKD1" s="10"/>
      <c r="VKE1" s="10"/>
      <c r="VKF1" s="10"/>
      <c r="VKG1" s="10"/>
      <c r="VKH1" s="10"/>
      <c r="VKI1" s="10"/>
      <c r="VKJ1" s="10"/>
      <c r="VKK1" s="10"/>
      <c r="VKL1" s="10"/>
      <c r="VKM1" s="10"/>
      <c r="VKN1" s="10"/>
      <c r="VKO1" s="10"/>
      <c r="VKP1" s="10"/>
      <c r="VKQ1" s="10"/>
      <c r="VKR1" s="10"/>
      <c r="VKS1" s="10"/>
      <c r="VKT1" s="10"/>
      <c r="VKU1" s="10"/>
      <c r="VKV1" s="10"/>
      <c r="VKW1" s="10"/>
      <c r="VKX1" s="10"/>
      <c r="VKY1" s="10"/>
      <c r="VKZ1" s="10"/>
      <c r="VLA1" s="10"/>
      <c r="VLB1" s="10"/>
      <c r="VLC1" s="10"/>
      <c r="VLD1" s="10"/>
      <c r="VLE1" s="10"/>
      <c r="VLF1" s="10"/>
      <c r="VLG1" s="10"/>
      <c r="VLH1" s="10"/>
      <c r="VLI1" s="10"/>
      <c r="VLJ1" s="10"/>
      <c r="VLK1" s="10"/>
      <c r="VLL1" s="10"/>
      <c r="VLM1" s="10"/>
      <c r="VLN1" s="10"/>
      <c r="VLO1" s="10"/>
      <c r="VLP1" s="10"/>
      <c r="VLQ1" s="10"/>
      <c r="VLR1" s="10"/>
      <c r="VLS1" s="10"/>
      <c r="VLT1" s="10"/>
      <c r="VLU1" s="10"/>
      <c r="VLV1" s="10"/>
      <c r="VLW1" s="10"/>
      <c r="VLX1" s="10"/>
      <c r="VLY1" s="10"/>
      <c r="VLZ1" s="10"/>
      <c r="VMA1" s="10"/>
      <c r="VMB1" s="10"/>
      <c r="VMC1" s="10"/>
      <c r="VMD1" s="10"/>
      <c r="VME1" s="10"/>
      <c r="VMF1" s="10"/>
      <c r="VMG1" s="10"/>
      <c r="VMH1" s="10"/>
      <c r="VMI1" s="10"/>
      <c r="VMJ1" s="10"/>
      <c r="VMK1" s="10"/>
      <c r="VML1" s="10"/>
      <c r="VMM1" s="10"/>
      <c r="VMN1" s="10"/>
      <c r="VMO1" s="10"/>
      <c r="VMP1" s="10"/>
      <c r="VMQ1" s="10"/>
      <c r="VMR1" s="10"/>
      <c r="VMS1" s="10"/>
      <c r="VMT1" s="10"/>
      <c r="VMU1" s="10"/>
      <c r="VMV1" s="10"/>
      <c r="VMW1" s="10"/>
      <c r="VMX1" s="10"/>
      <c r="VMY1" s="10"/>
      <c r="VMZ1" s="10"/>
      <c r="VNA1" s="10"/>
      <c r="VNB1" s="10"/>
      <c r="VNC1" s="10"/>
      <c r="VND1" s="10"/>
      <c r="VNE1" s="10"/>
      <c r="VNF1" s="10"/>
      <c r="VNG1" s="10"/>
      <c r="VNH1" s="10"/>
      <c r="VNI1" s="10"/>
      <c r="VNJ1" s="10"/>
      <c r="VNK1" s="10"/>
      <c r="VNL1" s="10"/>
      <c r="VNM1" s="10"/>
      <c r="VNN1" s="10"/>
      <c r="VNO1" s="10"/>
      <c r="VNP1" s="10"/>
      <c r="VNQ1" s="10"/>
      <c r="VNR1" s="10"/>
      <c r="VNS1" s="10"/>
      <c r="VNT1" s="10"/>
      <c r="VNU1" s="10"/>
      <c r="VNV1" s="10"/>
      <c r="VNW1" s="10"/>
      <c r="VNX1" s="10"/>
      <c r="VNY1" s="10"/>
      <c r="VNZ1" s="10"/>
      <c r="VOA1" s="10"/>
      <c r="VOB1" s="10"/>
      <c r="VOC1" s="10"/>
      <c r="VOD1" s="10"/>
      <c r="VOE1" s="10"/>
      <c r="VOF1" s="10"/>
      <c r="VOG1" s="10"/>
      <c r="VOH1" s="10"/>
      <c r="VOI1" s="10"/>
      <c r="VOJ1" s="10"/>
      <c r="VOK1" s="10"/>
      <c r="VOL1" s="10"/>
      <c r="VOM1" s="10"/>
      <c r="VON1" s="10"/>
      <c r="VOO1" s="10"/>
      <c r="VOP1" s="10"/>
      <c r="VOQ1" s="10"/>
      <c r="VOR1" s="10"/>
      <c r="VOS1" s="10"/>
      <c r="VOT1" s="10"/>
      <c r="VOU1" s="10"/>
      <c r="VOV1" s="10"/>
      <c r="VOW1" s="10"/>
      <c r="VOX1" s="10"/>
      <c r="VOY1" s="10"/>
      <c r="VOZ1" s="10"/>
      <c r="VPA1" s="10"/>
      <c r="VPB1" s="10"/>
      <c r="VPC1" s="10"/>
      <c r="VPD1" s="10"/>
      <c r="VPE1" s="10"/>
      <c r="VPF1" s="10"/>
      <c r="VPG1" s="10"/>
      <c r="VPH1" s="10"/>
      <c r="VPI1" s="10"/>
      <c r="VPJ1" s="10"/>
      <c r="VPK1" s="10"/>
      <c r="VPL1" s="10"/>
      <c r="VPM1" s="10"/>
      <c r="VPN1" s="10"/>
      <c r="VPO1" s="10"/>
      <c r="VPP1" s="10"/>
      <c r="VPQ1" s="10"/>
      <c r="VPR1" s="10"/>
      <c r="VPS1" s="10"/>
      <c r="VPT1" s="10"/>
      <c r="VPU1" s="10"/>
      <c r="VPV1" s="10"/>
      <c r="VPW1" s="10"/>
      <c r="VPX1" s="10"/>
      <c r="VPY1" s="10"/>
      <c r="VPZ1" s="10"/>
      <c r="VQA1" s="10"/>
      <c r="VQB1" s="10"/>
      <c r="VQC1" s="10"/>
      <c r="VQD1" s="10"/>
      <c r="VQE1" s="10"/>
      <c r="VQF1" s="10"/>
      <c r="VQG1" s="10"/>
      <c r="VQH1" s="10"/>
      <c r="VQI1" s="10"/>
      <c r="VQJ1" s="10"/>
      <c r="VQK1" s="10"/>
      <c r="VQL1" s="10"/>
      <c r="VQM1" s="10"/>
      <c r="VQN1" s="10"/>
      <c r="VQO1" s="10"/>
      <c r="VQP1" s="10"/>
      <c r="VQQ1" s="10"/>
      <c r="VQR1" s="10"/>
      <c r="VQS1" s="10"/>
      <c r="VQT1" s="10"/>
      <c r="VQU1" s="10"/>
      <c r="VQV1" s="10"/>
      <c r="VQW1" s="10"/>
      <c r="VQX1" s="10"/>
      <c r="VQY1" s="10"/>
      <c r="VQZ1" s="10"/>
      <c r="VRA1" s="10"/>
      <c r="VRB1" s="10"/>
      <c r="VRC1" s="10"/>
      <c r="VRD1" s="10"/>
      <c r="VRE1" s="10"/>
      <c r="VRF1" s="10"/>
      <c r="VRG1" s="10"/>
      <c r="VRH1" s="10"/>
      <c r="VRI1" s="10"/>
      <c r="VRJ1" s="10"/>
      <c r="VRK1" s="10"/>
      <c r="VRL1" s="10"/>
      <c r="VRM1" s="10"/>
      <c r="VRN1" s="10"/>
      <c r="VRO1" s="10"/>
      <c r="VRP1" s="10"/>
      <c r="VRQ1" s="10"/>
      <c r="VRR1" s="10"/>
      <c r="VRS1" s="10"/>
      <c r="VRT1" s="10"/>
      <c r="VRU1" s="10"/>
      <c r="VRV1" s="10"/>
      <c r="VRW1" s="10"/>
      <c r="VRX1" s="10"/>
      <c r="VRY1" s="10"/>
      <c r="VRZ1" s="10"/>
      <c r="VSA1" s="10"/>
      <c r="VSB1" s="10"/>
      <c r="VSC1" s="10"/>
      <c r="VSD1" s="10"/>
      <c r="VSE1" s="10"/>
      <c r="VSF1" s="10"/>
      <c r="VSG1" s="10"/>
      <c r="VSH1" s="10"/>
      <c r="VSI1" s="10"/>
      <c r="VSJ1" s="10"/>
      <c r="VSK1" s="10"/>
      <c r="VSL1" s="10"/>
      <c r="VSM1" s="10"/>
      <c r="VSN1" s="10"/>
      <c r="VSO1" s="10"/>
      <c r="VSP1" s="10"/>
      <c r="VSQ1" s="10"/>
      <c r="VSR1" s="10"/>
      <c r="VSS1" s="10"/>
      <c r="VST1" s="10"/>
      <c r="VSU1" s="10"/>
      <c r="VSV1" s="10"/>
      <c r="VSW1" s="10"/>
      <c r="VSX1" s="10"/>
      <c r="VSY1" s="10"/>
      <c r="VSZ1" s="10"/>
      <c r="VTA1" s="10"/>
      <c r="VTB1" s="10"/>
      <c r="VTC1" s="10"/>
      <c r="VTD1" s="10"/>
      <c r="VTE1" s="10"/>
      <c r="VTF1" s="10"/>
      <c r="VTG1" s="10"/>
      <c r="VTH1" s="10"/>
      <c r="VTI1" s="10"/>
      <c r="VTJ1" s="10"/>
      <c r="VTK1" s="10"/>
      <c r="VTL1" s="10"/>
      <c r="VTM1" s="10"/>
      <c r="VTN1" s="10"/>
      <c r="VTO1" s="10"/>
      <c r="VTP1" s="10"/>
      <c r="VTQ1" s="10"/>
      <c r="VTR1" s="10"/>
      <c r="VTS1" s="10"/>
      <c r="VTT1" s="10"/>
      <c r="VTU1" s="10"/>
      <c r="VTV1" s="10"/>
      <c r="VTW1" s="10"/>
      <c r="VTX1" s="10"/>
      <c r="VTY1" s="10"/>
      <c r="VTZ1" s="10"/>
      <c r="VUA1" s="10"/>
      <c r="VUB1" s="10"/>
      <c r="VUC1" s="10"/>
      <c r="VUD1" s="10"/>
      <c r="VUE1" s="10"/>
      <c r="VUF1" s="10"/>
      <c r="VUG1" s="10"/>
      <c r="VUH1" s="10"/>
      <c r="VUI1" s="10"/>
      <c r="VUJ1" s="10"/>
      <c r="VUK1" s="10"/>
      <c r="VUL1" s="10"/>
      <c r="VUM1" s="10"/>
      <c r="VUN1" s="10"/>
      <c r="VUO1" s="10"/>
      <c r="VUP1" s="10"/>
      <c r="VUQ1" s="10"/>
      <c r="VUR1" s="10"/>
      <c r="VUS1" s="10"/>
      <c r="VUT1" s="10"/>
      <c r="VUU1" s="10"/>
      <c r="VUV1" s="10"/>
      <c r="VUW1" s="10"/>
      <c r="VUX1" s="10"/>
      <c r="VUY1" s="10"/>
      <c r="VUZ1" s="10"/>
      <c r="VVA1" s="10"/>
      <c r="VVB1" s="10"/>
      <c r="VVC1" s="10"/>
      <c r="VVD1" s="10"/>
      <c r="VVE1" s="10"/>
      <c r="VVF1" s="10"/>
      <c r="VVG1" s="10"/>
      <c r="VVH1" s="10"/>
      <c r="VVI1" s="10"/>
      <c r="VVJ1" s="10"/>
      <c r="VVK1" s="10"/>
      <c r="VVL1" s="10"/>
      <c r="VVM1" s="10"/>
      <c r="VVN1" s="10"/>
      <c r="VVO1" s="10"/>
      <c r="VVP1" s="10"/>
      <c r="VVQ1" s="10"/>
      <c r="VVR1" s="10"/>
      <c r="VVS1" s="10"/>
      <c r="VVT1" s="10"/>
      <c r="VVU1" s="10"/>
      <c r="VVV1" s="10"/>
      <c r="VVW1" s="10"/>
      <c r="VVX1" s="10"/>
      <c r="VVY1" s="10"/>
      <c r="VVZ1" s="10"/>
      <c r="VWA1" s="10"/>
      <c r="VWB1" s="10"/>
      <c r="VWC1" s="10"/>
      <c r="VWD1" s="10"/>
      <c r="VWE1" s="10"/>
      <c r="VWF1" s="10"/>
      <c r="VWG1" s="10"/>
      <c r="VWH1" s="10"/>
      <c r="VWI1" s="10"/>
      <c r="VWJ1" s="10"/>
      <c r="VWK1" s="10"/>
      <c r="VWL1" s="10"/>
      <c r="VWM1" s="10"/>
      <c r="VWN1" s="10"/>
      <c r="VWO1" s="10"/>
      <c r="VWP1" s="10"/>
      <c r="VWQ1" s="10"/>
      <c r="VWR1" s="10"/>
      <c r="VWS1" s="10"/>
      <c r="VWT1" s="10"/>
      <c r="VWU1" s="10"/>
      <c r="VWV1" s="10"/>
      <c r="VWW1" s="10"/>
      <c r="VWX1" s="10"/>
      <c r="VWY1" s="10"/>
      <c r="VWZ1" s="10"/>
      <c r="VXA1" s="10"/>
      <c r="VXB1" s="10"/>
      <c r="VXC1" s="10"/>
      <c r="VXD1" s="10"/>
      <c r="VXE1" s="10"/>
      <c r="VXF1" s="10"/>
      <c r="VXG1" s="10"/>
      <c r="VXH1" s="10"/>
      <c r="VXI1" s="10"/>
      <c r="VXJ1" s="10"/>
      <c r="VXK1" s="10"/>
      <c r="VXL1" s="10"/>
      <c r="VXM1" s="10"/>
      <c r="VXN1" s="10"/>
      <c r="VXO1" s="10"/>
      <c r="VXP1" s="10"/>
      <c r="VXQ1" s="10"/>
      <c r="VXR1" s="10"/>
      <c r="VXS1" s="10"/>
      <c r="VXT1" s="10"/>
      <c r="VXU1" s="10"/>
      <c r="VXV1" s="10"/>
      <c r="VXW1" s="10"/>
      <c r="VXX1" s="10"/>
      <c r="VXY1" s="10"/>
      <c r="VXZ1" s="10"/>
      <c r="VYA1" s="10"/>
      <c r="VYB1" s="10"/>
      <c r="VYC1" s="10"/>
      <c r="VYD1" s="10"/>
      <c r="VYE1" s="10"/>
      <c r="VYF1" s="10"/>
      <c r="VYG1" s="10"/>
      <c r="VYH1" s="10"/>
      <c r="VYI1" s="10"/>
      <c r="VYJ1" s="10"/>
      <c r="VYK1" s="10"/>
      <c r="VYL1" s="10"/>
      <c r="VYM1" s="10"/>
      <c r="VYN1" s="10"/>
      <c r="VYO1" s="10"/>
      <c r="VYP1" s="10"/>
      <c r="VYQ1" s="10"/>
      <c r="VYR1" s="10"/>
      <c r="VYS1" s="10"/>
      <c r="VYT1" s="10"/>
      <c r="VYU1" s="10"/>
      <c r="VYV1" s="10"/>
      <c r="VYW1" s="10"/>
      <c r="VYX1" s="10"/>
      <c r="VYY1" s="10"/>
      <c r="VYZ1" s="10"/>
      <c r="VZA1" s="10"/>
      <c r="VZB1" s="10"/>
      <c r="VZC1" s="10"/>
      <c r="VZD1" s="10"/>
      <c r="VZE1" s="10"/>
      <c r="VZF1" s="10"/>
      <c r="VZG1" s="10"/>
      <c r="VZH1" s="10"/>
      <c r="VZI1" s="10"/>
      <c r="VZJ1" s="10"/>
      <c r="VZK1" s="10"/>
      <c r="VZL1" s="10"/>
      <c r="VZM1" s="10"/>
      <c r="VZN1" s="10"/>
      <c r="VZO1" s="10"/>
      <c r="VZP1" s="10"/>
      <c r="VZQ1" s="10"/>
      <c r="VZR1" s="10"/>
      <c r="VZS1" s="10"/>
      <c r="VZT1" s="10"/>
      <c r="VZU1" s="10"/>
      <c r="VZV1" s="10"/>
      <c r="VZW1" s="10"/>
      <c r="VZX1" s="10"/>
      <c r="VZY1" s="10"/>
      <c r="VZZ1" s="10"/>
      <c r="WAA1" s="10"/>
      <c r="WAB1" s="10"/>
      <c r="WAC1" s="10"/>
      <c r="WAD1" s="10"/>
      <c r="WAE1" s="10"/>
      <c r="WAF1" s="10"/>
      <c r="WAG1" s="10"/>
      <c r="WAH1" s="10"/>
      <c r="WAI1" s="10"/>
      <c r="WAJ1" s="10"/>
      <c r="WAK1" s="10"/>
      <c r="WAL1" s="10"/>
      <c r="WAM1" s="10"/>
      <c r="WAN1" s="10"/>
      <c r="WAO1" s="10"/>
      <c r="WAP1" s="10"/>
      <c r="WAQ1" s="10"/>
      <c r="WAR1" s="10"/>
      <c r="WAS1" s="10"/>
      <c r="WAT1" s="10"/>
      <c r="WAU1" s="10"/>
      <c r="WAV1" s="10"/>
      <c r="WAW1" s="10"/>
      <c r="WAX1" s="10"/>
      <c r="WAY1" s="10"/>
      <c r="WAZ1" s="10"/>
      <c r="WBA1" s="10"/>
      <c r="WBB1" s="10"/>
      <c r="WBC1" s="10"/>
      <c r="WBD1" s="10"/>
      <c r="WBE1" s="10"/>
      <c r="WBF1" s="10"/>
      <c r="WBG1" s="10"/>
      <c r="WBH1" s="10"/>
      <c r="WBI1" s="10"/>
      <c r="WBJ1" s="10"/>
      <c r="WBK1" s="10"/>
      <c r="WBL1" s="10"/>
      <c r="WBM1" s="10"/>
      <c r="WBN1" s="10"/>
      <c r="WBO1" s="10"/>
      <c r="WBP1" s="10"/>
      <c r="WBQ1" s="10"/>
      <c r="WBR1" s="10"/>
      <c r="WBS1" s="10"/>
      <c r="WBT1" s="10"/>
      <c r="WBU1" s="10"/>
      <c r="WBV1" s="10"/>
      <c r="WBW1" s="10"/>
      <c r="WBX1" s="10"/>
      <c r="WBY1" s="10"/>
      <c r="WBZ1" s="10"/>
      <c r="WCA1" s="10"/>
      <c r="WCB1" s="10"/>
      <c r="WCC1" s="10"/>
      <c r="WCD1" s="10"/>
      <c r="WCE1" s="10"/>
      <c r="WCF1" s="10"/>
      <c r="WCG1" s="10"/>
      <c r="WCH1" s="10"/>
      <c r="WCI1" s="10"/>
      <c r="WCJ1" s="10"/>
      <c r="WCK1" s="10"/>
      <c r="WCL1" s="10"/>
      <c r="WCM1" s="10"/>
      <c r="WCN1" s="10"/>
      <c r="WCO1" s="10"/>
      <c r="WCP1" s="10"/>
      <c r="WCQ1" s="10"/>
      <c r="WCR1" s="10"/>
      <c r="WCS1" s="10"/>
      <c r="WCT1" s="10"/>
      <c r="WCU1" s="10"/>
      <c r="WCV1" s="10"/>
      <c r="WCW1" s="10"/>
      <c r="WCX1" s="10"/>
      <c r="WCY1" s="10"/>
      <c r="WCZ1" s="10"/>
      <c r="WDA1" s="10"/>
      <c r="WDB1" s="10"/>
      <c r="WDC1" s="10"/>
      <c r="WDD1" s="10"/>
      <c r="WDE1" s="10"/>
      <c r="WDF1" s="10"/>
      <c r="WDG1" s="10"/>
      <c r="WDH1" s="10"/>
      <c r="WDI1" s="10"/>
      <c r="WDJ1" s="10"/>
      <c r="WDK1" s="10"/>
      <c r="WDL1" s="10"/>
      <c r="WDM1" s="10"/>
      <c r="WDN1" s="10"/>
      <c r="WDO1" s="10"/>
      <c r="WDP1" s="10"/>
      <c r="WDQ1" s="10"/>
      <c r="WDR1" s="10"/>
      <c r="WDS1" s="10"/>
      <c r="WDT1" s="10"/>
      <c r="WDU1" s="10"/>
      <c r="WDV1" s="10"/>
      <c r="WDW1" s="10"/>
      <c r="WDX1" s="10"/>
      <c r="WDY1" s="10"/>
      <c r="WDZ1" s="10"/>
      <c r="WEA1" s="10"/>
      <c r="WEB1" s="10"/>
      <c r="WEC1" s="10"/>
      <c r="WED1" s="10"/>
      <c r="WEE1" s="10"/>
      <c r="WEF1" s="10"/>
      <c r="WEG1" s="10"/>
      <c r="WEH1" s="10"/>
      <c r="WEI1" s="10"/>
      <c r="WEJ1" s="10"/>
      <c r="WEK1" s="10"/>
      <c r="WEL1" s="10"/>
      <c r="WEM1" s="10"/>
      <c r="WEN1" s="10"/>
      <c r="WEO1" s="10"/>
      <c r="WEP1" s="10"/>
      <c r="WEQ1" s="10"/>
      <c r="WER1" s="10"/>
      <c r="WES1" s="10"/>
      <c r="WET1" s="10"/>
      <c r="WEU1" s="10"/>
      <c r="WEV1" s="10"/>
      <c r="WEW1" s="10"/>
      <c r="WEX1" s="10"/>
      <c r="WEY1" s="10"/>
      <c r="WEZ1" s="10"/>
      <c r="WFA1" s="10"/>
      <c r="WFB1" s="10"/>
      <c r="WFC1" s="10"/>
      <c r="WFD1" s="10"/>
      <c r="WFE1" s="10"/>
      <c r="WFF1" s="10"/>
      <c r="WFG1" s="10"/>
      <c r="WFH1" s="10"/>
      <c r="WFI1" s="10"/>
      <c r="WFJ1" s="10"/>
      <c r="WFK1" s="10"/>
      <c r="WFL1" s="10"/>
      <c r="WFM1" s="10"/>
      <c r="WFN1" s="10"/>
      <c r="WFO1" s="10"/>
      <c r="WFP1" s="10"/>
      <c r="WFQ1" s="10"/>
      <c r="WFR1" s="10"/>
      <c r="WFS1" s="10"/>
      <c r="WFT1" s="10"/>
      <c r="WFU1" s="10"/>
      <c r="WFV1" s="10"/>
      <c r="WFW1" s="10"/>
      <c r="WFX1" s="10"/>
      <c r="WFY1" s="10"/>
      <c r="WFZ1" s="10"/>
      <c r="WGA1" s="10"/>
      <c r="WGB1" s="10"/>
      <c r="WGC1" s="10"/>
      <c r="WGD1" s="10"/>
      <c r="WGE1" s="10"/>
      <c r="WGF1" s="10"/>
      <c r="WGG1" s="10"/>
      <c r="WGH1" s="10"/>
      <c r="WGI1" s="10"/>
      <c r="WGJ1" s="10"/>
      <c r="WGK1" s="10"/>
      <c r="WGL1" s="10"/>
      <c r="WGM1" s="10"/>
      <c r="WGN1" s="10"/>
      <c r="WGO1" s="10"/>
      <c r="WGP1" s="10"/>
      <c r="WGQ1" s="10"/>
      <c r="WGR1" s="10"/>
      <c r="WGS1" s="10"/>
      <c r="WGT1" s="10"/>
      <c r="WGU1" s="10"/>
      <c r="WGV1" s="10"/>
      <c r="WGW1" s="10"/>
      <c r="WGX1" s="10"/>
      <c r="WGY1" s="10"/>
      <c r="WGZ1" s="10"/>
      <c r="WHA1" s="10"/>
      <c r="WHB1" s="10"/>
      <c r="WHC1" s="10"/>
      <c r="WHD1" s="10"/>
      <c r="WHE1" s="10"/>
      <c r="WHF1" s="10"/>
      <c r="WHG1" s="10"/>
      <c r="WHH1" s="10"/>
      <c r="WHI1" s="10"/>
      <c r="WHJ1" s="10"/>
      <c r="WHK1" s="10"/>
      <c r="WHL1" s="10"/>
      <c r="WHM1" s="10"/>
      <c r="WHN1" s="10"/>
      <c r="WHO1" s="10"/>
      <c r="WHP1" s="10"/>
      <c r="WHQ1" s="10"/>
      <c r="WHR1" s="10"/>
      <c r="WHS1" s="10"/>
      <c r="WHT1" s="10"/>
      <c r="WHU1" s="10"/>
      <c r="WHV1" s="10"/>
      <c r="WHW1" s="10"/>
      <c r="WHX1" s="10"/>
      <c r="WHY1" s="10"/>
      <c r="WHZ1" s="10"/>
      <c r="WIA1" s="10"/>
      <c r="WIB1" s="10"/>
      <c r="WIC1" s="10"/>
      <c r="WID1" s="10"/>
      <c r="WIE1" s="10"/>
      <c r="WIF1" s="10"/>
      <c r="WIG1" s="10"/>
      <c r="WIH1" s="10"/>
      <c r="WII1" s="10"/>
      <c r="WIJ1" s="10"/>
      <c r="WIK1" s="10"/>
      <c r="WIL1" s="10"/>
      <c r="WIM1" s="10"/>
      <c r="WIN1" s="10"/>
      <c r="WIO1" s="10"/>
      <c r="WIP1" s="10"/>
      <c r="WIQ1" s="10"/>
      <c r="WIR1" s="10"/>
      <c r="WIS1" s="10"/>
      <c r="WIT1" s="10"/>
      <c r="WIU1" s="10"/>
      <c r="WIV1" s="10"/>
      <c r="WIW1" s="10"/>
      <c r="WIX1" s="10"/>
      <c r="WIY1" s="10"/>
      <c r="WIZ1" s="10"/>
      <c r="WJA1" s="10"/>
      <c r="WJB1" s="10"/>
      <c r="WJC1" s="10"/>
      <c r="WJD1" s="10"/>
      <c r="WJE1" s="10"/>
      <c r="WJF1" s="10"/>
      <c r="WJG1" s="10"/>
      <c r="WJH1" s="10"/>
      <c r="WJI1" s="10"/>
      <c r="WJJ1" s="10"/>
      <c r="WJK1" s="10"/>
      <c r="WJL1" s="10"/>
      <c r="WJM1" s="10"/>
      <c r="WJN1" s="10"/>
      <c r="WJO1" s="10"/>
      <c r="WJP1" s="10"/>
      <c r="WJQ1" s="10"/>
      <c r="WJR1" s="10"/>
      <c r="WJS1" s="10"/>
      <c r="WJT1" s="10"/>
      <c r="WJU1" s="10"/>
      <c r="WJV1" s="10"/>
      <c r="WJW1" s="10"/>
      <c r="WJX1" s="10"/>
      <c r="WJY1" s="10"/>
      <c r="WJZ1" s="10"/>
      <c r="WKA1" s="10"/>
      <c r="WKB1" s="10"/>
      <c r="WKC1" s="10"/>
      <c r="WKD1" s="10"/>
      <c r="WKE1" s="10"/>
      <c r="WKF1" s="10"/>
      <c r="WKG1" s="10"/>
      <c r="WKH1" s="10"/>
      <c r="WKI1" s="10"/>
      <c r="WKJ1" s="10"/>
      <c r="WKK1" s="10"/>
      <c r="WKL1" s="10"/>
      <c r="WKM1" s="10"/>
      <c r="WKN1" s="10"/>
      <c r="WKO1" s="10"/>
      <c r="WKP1" s="10"/>
      <c r="WKQ1" s="10"/>
      <c r="WKR1" s="10"/>
      <c r="WKS1" s="10"/>
      <c r="WKT1" s="10"/>
      <c r="WKU1" s="10"/>
      <c r="WKV1" s="10"/>
      <c r="WKW1" s="10"/>
      <c r="WKX1" s="10"/>
      <c r="WKY1" s="10"/>
      <c r="WKZ1" s="10"/>
      <c r="WLA1" s="10"/>
      <c r="WLB1" s="10"/>
      <c r="WLC1" s="10"/>
      <c r="WLD1" s="10"/>
      <c r="WLE1" s="10"/>
      <c r="WLF1" s="10"/>
      <c r="WLG1" s="10"/>
      <c r="WLH1" s="10"/>
      <c r="WLI1" s="10"/>
      <c r="WLJ1" s="10"/>
      <c r="WLK1" s="10"/>
      <c r="WLL1" s="10"/>
      <c r="WLM1" s="10"/>
      <c r="WLN1" s="10"/>
      <c r="WLO1" s="10"/>
      <c r="WLP1" s="10"/>
      <c r="WLQ1" s="10"/>
      <c r="WLR1" s="10"/>
      <c r="WLS1" s="10"/>
      <c r="WLT1" s="10"/>
      <c r="WLU1" s="10"/>
      <c r="WLV1" s="10"/>
      <c r="WLW1" s="10"/>
      <c r="WLX1" s="10"/>
      <c r="WLY1" s="10"/>
      <c r="WLZ1" s="10"/>
      <c r="WMA1" s="10"/>
      <c r="WMB1" s="10"/>
      <c r="WMC1" s="10"/>
      <c r="WMD1" s="10"/>
      <c r="WME1" s="10"/>
      <c r="WMF1" s="10"/>
      <c r="WMG1" s="10"/>
      <c r="WMH1" s="10"/>
      <c r="WMI1" s="10"/>
      <c r="WMJ1" s="10"/>
      <c r="WMK1" s="10"/>
      <c r="WML1" s="10"/>
      <c r="WMM1" s="10"/>
      <c r="WMN1" s="10"/>
      <c r="WMO1" s="10"/>
      <c r="WMP1" s="10"/>
      <c r="WMQ1" s="10"/>
      <c r="WMR1" s="10"/>
      <c r="WMS1" s="10"/>
      <c r="WMT1" s="10"/>
      <c r="WMU1" s="10"/>
      <c r="WMV1" s="10"/>
      <c r="WMW1" s="10"/>
      <c r="WMX1" s="10"/>
      <c r="WMY1" s="10"/>
      <c r="WMZ1" s="10"/>
      <c r="WNA1" s="10"/>
      <c r="WNB1" s="10"/>
      <c r="WNC1" s="10"/>
      <c r="WND1" s="10"/>
      <c r="WNE1" s="10"/>
      <c r="WNF1" s="10"/>
      <c r="WNG1" s="10"/>
      <c r="WNH1" s="10"/>
      <c r="WNI1" s="10"/>
      <c r="WNJ1" s="10"/>
      <c r="WNK1" s="10"/>
      <c r="WNL1" s="10"/>
      <c r="WNM1" s="10"/>
      <c r="WNN1" s="10"/>
      <c r="WNO1" s="10"/>
      <c r="WNP1" s="10"/>
      <c r="WNQ1" s="10"/>
      <c r="WNR1" s="10"/>
      <c r="WNS1" s="10"/>
      <c r="WNT1" s="10"/>
      <c r="WNU1" s="10"/>
      <c r="WNV1" s="10"/>
      <c r="WNW1" s="10"/>
      <c r="WNX1" s="10"/>
      <c r="WNY1" s="10"/>
      <c r="WNZ1" s="10"/>
      <c r="WOA1" s="10"/>
      <c r="WOB1" s="10"/>
      <c r="WOC1" s="10"/>
      <c r="WOD1" s="10"/>
      <c r="WOE1" s="10"/>
      <c r="WOF1" s="10"/>
      <c r="WOG1" s="10"/>
      <c r="WOH1" s="10"/>
      <c r="WOI1" s="10"/>
      <c r="WOJ1" s="10"/>
      <c r="WOK1" s="10"/>
      <c r="WOL1" s="10"/>
      <c r="WOM1" s="10"/>
      <c r="WON1" s="10"/>
      <c r="WOO1" s="10"/>
      <c r="WOP1" s="10"/>
      <c r="WOQ1" s="10"/>
      <c r="WOR1" s="10"/>
      <c r="WOS1" s="10"/>
      <c r="WOT1" s="10"/>
      <c r="WOU1" s="10"/>
      <c r="WOV1" s="10"/>
      <c r="WOW1" s="10"/>
      <c r="WOX1" s="10"/>
      <c r="WOY1" s="10"/>
      <c r="WOZ1" s="10"/>
      <c r="WPA1" s="10"/>
      <c r="WPB1" s="10"/>
      <c r="WPC1" s="10"/>
      <c r="WPD1" s="10"/>
      <c r="WPE1" s="10"/>
      <c r="WPF1" s="10"/>
      <c r="WPG1" s="10"/>
      <c r="WPH1" s="10"/>
      <c r="WPI1" s="10"/>
      <c r="WPJ1" s="10"/>
      <c r="WPK1" s="10"/>
      <c r="WPL1" s="10"/>
      <c r="WPM1" s="10"/>
      <c r="WPN1" s="10"/>
      <c r="WPO1" s="10"/>
      <c r="WPP1" s="10"/>
      <c r="WPQ1" s="10"/>
      <c r="WPR1" s="10"/>
      <c r="WPS1" s="10"/>
      <c r="WPT1" s="10"/>
      <c r="WPU1" s="10"/>
      <c r="WPV1" s="10"/>
      <c r="WPW1" s="10"/>
      <c r="WPX1" s="10"/>
      <c r="WPY1" s="10"/>
      <c r="WPZ1" s="10"/>
      <c r="WQA1" s="10"/>
      <c r="WQB1" s="10"/>
      <c r="WQC1" s="10"/>
      <c r="WQD1" s="10"/>
      <c r="WQE1" s="10"/>
      <c r="WQF1" s="10"/>
      <c r="WQG1" s="10"/>
      <c r="WQH1" s="10"/>
      <c r="WQI1" s="10"/>
      <c r="WQJ1" s="10"/>
      <c r="WQK1" s="10"/>
      <c r="WQL1" s="10"/>
      <c r="WQM1" s="10"/>
      <c r="WQN1" s="10"/>
      <c r="WQO1" s="10"/>
      <c r="WQP1" s="10"/>
      <c r="WQQ1" s="10"/>
      <c r="WQR1" s="10"/>
      <c r="WQS1" s="10"/>
      <c r="WQT1" s="10"/>
      <c r="WQU1" s="10"/>
      <c r="WQV1" s="10"/>
      <c r="WQW1" s="10"/>
      <c r="WQX1" s="10"/>
      <c r="WQY1" s="10"/>
      <c r="WQZ1" s="10"/>
      <c r="WRA1" s="10"/>
      <c r="WRB1" s="10"/>
      <c r="WRC1" s="10"/>
      <c r="WRD1" s="10"/>
      <c r="WRE1" s="10"/>
      <c r="WRF1" s="10"/>
      <c r="WRG1" s="10"/>
      <c r="WRH1" s="10"/>
      <c r="WRI1" s="10"/>
      <c r="WRJ1" s="10"/>
      <c r="WRK1" s="10"/>
      <c r="WRL1" s="10"/>
      <c r="WRM1" s="10"/>
      <c r="WRN1" s="10"/>
      <c r="WRO1" s="10"/>
      <c r="WRP1" s="10"/>
      <c r="WRQ1" s="10"/>
      <c r="WRR1" s="10"/>
      <c r="WRS1" s="10"/>
      <c r="WRT1" s="10"/>
      <c r="WRU1" s="10"/>
      <c r="WRV1" s="10"/>
      <c r="WRW1" s="10"/>
      <c r="WRX1" s="10"/>
      <c r="WRY1" s="10"/>
      <c r="WRZ1" s="10"/>
      <c r="WSA1" s="10"/>
      <c r="WSB1" s="10"/>
      <c r="WSC1" s="10"/>
      <c r="WSD1" s="10"/>
      <c r="WSE1" s="10"/>
      <c r="WSF1" s="10"/>
      <c r="WSG1" s="10"/>
      <c r="WSH1" s="10"/>
      <c r="WSI1" s="10"/>
      <c r="WSJ1" s="10"/>
      <c r="WSK1" s="10"/>
      <c r="WSL1" s="10"/>
      <c r="WSM1" s="10"/>
      <c r="WSN1" s="10"/>
      <c r="WSO1" s="10"/>
      <c r="WSP1" s="10"/>
      <c r="WSQ1" s="10"/>
      <c r="WSR1" s="10"/>
      <c r="WSS1" s="10"/>
      <c r="WST1" s="10"/>
      <c r="WSU1" s="10"/>
      <c r="WSV1" s="10"/>
      <c r="WSW1" s="10"/>
      <c r="WSX1" s="10"/>
      <c r="WSY1" s="10"/>
      <c r="WSZ1" s="10"/>
      <c r="WTA1" s="10"/>
      <c r="WTB1" s="10"/>
      <c r="WTC1" s="10"/>
      <c r="WTD1" s="10"/>
      <c r="WTE1" s="10"/>
      <c r="WTF1" s="10"/>
      <c r="WTG1" s="10"/>
      <c r="WTH1" s="10"/>
      <c r="WTI1" s="10"/>
      <c r="WTJ1" s="10"/>
      <c r="WTK1" s="10"/>
      <c r="WTL1" s="10"/>
      <c r="WTM1" s="10"/>
      <c r="WTN1" s="10"/>
      <c r="WTO1" s="10"/>
      <c r="WTP1" s="10"/>
      <c r="WTQ1" s="10"/>
      <c r="WTR1" s="10"/>
      <c r="WTS1" s="10"/>
      <c r="WTT1" s="10"/>
      <c r="WTU1" s="10"/>
      <c r="WTV1" s="10"/>
      <c r="WTW1" s="10"/>
      <c r="WTX1" s="10"/>
      <c r="WTY1" s="10"/>
      <c r="WTZ1" s="10"/>
      <c r="WUA1" s="10"/>
      <c r="WUB1" s="10"/>
      <c r="WUC1" s="10"/>
      <c r="WUD1" s="10"/>
      <c r="WUE1" s="10"/>
      <c r="WUF1" s="10"/>
      <c r="WUG1" s="10"/>
      <c r="WUH1" s="10"/>
      <c r="WUI1" s="10"/>
      <c r="WUJ1" s="10"/>
      <c r="WUK1" s="10"/>
      <c r="WUL1" s="10"/>
      <c r="WUM1" s="10"/>
      <c r="WUN1" s="10"/>
      <c r="WUO1" s="10"/>
      <c r="WUP1" s="10"/>
      <c r="WUQ1" s="10"/>
      <c r="WUR1" s="10"/>
      <c r="WUS1" s="10"/>
      <c r="WUT1" s="10"/>
      <c r="WUU1" s="10"/>
      <c r="WUV1" s="10"/>
      <c r="WUW1" s="10"/>
      <c r="WUX1" s="10"/>
      <c r="WUY1" s="10"/>
      <c r="WUZ1" s="10"/>
      <c r="WVA1" s="10"/>
      <c r="WVB1" s="10"/>
      <c r="WVC1" s="10"/>
      <c r="WVD1" s="10"/>
      <c r="WVE1" s="10"/>
      <c r="WVF1" s="10"/>
      <c r="WVG1" s="10"/>
      <c r="WVH1" s="10"/>
      <c r="WVI1" s="10"/>
      <c r="WVJ1" s="10"/>
      <c r="WVK1" s="10"/>
      <c r="WVL1" s="10"/>
      <c r="WVM1" s="10"/>
      <c r="WVN1" s="10"/>
      <c r="WVO1" s="10"/>
      <c r="WVP1" s="10"/>
      <c r="WVQ1" s="10"/>
      <c r="WVR1" s="10"/>
      <c r="WVS1" s="10"/>
      <c r="WVT1" s="10"/>
      <c r="WVU1" s="10"/>
      <c r="WVV1" s="10"/>
      <c r="WVW1" s="10"/>
      <c r="WVX1" s="10"/>
      <c r="WVY1" s="10"/>
      <c r="WVZ1" s="10"/>
      <c r="WWA1" s="10"/>
      <c r="WWB1" s="10"/>
      <c r="WWC1" s="10"/>
      <c r="WWD1" s="10"/>
      <c r="WWE1" s="10"/>
      <c r="WWF1" s="10"/>
      <c r="WWG1" s="10"/>
      <c r="WWH1" s="10"/>
      <c r="WWI1" s="10"/>
      <c r="WWJ1" s="10"/>
      <c r="WWK1" s="10"/>
      <c r="WWL1" s="10"/>
      <c r="WWM1" s="10"/>
      <c r="WWN1" s="10"/>
      <c r="WWO1" s="10"/>
      <c r="WWP1" s="10"/>
      <c r="WWQ1" s="10"/>
      <c r="WWR1" s="10"/>
      <c r="WWS1" s="10"/>
      <c r="WWT1" s="10"/>
      <c r="WWU1" s="10"/>
      <c r="WWV1" s="10"/>
      <c r="WWW1" s="10"/>
      <c r="WWX1" s="10"/>
      <c r="WWY1" s="10"/>
      <c r="WWZ1" s="10"/>
      <c r="WXA1" s="10"/>
      <c r="WXB1" s="10"/>
      <c r="WXC1" s="10"/>
      <c r="WXD1" s="10"/>
      <c r="WXE1" s="10"/>
      <c r="WXF1" s="10"/>
      <c r="WXG1" s="10"/>
      <c r="WXH1" s="10"/>
      <c r="WXI1" s="10"/>
      <c r="WXJ1" s="10"/>
      <c r="WXK1" s="10"/>
      <c r="WXL1" s="10"/>
      <c r="WXM1" s="10"/>
      <c r="WXN1" s="10"/>
      <c r="WXO1" s="10"/>
      <c r="WXP1" s="10"/>
      <c r="WXQ1" s="10"/>
      <c r="WXR1" s="10"/>
      <c r="WXS1" s="10"/>
      <c r="WXT1" s="10"/>
      <c r="WXU1" s="10"/>
      <c r="WXV1" s="10"/>
      <c r="WXW1" s="10"/>
      <c r="WXX1" s="10"/>
      <c r="WXY1" s="10"/>
      <c r="WXZ1" s="10"/>
      <c r="WYA1" s="10"/>
      <c r="WYB1" s="10"/>
      <c r="WYC1" s="10"/>
      <c r="WYD1" s="10"/>
      <c r="WYE1" s="10"/>
      <c r="WYF1" s="10"/>
      <c r="WYG1" s="10"/>
      <c r="WYH1" s="10"/>
      <c r="WYI1" s="10"/>
      <c r="WYJ1" s="10"/>
      <c r="WYK1" s="10"/>
      <c r="WYL1" s="10"/>
      <c r="WYM1" s="10"/>
      <c r="WYN1" s="10"/>
      <c r="WYO1" s="10"/>
      <c r="WYP1" s="10"/>
      <c r="WYQ1" s="10"/>
      <c r="WYR1" s="10"/>
      <c r="WYS1" s="10"/>
      <c r="WYT1" s="10"/>
      <c r="WYU1" s="10"/>
      <c r="WYV1" s="10"/>
      <c r="WYW1" s="10"/>
      <c r="WYX1" s="10"/>
      <c r="WYY1" s="10"/>
      <c r="WYZ1" s="10"/>
      <c r="WZA1" s="10"/>
      <c r="WZB1" s="10"/>
      <c r="WZC1" s="10"/>
      <c r="WZD1" s="10"/>
      <c r="WZE1" s="10"/>
      <c r="WZF1" s="10"/>
      <c r="WZG1" s="10"/>
      <c r="WZH1" s="10"/>
      <c r="WZI1" s="10"/>
      <c r="WZJ1" s="10"/>
      <c r="WZK1" s="10"/>
      <c r="WZL1" s="10"/>
      <c r="WZM1" s="10"/>
      <c r="WZN1" s="10"/>
      <c r="WZO1" s="10"/>
      <c r="WZP1" s="10"/>
      <c r="WZQ1" s="10"/>
      <c r="WZR1" s="10"/>
      <c r="WZS1" s="10"/>
      <c r="WZT1" s="10"/>
      <c r="WZU1" s="10"/>
      <c r="WZV1" s="10"/>
      <c r="WZW1" s="10"/>
      <c r="WZX1" s="10"/>
      <c r="WZY1" s="10"/>
      <c r="WZZ1" s="10"/>
      <c r="XAA1" s="10"/>
      <c r="XAB1" s="10"/>
      <c r="XAC1" s="10"/>
      <c r="XAD1" s="10"/>
      <c r="XAE1" s="10"/>
      <c r="XAF1" s="10"/>
      <c r="XAG1" s="10"/>
      <c r="XAH1" s="10"/>
      <c r="XAI1" s="10"/>
      <c r="XAJ1" s="10"/>
      <c r="XAK1" s="10"/>
      <c r="XAL1" s="10"/>
      <c r="XAM1" s="10"/>
      <c r="XAN1" s="10"/>
      <c r="XAO1" s="10"/>
      <c r="XAP1" s="10"/>
      <c r="XAQ1" s="10"/>
      <c r="XAR1" s="10"/>
      <c r="XAS1" s="10"/>
      <c r="XAT1" s="10"/>
      <c r="XAU1" s="10"/>
      <c r="XAV1" s="10"/>
      <c r="XAW1" s="10"/>
      <c r="XAX1" s="10"/>
      <c r="XAY1" s="10"/>
      <c r="XAZ1" s="10"/>
      <c r="XBA1" s="10"/>
      <c r="XBB1" s="10"/>
      <c r="XBC1" s="10"/>
      <c r="XBD1" s="10"/>
      <c r="XBE1" s="10"/>
      <c r="XBF1" s="10"/>
      <c r="XBG1" s="10"/>
      <c r="XBH1" s="10"/>
      <c r="XBI1" s="10"/>
      <c r="XBJ1" s="10"/>
      <c r="XBK1" s="10"/>
      <c r="XBL1" s="10"/>
      <c r="XBM1" s="10"/>
      <c r="XBN1" s="10"/>
      <c r="XBO1" s="10"/>
      <c r="XBP1" s="10"/>
      <c r="XBQ1" s="10"/>
      <c r="XBR1" s="10"/>
      <c r="XBS1" s="10"/>
      <c r="XBT1" s="10"/>
      <c r="XBU1" s="10"/>
      <c r="XBV1" s="10"/>
      <c r="XBW1" s="10"/>
      <c r="XBX1" s="10"/>
      <c r="XBY1" s="10"/>
      <c r="XBZ1" s="10"/>
      <c r="XCA1" s="10"/>
      <c r="XCB1" s="10"/>
      <c r="XCC1" s="10"/>
      <c r="XCD1" s="10"/>
      <c r="XCE1" s="10"/>
      <c r="XCF1" s="10"/>
      <c r="XCG1" s="10"/>
      <c r="XCH1" s="10"/>
      <c r="XCI1" s="10"/>
      <c r="XCJ1" s="10"/>
      <c r="XCK1" s="10"/>
      <c r="XCL1" s="10"/>
      <c r="XCM1" s="10"/>
      <c r="XCN1" s="10"/>
      <c r="XCO1" s="10"/>
      <c r="XCP1" s="10"/>
      <c r="XCQ1" s="10"/>
      <c r="XCR1" s="10"/>
      <c r="XCS1" s="10"/>
      <c r="XCT1" s="10"/>
      <c r="XCU1" s="10"/>
      <c r="XCV1" s="10"/>
      <c r="XCW1" s="10"/>
      <c r="XCX1" s="10"/>
      <c r="XCY1" s="10"/>
      <c r="XCZ1" s="10"/>
      <c r="XDA1" s="10"/>
      <c r="XDB1" s="10"/>
      <c r="XDC1" s="10"/>
      <c r="XDD1" s="10"/>
      <c r="XDE1" s="10"/>
      <c r="XDF1" s="10"/>
      <c r="XDG1" s="10"/>
      <c r="XDH1" s="10"/>
      <c r="XDI1" s="10"/>
      <c r="XDJ1" s="10"/>
      <c r="XDK1" s="10"/>
      <c r="XDL1" s="10"/>
      <c r="XDM1" s="10"/>
      <c r="XDN1" s="10"/>
      <c r="XDO1" s="10"/>
      <c r="XDP1" s="10"/>
      <c r="XDQ1" s="10"/>
      <c r="XDR1" s="10"/>
      <c r="XDS1" s="10"/>
      <c r="XDT1" s="10"/>
      <c r="XDU1" s="10"/>
      <c r="XDV1" s="10"/>
      <c r="XDW1" s="10"/>
      <c r="XDX1" s="10"/>
      <c r="XDY1" s="10"/>
      <c r="XDZ1" s="10"/>
      <c r="XEA1" s="10"/>
      <c r="XEB1" s="10"/>
      <c r="XEC1" s="10"/>
      <c r="XED1" s="10"/>
      <c r="XEE1" s="10"/>
      <c r="XEF1" s="10"/>
      <c r="XEG1" s="10"/>
      <c r="XEH1" s="10"/>
      <c r="XEI1" s="10"/>
      <c r="XEJ1" s="10"/>
      <c r="XEK1" s="10"/>
      <c r="XEL1" s="10"/>
      <c r="XEM1" s="10"/>
      <c r="XEN1" s="10"/>
      <c r="XEO1" s="10"/>
      <c r="XEP1" s="10"/>
      <c r="XEQ1" s="10"/>
      <c r="XER1" s="10"/>
      <c r="XES1" s="10"/>
      <c r="XET1" s="10"/>
      <c r="XEU1" s="10"/>
      <c r="XEV1" s="10"/>
      <c r="XEW1" s="10"/>
      <c r="XEX1" s="10"/>
      <c r="XEY1" s="10"/>
      <c r="XEZ1" s="10"/>
      <c r="XFA1" s="10"/>
    </row>
    <row r="2" spans="1:16381" ht="31.8">
      <c r="A2" t="s">
        <v>2826</v>
      </c>
      <c r="B2" t="s">
        <v>3194</v>
      </c>
      <c r="C2" t="s">
        <v>2827</v>
      </c>
      <c r="D2" s="18">
        <v>2025</v>
      </c>
      <c r="E2" t="s">
        <v>2828</v>
      </c>
      <c r="F2" t="s">
        <v>29</v>
      </c>
      <c r="G2" t="s">
        <v>30</v>
      </c>
      <c r="H2" t="s">
        <v>30</v>
      </c>
      <c r="I2" t="s">
        <v>2823</v>
      </c>
      <c r="J2" t="s">
        <v>30</v>
      </c>
      <c r="K2" t="s">
        <v>30</v>
      </c>
      <c r="L2" t="s">
        <v>15</v>
      </c>
      <c r="M2" s="22" t="s">
        <v>3702</v>
      </c>
      <c r="N2" t="s">
        <v>30</v>
      </c>
    </row>
    <row r="3" spans="1:16381" ht="31.8" hidden="1">
      <c r="A3" t="s">
        <v>2829</v>
      </c>
      <c r="B3" t="s">
        <v>3195</v>
      </c>
      <c r="C3" t="s">
        <v>2830</v>
      </c>
      <c r="D3" s="18">
        <v>2024</v>
      </c>
      <c r="E3" t="s">
        <v>2831</v>
      </c>
      <c r="F3" t="s">
        <v>29</v>
      </c>
      <c r="G3" t="s">
        <v>30</v>
      </c>
      <c r="H3" t="s">
        <v>31</v>
      </c>
      <c r="I3" t="s">
        <v>2823</v>
      </c>
      <c r="J3" t="s">
        <v>31</v>
      </c>
      <c r="K3" t="s">
        <v>30</v>
      </c>
      <c r="L3" t="s">
        <v>3654</v>
      </c>
      <c r="M3" s="22" t="s">
        <v>3703</v>
      </c>
      <c r="N3" t="s">
        <v>31</v>
      </c>
    </row>
    <row r="4" spans="1:16381" ht="21.6">
      <c r="A4" t="s">
        <v>2832</v>
      </c>
      <c r="B4" t="s">
        <v>3196</v>
      </c>
      <c r="C4" t="s">
        <v>2833</v>
      </c>
      <c r="D4" s="18">
        <v>2025</v>
      </c>
      <c r="E4" t="s">
        <v>2834</v>
      </c>
      <c r="F4" t="s">
        <v>29</v>
      </c>
      <c r="G4" t="s">
        <v>30</v>
      </c>
      <c r="H4" t="s">
        <v>30</v>
      </c>
      <c r="I4" t="s">
        <v>2823</v>
      </c>
      <c r="J4" t="s">
        <v>30</v>
      </c>
      <c r="K4" t="s">
        <v>30</v>
      </c>
      <c r="L4" t="s">
        <v>3654</v>
      </c>
      <c r="M4" s="22" t="s">
        <v>3704</v>
      </c>
      <c r="N4" t="s">
        <v>30</v>
      </c>
    </row>
    <row r="5" spans="1:16381" hidden="1">
      <c r="A5" t="s">
        <v>2835</v>
      </c>
      <c r="B5" t="s">
        <v>3197</v>
      </c>
      <c r="C5" t="s">
        <v>2836</v>
      </c>
      <c r="D5" s="18">
        <v>2023</v>
      </c>
      <c r="E5" t="s">
        <v>2837</v>
      </c>
      <c r="F5" t="s">
        <v>29</v>
      </c>
      <c r="G5" t="s">
        <v>31</v>
      </c>
      <c r="N5" t="s">
        <v>31</v>
      </c>
    </row>
    <row r="6" spans="1:16381" hidden="1">
      <c r="A6" t="s">
        <v>2838</v>
      </c>
      <c r="B6" t="s">
        <v>3198</v>
      </c>
      <c r="C6" t="s">
        <v>2839</v>
      </c>
      <c r="D6" s="18">
        <v>2025</v>
      </c>
      <c r="E6" t="s">
        <v>2840</v>
      </c>
      <c r="F6" t="s">
        <v>29</v>
      </c>
      <c r="G6" t="s">
        <v>31</v>
      </c>
      <c r="N6" t="s">
        <v>31</v>
      </c>
    </row>
    <row r="7" spans="1:16381" hidden="1">
      <c r="A7" t="s">
        <v>2841</v>
      </c>
      <c r="B7" t="s">
        <v>3199</v>
      </c>
      <c r="C7" t="s">
        <v>2842</v>
      </c>
      <c r="D7" s="18">
        <v>2023</v>
      </c>
      <c r="E7" t="s">
        <v>2843</v>
      </c>
      <c r="F7" t="s">
        <v>29</v>
      </c>
      <c r="G7" t="s">
        <v>31</v>
      </c>
      <c r="N7" t="s">
        <v>31</v>
      </c>
    </row>
    <row r="8" spans="1:16381" hidden="1">
      <c r="A8" t="s">
        <v>2844</v>
      </c>
      <c r="B8" t="s">
        <v>3200</v>
      </c>
      <c r="C8" t="s">
        <v>2845</v>
      </c>
      <c r="D8" s="18">
        <v>2024</v>
      </c>
      <c r="E8" t="s">
        <v>2846</v>
      </c>
      <c r="F8" t="s">
        <v>29</v>
      </c>
      <c r="G8" t="s">
        <v>31</v>
      </c>
      <c r="N8" t="s">
        <v>31</v>
      </c>
    </row>
    <row r="9" spans="1:16381" ht="31.8" hidden="1">
      <c r="A9" t="s">
        <v>2847</v>
      </c>
      <c r="B9" t="s">
        <v>3201</v>
      </c>
      <c r="C9" t="s">
        <v>2848</v>
      </c>
      <c r="D9" s="18">
        <v>2024</v>
      </c>
      <c r="E9" t="s">
        <v>2849</v>
      </c>
      <c r="F9" t="s">
        <v>29</v>
      </c>
      <c r="G9" t="s">
        <v>30</v>
      </c>
      <c r="H9" t="s">
        <v>31</v>
      </c>
      <c r="I9" t="s">
        <v>2823</v>
      </c>
      <c r="J9" t="s">
        <v>31</v>
      </c>
      <c r="K9" t="s">
        <v>30</v>
      </c>
      <c r="L9" t="s">
        <v>3654</v>
      </c>
      <c r="M9" s="22" t="s">
        <v>3705</v>
      </c>
      <c r="N9" t="s">
        <v>31</v>
      </c>
    </row>
    <row r="10" spans="1:16381" hidden="1">
      <c r="A10" t="s">
        <v>2850</v>
      </c>
      <c r="B10" t="s">
        <v>3202</v>
      </c>
      <c r="C10" t="s">
        <v>2851</v>
      </c>
      <c r="D10" s="18">
        <v>2024</v>
      </c>
      <c r="E10" t="s">
        <v>2852</v>
      </c>
      <c r="F10" t="s">
        <v>29</v>
      </c>
      <c r="G10" t="s">
        <v>31</v>
      </c>
      <c r="N10" t="s">
        <v>31</v>
      </c>
    </row>
    <row r="11" spans="1:16381" hidden="1">
      <c r="A11" t="s">
        <v>2854</v>
      </c>
      <c r="B11" t="s">
        <v>3203</v>
      </c>
      <c r="C11" t="s">
        <v>2855</v>
      </c>
      <c r="D11" s="18">
        <v>2024</v>
      </c>
      <c r="E11" t="s">
        <v>2856</v>
      </c>
      <c r="F11" t="s">
        <v>29</v>
      </c>
      <c r="G11" t="s">
        <v>31</v>
      </c>
      <c r="N11" t="s">
        <v>31</v>
      </c>
    </row>
    <row r="12" spans="1:16381" hidden="1">
      <c r="A12" t="s">
        <v>2857</v>
      </c>
      <c r="B12" t="s">
        <v>3204</v>
      </c>
      <c r="C12" t="s">
        <v>2858</v>
      </c>
      <c r="D12" s="18">
        <v>2023</v>
      </c>
      <c r="E12" t="s">
        <v>2859</v>
      </c>
      <c r="F12" t="s">
        <v>29</v>
      </c>
      <c r="G12" t="s">
        <v>31</v>
      </c>
      <c r="N12" t="s">
        <v>31</v>
      </c>
    </row>
    <row r="13" spans="1:16381" hidden="1">
      <c r="A13" t="s">
        <v>2860</v>
      </c>
      <c r="B13" t="s">
        <v>3205</v>
      </c>
      <c r="C13" t="s">
        <v>2861</v>
      </c>
      <c r="D13" s="18">
        <v>2024</v>
      </c>
      <c r="E13" t="s">
        <v>2849</v>
      </c>
      <c r="F13" t="s">
        <v>29</v>
      </c>
      <c r="G13" t="s">
        <v>30</v>
      </c>
      <c r="H13" t="s">
        <v>31</v>
      </c>
      <c r="I13" t="s">
        <v>2823</v>
      </c>
      <c r="J13" t="s">
        <v>31</v>
      </c>
      <c r="K13" t="s">
        <v>30</v>
      </c>
      <c r="L13" t="s">
        <v>12</v>
      </c>
      <c r="M13" s="22" t="s">
        <v>1752</v>
      </c>
      <c r="N13" t="s">
        <v>31</v>
      </c>
    </row>
    <row r="14" spans="1:16381" hidden="1">
      <c r="A14" t="s">
        <v>2862</v>
      </c>
      <c r="B14" t="s">
        <v>3206</v>
      </c>
      <c r="C14" t="s">
        <v>2863</v>
      </c>
      <c r="D14" s="18">
        <v>2025</v>
      </c>
      <c r="E14" t="s">
        <v>2840</v>
      </c>
      <c r="F14" t="s">
        <v>29</v>
      </c>
      <c r="G14" t="s">
        <v>31</v>
      </c>
      <c r="N14" t="s">
        <v>31</v>
      </c>
    </row>
    <row r="15" spans="1:16381" ht="52.2" hidden="1">
      <c r="A15" t="s">
        <v>2865</v>
      </c>
      <c r="B15" t="s">
        <v>3207</v>
      </c>
      <c r="C15" t="s">
        <v>2866</v>
      </c>
      <c r="D15" s="18">
        <v>2024</v>
      </c>
      <c r="E15" t="s">
        <v>2867</v>
      </c>
      <c r="F15" t="s">
        <v>29</v>
      </c>
      <c r="G15" t="s">
        <v>30</v>
      </c>
      <c r="H15" t="s">
        <v>31</v>
      </c>
      <c r="I15" t="s">
        <v>2823</v>
      </c>
      <c r="J15" t="s">
        <v>31</v>
      </c>
      <c r="K15" t="s">
        <v>30</v>
      </c>
      <c r="L15" t="s">
        <v>15</v>
      </c>
      <c r="M15" s="22" t="s">
        <v>3706</v>
      </c>
      <c r="N15" t="s">
        <v>31</v>
      </c>
    </row>
    <row r="16" spans="1:16381" ht="42" hidden="1">
      <c r="A16" t="s">
        <v>2868</v>
      </c>
      <c r="B16" t="s">
        <v>3208</v>
      </c>
      <c r="C16" t="s">
        <v>2869</v>
      </c>
      <c r="D16" s="18">
        <v>2023</v>
      </c>
      <c r="E16" t="s">
        <v>2870</v>
      </c>
      <c r="F16" t="s">
        <v>29</v>
      </c>
      <c r="G16" t="s">
        <v>30</v>
      </c>
      <c r="H16" t="s">
        <v>31</v>
      </c>
      <c r="I16" t="s">
        <v>2823</v>
      </c>
      <c r="J16" t="s">
        <v>31</v>
      </c>
      <c r="K16" t="s">
        <v>30</v>
      </c>
      <c r="L16" t="s">
        <v>15</v>
      </c>
      <c r="M16" s="22" t="s">
        <v>3707</v>
      </c>
      <c r="N16" t="s">
        <v>31</v>
      </c>
    </row>
    <row r="17" spans="1:14" hidden="1">
      <c r="A17" t="s">
        <v>2871</v>
      </c>
      <c r="B17" t="s">
        <v>3209</v>
      </c>
      <c r="C17" t="s">
        <v>2872</v>
      </c>
      <c r="D17" s="18">
        <v>2025</v>
      </c>
      <c r="E17" t="s">
        <v>2840</v>
      </c>
      <c r="F17" t="s">
        <v>29</v>
      </c>
      <c r="G17" t="s">
        <v>31</v>
      </c>
      <c r="N17" t="s">
        <v>31</v>
      </c>
    </row>
    <row r="18" spans="1:14" hidden="1">
      <c r="A18" t="s">
        <v>2873</v>
      </c>
      <c r="B18" t="s">
        <v>3210</v>
      </c>
      <c r="C18" t="s">
        <v>2874</v>
      </c>
      <c r="D18" s="18">
        <v>2023</v>
      </c>
      <c r="E18" t="s">
        <v>2843</v>
      </c>
      <c r="F18" t="s">
        <v>29</v>
      </c>
      <c r="G18" t="s">
        <v>31</v>
      </c>
      <c r="N18" t="s">
        <v>31</v>
      </c>
    </row>
    <row r="19" spans="1:14" ht="21.6">
      <c r="A19" t="s">
        <v>2875</v>
      </c>
      <c r="B19" t="s">
        <v>3211</v>
      </c>
      <c r="C19" t="s">
        <v>2876</v>
      </c>
      <c r="D19" s="18">
        <v>2024</v>
      </c>
      <c r="E19" t="s">
        <v>2877</v>
      </c>
      <c r="F19" t="s">
        <v>29</v>
      </c>
      <c r="G19" t="s">
        <v>30</v>
      </c>
      <c r="H19" t="s">
        <v>30</v>
      </c>
      <c r="I19" t="s">
        <v>2823</v>
      </c>
      <c r="J19" t="s">
        <v>30</v>
      </c>
      <c r="K19" t="s">
        <v>30</v>
      </c>
      <c r="L19" t="s">
        <v>15</v>
      </c>
      <c r="M19" s="22" t="s">
        <v>3708</v>
      </c>
      <c r="N19" t="s">
        <v>30</v>
      </c>
    </row>
    <row r="20" spans="1:14" ht="52.2">
      <c r="A20" t="s">
        <v>2878</v>
      </c>
      <c r="B20" t="s">
        <v>3212</v>
      </c>
      <c r="C20" t="s">
        <v>2879</v>
      </c>
      <c r="D20" s="18">
        <v>2023</v>
      </c>
      <c r="E20" t="s">
        <v>2880</v>
      </c>
      <c r="F20" t="s">
        <v>29</v>
      </c>
      <c r="G20" t="s">
        <v>30</v>
      </c>
      <c r="H20" t="s">
        <v>30</v>
      </c>
      <c r="I20" t="s">
        <v>2823</v>
      </c>
      <c r="J20" t="s">
        <v>30</v>
      </c>
      <c r="K20" t="s">
        <v>30</v>
      </c>
      <c r="L20" t="s">
        <v>15</v>
      </c>
      <c r="M20" s="22" t="s">
        <v>3709</v>
      </c>
      <c r="N20" t="s">
        <v>30</v>
      </c>
    </row>
    <row r="21" spans="1:14" ht="31.8" hidden="1">
      <c r="A21" t="s">
        <v>2881</v>
      </c>
      <c r="B21" t="s">
        <v>3213</v>
      </c>
      <c r="C21" t="s">
        <v>2882</v>
      </c>
      <c r="D21" s="18">
        <v>2025</v>
      </c>
      <c r="E21" t="s">
        <v>2883</v>
      </c>
      <c r="F21" t="s">
        <v>29</v>
      </c>
      <c r="G21" t="s">
        <v>30</v>
      </c>
      <c r="H21" t="s">
        <v>31</v>
      </c>
      <c r="I21" t="s">
        <v>2823</v>
      </c>
      <c r="J21" t="s">
        <v>31</v>
      </c>
      <c r="K21" t="s">
        <v>30</v>
      </c>
      <c r="L21" t="s">
        <v>15</v>
      </c>
      <c r="M21" s="22" t="s">
        <v>3710</v>
      </c>
      <c r="N21" t="s">
        <v>31</v>
      </c>
    </row>
    <row r="22" spans="1:14" ht="31.8">
      <c r="A22" t="s">
        <v>2884</v>
      </c>
      <c r="B22" t="s">
        <v>3214</v>
      </c>
      <c r="C22" t="s">
        <v>2885</v>
      </c>
      <c r="D22" s="18">
        <v>2024</v>
      </c>
      <c r="E22" t="s">
        <v>2877</v>
      </c>
      <c r="F22" t="s">
        <v>29</v>
      </c>
      <c r="G22" t="s">
        <v>30</v>
      </c>
      <c r="H22" t="s">
        <v>30</v>
      </c>
      <c r="I22" t="s">
        <v>2823</v>
      </c>
      <c r="J22" t="s">
        <v>30</v>
      </c>
      <c r="K22" t="s">
        <v>30</v>
      </c>
      <c r="L22" t="s">
        <v>3654</v>
      </c>
      <c r="M22" s="22" t="s">
        <v>3711</v>
      </c>
      <c r="N22" t="s">
        <v>30</v>
      </c>
    </row>
    <row r="23" spans="1:14" hidden="1">
      <c r="A23" t="s">
        <v>2886</v>
      </c>
      <c r="B23" t="s">
        <v>3215</v>
      </c>
      <c r="C23" t="s">
        <v>2887</v>
      </c>
      <c r="D23" s="18">
        <v>2024</v>
      </c>
      <c r="E23" t="s">
        <v>2849</v>
      </c>
      <c r="F23" t="s">
        <v>29</v>
      </c>
      <c r="G23" t="s">
        <v>30</v>
      </c>
      <c r="H23" t="s">
        <v>30</v>
      </c>
      <c r="I23" t="s">
        <v>2823</v>
      </c>
      <c r="J23" t="s">
        <v>30</v>
      </c>
      <c r="K23" t="s">
        <v>30</v>
      </c>
      <c r="L23" t="s">
        <v>12</v>
      </c>
      <c r="M23" s="22" t="s">
        <v>1752</v>
      </c>
      <c r="N23" t="s">
        <v>31</v>
      </c>
    </row>
    <row r="24" spans="1:14" hidden="1">
      <c r="A24" t="s">
        <v>2888</v>
      </c>
      <c r="B24" t="s">
        <v>3216</v>
      </c>
      <c r="C24" t="s">
        <v>2889</v>
      </c>
      <c r="D24" s="18">
        <v>2024</v>
      </c>
      <c r="E24" t="s">
        <v>2849</v>
      </c>
      <c r="F24" t="s">
        <v>29</v>
      </c>
      <c r="G24" t="s">
        <v>31</v>
      </c>
      <c r="N24" t="s">
        <v>31</v>
      </c>
    </row>
    <row r="25" spans="1:14" hidden="1">
      <c r="A25" t="s">
        <v>2890</v>
      </c>
      <c r="B25" t="s">
        <v>3217</v>
      </c>
      <c r="C25" t="s">
        <v>2891</v>
      </c>
      <c r="D25" s="18">
        <v>2025</v>
      </c>
      <c r="E25" t="s">
        <v>2840</v>
      </c>
      <c r="F25" t="s">
        <v>29</v>
      </c>
      <c r="G25" t="s">
        <v>31</v>
      </c>
      <c r="N25" t="s">
        <v>31</v>
      </c>
    </row>
    <row r="26" spans="1:14" ht="21.6" hidden="1">
      <c r="A26" t="s">
        <v>2892</v>
      </c>
      <c r="B26" t="s">
        <v>3218</v>
      </c>
      <c r="C26" t="s">
        <v>2893</v>
      </c>
      <c r="D26" s="18">
        <v>2024</v>
      </c>
      <c r="E26" t="s">
        <v>2849</v>
      </c>
      <c r="F26" t="s">
        <v>29</v>
      </c>
      <c r="G26" t="s">
        <v>30</v>
      </c>
      <c r="H26" t="s">
        <v>31</v>
      </c>
      <c r="I26" t="s">
        <v>2823</v>
      </c>
      <c r="J26" t="s">
        <v>31</v>
      </c>
      <c r="K26" t="s">
        <v>30</v>
      </c>
      <c r="L26" t="s">
        <v>15</v>
      </c>
      <c r="M26" s="22" t="s">
        <v>3712</v>
      </c>
      <c r="N26" t="s">
        <v>31</v>
      </c>
    </row>
    <row r="27" spans="1:14" hidden="1">
      <c r="A27" t="s">
        <v>2894</v>
      </c>
      <c r="B27" t="s">
        <v>3219</v>
      </c>
      <c r="C27" t="s">
        <v>2895</v>
      </c>
      <c r="D27" s="18">
        <v>2023</v>
      </c>
      <c r="E27" t="s">
        <v>2877</v>
      </c>
      <c r="F27" t="s">
        <v>29</v>
      </c>
      <c r="G27" t="s">
        <v>31</v>
      </c>
      <c r="N27" t="s">
        <v>31</v>
      </c>
    </row>
    <row r="28" spans="1:14" ht="31.8">
      <c r="A28" t="s">
        <v>2896</v>
      </c>
      <c r="B28" t="s">
        <v>3220</v>
      </c>
      <c r="C28" t="s">
        <v>2897</v>
      </c>
      <c r="D28" s="18">
        <v>2023</v>
      </c>
      <c r="E28" t="s">
        <v>2898</v>
      </c>
      <c r="F28" t="s">
        <v>29</v>
      </c>
      <c r="G28" t="s">
        <v>30</v>
      </c>
      <c r="H28" t="s">
        <v>30</v>
      </c>
      <c r="I28" t="s">
        <v>2823</v>
      </c>
      <c r="J28" t="s">
        <v>30</v>
      </c>
      <c r="K28" t="s">
        <v>30</v>
      </c>
      <c r="L28" t="s">
        <v>15</v>
      </c>
      <c r="M28" s="22" t="s">
        <v>3713</v>
      </c>
      <c r="N28" t="s">
        <v>30</v>
      </c>
    </row>
    <row r="29" spans="1:14" ht="52.2">
      <c r="A29" t="s">
        <v>2899</v>
      </c>
      <c r="B29" t="s">
        <v>3221</v>
      </c>
      <c r="C29" t="s">
        <v>2864</v>
      </c>
      <c r="D29" s="18">
        <v>2025</v>
      </c>
      <c r="E29" t="s">
        <v>2900</v>
      </c>
      <c r="F29" t="s">
        <v>29</v>
      </c>
      <c r="G29" t="s">
        <v>30</v>
      </c>
      <c r="H29" t="s">
        <v>30</v>
      </c>
      <c r="I29" t="s">
        <v>2823</v>
      </c>
      <c r="J29" t="s">
        <v>30</v>
      </c>
      <c r="K29" t="s">
        <v>30</v>
      </c>
      <c r="L29" t="s">
        <v>15</v>
      </c>
      <c r="M29" s="22" t="s">
        <v>3714</v>
      </c>
      <c r="N29" t="s">
        <v>30</v>
      </c>
    </row>
    <row r="30" spans="1:14" ht="52.2">
      <c r="A30" t="s">
        <v>2901</v>
      </c>
      <c r="B30" t="s">
        <v>3222</v>
      </c>
      <c r="C30" t="s">
        <v>2902</v>
      </c>
      <c r="D30" s="18">
        <v>2023</v>
      </c>
      <c r="E30" t="s">
        <v>2898</v>
      </c>
      <c r="F30" t="s">
        <v>29</v>
      </c>
      <c r="G30" t="s">
        <v>30</v>
      </c>
      <c r="H30" t="s">
        <v>30</v>
      </c>
      <c r="I30" t="s">
        <v>2823</v>
      </c>
      <c r="J30" t="s">
        <v>30</v>
      </c>
      <c r="K30" t="s">
        <v>30</v>
      </c>
      <c r="L30" t="s">
        <v>15</v>
      </c>
      <c r="M30" s="22" t="s">
        <v>3715</v>
      </c>
      <c r="N30" t="s">
        <v>30</v>
      </c>
    </row>
    <row r="31" spans="1:14" hidden="1">
      <c r="A31" t="s">
        <v>2903</v>
      </c>
      <c r="B31" t="s">
        <v>3223</v>
      </c>
      <c r="C31" t="s">
        <v>2904</v>
      </c>
      <c r="D31" s="18">
        <v>2023</v>
      </c>
      <c r="E31" t="s">
        <v>2859</v>
      </c>
      <c r="F31" t="s">
        <v>29</v>
      </c>
      <c r="G31" t="s">
        <v>31</v>
      </c>
      <c r="N31" t="s">
        <v>31</v>
      </c>
    </row>
    <row r="32" spans="1:14" hidden="1">
      <c r="A32" t="s">
        <v>2905</v>
      </c>
      <c r="B32" t="s">
        <v>3224</v>
      </c>
      <c r="C32" t="s">
        <v>2906</v>
      </c>
      <c r="D32" s="18">
        <v>2025</v>
      </c>
      <c r="E32" t="s">
        <v>2840</v>
      </c>
      <c r="F32" t="s">
        <v>29</v>
      </c>
      <c r="G32" t="s">
        <v>31</v>
      </c>
      <c r="N32" t="s">
        <v>31</v>
      </c>
    </row>
    <row r="33" spans="1:14" ht="31.8" hidden="1">
      <c r="A33" t="s">
        <v>2907</v>
      </c>
      <c r="B33" t="s">
        <v>3225</v>
      </c>
      <c r="C33" t="s">
        <v>2908</v>
      </c>
      <c r="D33" s="18">
        <v>2024</v>
      </c>
      <c r="E33" t="s">
        <v>2877</v>
      </c>
      <c r="F33" t="s">
        <v>29</v>
      </c>
      <c r="G33" t="s">
        <v>30</v>
      </c>
      <c r="H33" t="s">
        <v>31</v>
      </c>
      <c r="I33" t="s">
        <v>2823</v>
      </c>
      <c r="J33" t="s">
        <v>31</v>
      </c>
      <c r="K33" t="s">
        <v>30</v>
      </c>
      <c r="L33" t="s">
        <v>15</v>
      </c>
      <c r="M33" s="22" t="s">
        <v>3716</v>
      </c>
      <c r="N33" t="s">
        <v>31</v>
      </c>
    </row>
    <row r="34" spans="1:14" hidden="1">
      <c r="A34" t="s">
        <v>2909</v>
      </c>
      <c r="B34" t="s">
        <v>3226</v>
      </c>
      <c r="C34" t="s">
        <v>2910</v>
      </c>
      <c r="D34" s="18">
        <v>2025</v>
      </c>
      <c r="E34" t="s">
        <v>2840</v>
      </c>
      <c r="F34" t="s">
        <v>29</v>
      </c>
      <c r="G34" t="s">
        <v>31</v>
      </c>
      <c r="N34" t="s">
        <v>31</v>
      </c>
    </row>
    <row r="35" spans="1:14" hidden="1">
      <c r="A35" t="s">
        <v>2911</v>
      </c>
      <c r="B35" t="s">
        <v>3227</v>
      </c>
      <c r="C35" t="s">
        <v>2912</v>
      </c>
      <c r="D35" s="18">
        <v>2024</v>
      </c>
      <c r="E35" t="s">
        <v>2877</v>
      </c>
      <c r="F35" t="s">
        <v>29</v>
      </c>
      <c r="G35" t="s">
        <v>31</v>
      </c>
      <c r="N35" t="s">
        <v>31</v>
      </c>
    </row>
    <row r="36" spans="1:14" hidden="1">
      <c r="A36" t="s">
        <v>2913</v>
      </c>
      <c r="B36" t="s">
        <v>3228</v>
      </c>
      <c r="C36" t="s">
        <v>2914</v>
      </c>
      <c r="D36" s="18">
        <v>2025</v>
      </c>
      <c r="E36" t="s">
        <v>2840</v>
      </c>
      <c r="F36" t="s">
        <v>29</v>
      </c>
      <c r="G36" t="s">
        <v>31</v>
      </c>
      <c r="N36" t="s">
        <v>31</v>
      </c>
    </row>
    <row r="37" spans="1:14" hidden="1">
      <c r="A37" t="s">
        <v>2915</v>
      </c>
      <c r="B37" t="s">
        <v>3229</v>
      </c>
      <c r="C37" t="s">
        <v>2916</v>
      </c>
      <c r="D37" s="18">
        <v>2025</v>
      </c>
      <c r="E37" t="s">
        <v>2853</v>
      </c>
      <c r="F37" t="s">
        <v>29</v>
      </c>
      <c r="G37" t="s">
        <v>30</v>
      </c>
      <c r="H37" t="s">
        <v>30</v>
      </c>
      <c r="I37" t="s">
        <v>2823</v>
      </c>
      <c r="J37" t="s">
        <v>30</v>
      </c>
      <c r="K37" t="s">
        <v>30</v>
      </c>
      <c r="L37" t="s">
        <v>13</v>
      </c>
      <c r="M37" s="22" t="s">
        <v>1752</v>
      </c>
      <c r="N37" t="s">
        <v>31</v>
      </c>
    </row>
    <row r="38" spans="1:14" hidden="1">
      <c r="A38" t="s">
        <v>2917</v>
      </c>
      <c r="B38" t="s">
        <v>3230</v>
      </c>
      <c r="C38" t="s">
        <v>2918</v>
      </c>
      <c r="D38" s="18">
        <v>2024</v>
      </c>
      <c r="E38" t="s">
        <v>2919</v>
      </c>
      <c r="F38" t="s">
        <v>29</v>
      </c>
      <c r="G38" t="s">
        <v>30</v>
      </c>
      <c r="H38" t="s">
        <v>31</v>
      </c>
      <c r="I38" t="s">
        <v>2823</v>
      </c>
      <c r="J38" t="s">
        <v>31</v>
      </c>
      <c r="K38" t="s">
        <v>30</v>
      </c>
      <c r="L38" t="s">
        <v>12</v>
      </c>
      <c r="M38" s="22" t="s">
        <v>1752</v>
      </c>
      <c r="N38" t="s">
        <v>31</v>
      </c>
    </row>
    <row r="39" spans="1:14" hidden="1">
      <c r="A39" t="s">
        <v>2920</v>
      </c>
      <c r="B39" t="s">
        <v>3231</v>
      </c>
      <c r="C39" t="s">
        <v>2921</v>
      </c>
      <c r="D39" s="18">
        <v>2023</v>
      </c>
      <c r="E39" t="s">
        <v>2877</v>
      </c>
      <c r="F39" t="s">
        <v>29</v>
      </c>
      <c r="G39" t="s">
        <v>31</v>
      </c>
      <c r="N39" t="s">
        <v>31</v>
      </c>
    </row>
    <row r="40" spans="1:14" hidden="1">
      <c r="A40" t="s">
        <v>2922</v>
      </c>
      <c r="B40" t="s">
        <v>3232</v>
      </c>
      <c r="C40" t="s">
        <v>2923</v>
      </c>
      <c r="D40" s="18">
        <v>2023</v>
      </c>
      <c r="E40" t="s">
        <v>2843</v>
      </c>
      <c r="F40" t="s">
        <v>29</v>
      </c>
      <c r="G40" t="s">
        <v>31</v>
      </c>
      <c r="N40" t="s">
        <v>31</v>
      </c>
    </row>
    <row r="41" spans="1:14" hidden="1">
      <c r="A41" t="s">
        <v>2924</v>
      </c>
      <c r="B41" t="s">
        <v>3233</v>
      </c>
      <c r="C41" t="s">
        <v>2925</v>
      </c>
      <c r="D41" s="18">
        <v>2024</v>
      </c>
      <c r="E41" t="s">
        <v>2846</v>
      </c>
      <c r="F41" t="s">
        <v>29</v>
      </c>
      <c r="G41" t="s">
        <v>31</v>
      </c>
      <c r="N41" t="s">
        <v>31</v>
      </c>
    </row>
    <row r="42" spans="1:14" ht="31.8">
      <c r="A42" t="s">
        <v>2926</v>
      </c>
      <c r="B42" t="s">
        <v>3234</v>
      </c>
      <c r="C42" t="s">
        <v>2927</v>
      </c>
      <c r="D42" s="18">
        <v>2024</v>
      </c>
      <c r="E42" t="s">
        <v>2928</v>
      </c>
      <c r="F42" t="s">
        <v>29</v>
      </c>
      <c r="G42" t="s">
        <v>30</v>
      </c>
      <c r="H42" t="s">
        <v>30</v>
      </c>
      <c r="I42" t="s">
        <v>2823</v>
      </c>
      <c r="J42" t="s">
        <v>30</v>
      </c>
      <c r="K42" t="s">
        <v>30</v>
      </c>
      <c r="L42" t="s">
        <v>15</v>
      </c>
      <c r="M42" s="22" t="s">
        <v>3717</v>
      </c>
      <c r="N42" t="s">
        <v>30</v>
      </c>
    </row>
    <row r="43" spans="1:14" hidden="1">
      <c r="A43" t="s">
        <v>2929</v>
      </c>
      <c r="B43" t="s">
        <v>3235</v>
      </c>
      <c r="C43" t="s">
        <v>2930</v>
      </c>
      <c r="D43" s="18">
        <v>2025</v>
      </c>
      <c r="E43" t="s">
        <v>2883</v>
      </c>
      <c r="F43" t="s">
        <v>29</v>
      </c>
      <c r="G43" t="s">
        <v>30</v>
      </c>
      <c r="H43" t="s">
        <v>31</v>
      </c>
      <c r="I43" t="s">
        <v>2823</v>
      </c>
      <c r="J43" t="s">
        <v>31</v>
      </c>
      <c r="K43" t="s">
        <v>31</v>
      </c>
      <c r="L43" t="s">
        <v>12</v>
      </c>
      <c r="M43" s="22" t="s">
        <v>1752</v>
      </c>
      <c r="N43" t="s">
        <v>31</v>
      </c>
    </row>
    <row r="44" spans="1:14" hidden="1">
      <c r="A44" t="s">
        <v>2931</v>
      </c>
      <c r="B44" t="s">
        <v>3236</v>
      </c>
      <c r="C44" t="s">
        <v>2932</v>
      </c>
      <c r="D44" s="18">
        <v>2023</v>
      </c>
      <c r="E44" t="s">
        <v>2877</v>
      </c>
      <c r="F44" t="s">
        <v>29</v>
      </c>
      <c r="G44" t="s">
        <v>31</v>
      </c>
      <c r="N44" t="s">
        <v>31</v>
      </c>
    </row>
    <row r="45" spans="1:14" ht="31.8" hidden="1">
      <c r="A45" t="s">
        <v>2933</v>
      </c>
      <c r="B45" t="s">
        <v>3237</v>
      </c>
      <c r="C45" t="s">
        <v>2934</v>
      </c>
      <c r="D45" s="18">
        <v>2024</v>
      </c>
      <c r="E45" t="s">
        <v>2877</v>
      </c>
      <c r="F45" t="s">
        <v>29</v>
      </c>
      <c r="G45" t="s">
        <v>30</v>
      </c>
      <c r="H45" t="s">
        <v>31</v>
      </c>
      <c r="I45" t="s">
        <v>2823</v>
      </c>
      <c r="J45" t="s">
        <v>31</v>
      </c>
      <c r="K45" t="s">
        <v>30</v>
      </c>
      <c r="L45" t="s">
        <v>15</v>
      </c>
      <c r="M45" s="22" t="s">
        <v>3718</v>
      </c>
      <c r="N45" t="s">
        <v>31</v>
      </c>
    </row>
    <row r="46" spans="1:14" hidden="1">
      <c r="A46" t="s">
        <v>2935</v>
      </c>
      <c r="B46" t="s">
        <v>3238</v>
      </c>
      <c r="C46" t="s">
        <v>2936</v>
      </c>
      <c r="D46" s="18">
        <v>2024</v>
      </c>
      <c r="E46" t="s">
        <v>2849</v>
      </c>
      <c r="F46" t="s">
        <v>29</v>
      </c>
      <c r="G46" t="s">
        <v>30</v>
      </c>
      <c r="H46" t="s">
        <v>30</v>
      </c>
      <c r="I46" t="s">
        <v>2823</v>
      </c>
      <c r="J46" t="s">
        <v>30</v>
      </c>
      <c r="K46" t="s">
        <v>30</v>
      </c>
      <c r="L46" t="s">
        <v>12</v>
      </c>
      <c r="M46" s="22" t="s">
        <v>1752</v>
      </c>
      <c r="N46" t="s">
        <v>31</v>
      </c>
    </row>
    <row r="47" spans="1:14" ht="21.6">
      <c r="A47" t="s">
        <v>2937</v>
      </c>
      <c r="B47" t="s">
        <v>3239</v>
      </c>
      <c r="C47" t="s">
        <v>2938</v>
      </c>
      <c r="D47" s="18">
        <v>2024</v>
      </c>
      <c r="E47" t="s">
        <v>2939</v>
      </c>
      <c r="F47" t="s">
        <v>29</v>
      </c>
      <c r="G47" t="s">
        <v>30</v>
      </c>
      <c r="H47" t="s">
        <v>30</v>
      </c>
      <c r="I47" t="s">
        <v>2823</v>
      </c>
      <c r="J47" t="s">
        <v>30</v>
      </c>
      <c r="K47" t="s">
        <v>30</v>
      </c>
      <c r="L47" t="s">
        <v>15</v>
      </c>
      <c r="M47" s="22" t="s">
        <v>3719</v>
      </c>
      <c r="N47" t="s">
        <v>30</v>
      </c>
    </row>
    <row r="48" spans="1:14" hidden="1">
      <c r="A48" t="s">
        <v>2940</v>
      </c>
      <c r="B48" t="s">
        <v>3240</v>
      </c>
      <c r="C48" t="s">
        <v>2941</v>
      </c>
      <c r="D48" s="18">
        <v>2024</v>
      </c>
      <c r="E48" t="s">
        <v>2852</v>
      </c>
      <c r="F48" t="s">
        <v>29</v>
      </c>
      <c r="G48" t="s">
        <v>31</v>
      </c>
      <c r="N48" t="s">
        <v>31</v>
      </c>
    </row>
    <row r="49" spans="1:14" hidden="1">
      <c r="A49" t="s">
        <v>2942</v>
      </c>
      <c r="B49" t="s">
        <v>3241</v>
      </c>
      <c r="C49" t="s">
        <v>2943</v>
      </c>
      <c r="D49" s="18">
        <v>2025</v>
      </c>
      <c r="E49" t="s">
        <v>2834</v>
      </c>
      <c r="F49" t="s">
        <v>29</v>
      </c>
      <c r="G49" t="s">
        <v>30</v>
      </c>
      <c r="H49" t="s">
        <v>31</v>
      </c>
      <c r="I49" t="s">
        <v>2823</v>
      </c>
      <c r="J49" t="s">
        <v>31</v>
      </c>
      <c r="K49" t="s">
        <v>30</v>
      </c>
      <c r="L49" t="s">
        <v>12</v>
      </c>
      <c r="M49" s="22" t="s">
        <v>1752</v>
      </c>
      <c r="N49" t="s">
        <v>31</v>
      </c>
    </row>
    <row r="50" spans="1:14" hidden="1">
      <c r="A50" t="s">
        <v>2944</v>
      </c>
      <c r="B50" t="s">
        <v>3242</v>
      </c>
      <c r="C50" t="s">
        <v>2945</v>
      </c>
      <c r="D50" s="18">
        <v>2024</v>
      </c>
      <c r="E50" t="s">
        <v>2849</v>
      </c>
      <c r="F50" t="s">
        <v>29</v>
      </c>
      <c r="G50" t="s">
        <v>30</v>
      </c>
      <c r="H50" t="s">
        <v>31</v>
      </c>
      <c r="I50" t="s">
        <v>2823</v>
      </c>
      <c r="J50" t="s">
        <v>31</v>
      </c>
      <c r="K50" t="s">
        <v>30</v>
      </c>
      <c r="L50" t="s">
        <v>12</v>
      </c>
      <c r="M50" s="22" t="s">
        <v>1752</v>
      </c>
      <c r="N50" t="s">
        <v>31</v>
      </c>
    </row>
    <row r="51" spans="1:14" hidden="1">
      <c r="A51" t="s">
        <v>2946</v>
      </c>
      <c r="B51" t="s">
        <v>3243</v>
      </c>
      <c r="C51" t="s">
        <v>2947</v>
      </c>
      <c r="D51" s="18">
        <v>2025</v>
      </c>
      <c r="E51" t="s">
        <v>2948</v>
      </c>
      <c r="F51" t="s">
        <v>29</v>
      </c>
      <c r="G51" t="s">
        <v>31</v>
      </c>
      <c r="N51" t="s">
        <v>31</v>
      </c>
    </row>
    <row r="52" spans="1:14" ht="42">
      <c r="A52" t="s">
        <v>2949</v>
      </c>
      <c r="B52" t="s">
        <v>3244</v>
      </c>
      <c r="C52" t="s">
        <v>2950</v>
      </c>
      <c r="D52" s="18">
        <v>2023</v>
      </c>
      <c r="E52" t="s">
        <v>2898</v>
      </c>
      <c r="F52" t="s">
        <v>29</v>
      </c>
      <c r="G52" t="s">
        <v>30</v>
      </c>
      <c r="H52" t="s">
        <v>30</v>
      </c>
      <c r="I52" t="s">
        <v>2823</v>
      </c>
      <c r="J52" t="s">
        <v>30</v>
      </c>
      <c r="K52" t="s">
        <v>30</v>
      </c>
      <c r="L52" t="s">
        <v>15</v>
      </c>
      <c r="M52" s="22" t="s">
        <v>3720</v>
      </c>
      <c r="N52" t="s">
        <v>30</v>
      </c>
    </row>
    <row r="53" spans="1:14" hidden="1">
      <c r="A53" t="s">
        <v>2951</v>
      </c>
      <c r="B53" t="s">
        <v>3245</v>
      </c>
      <c r="C53" t="s">
        <v>2952</v>
      </c>
      <c r="D53" s="18">
        <v>2023</v>
      </c>
      <c r="E53" t="s">
        <v>2953</v>
      </c>
      <c r="F53" t="s">
        <v>29</v>
      </c>
      <c r="G53" t="s">
        <v>31</v>
      </c>
      <c r="N53" t="s">
        <v>31</v>
      </c>
    </row>
    <row r="54" spans="1:14" hidden="1">
      <c r="A54" t="s">
        <v>2954</v>
      </c>
      <c r="B54" t="s">
        <v>3246</v>
      </c>
      <c r="C54" t="s">
        <v>2955</v>
      </c>
      <c r="D54" s="18">
        <v>2025</v>
      </c>
      <c r="E54" t="s">
        <v>2956</v>
      </c>
      <c r="F54" t="s">
        <v>29</v>
      </c>
      <c r="G54" t="s">
        <v>30</v>
      </c>
      <c r="H54" t="s">
        <v>31</v>
      </c>
      <c r="I54" t="s">
        <v>2823</v>
      </c>
      <c r="J54" t="s">
        <v>31</v>
      </c>
      <c r="K54" t="s">
        <v>31</v>
      </c>
      <c r="L54" t="s">
        <v>12</v>
      </c>
      <c r="M54" s="22" t="s">
        <v>1752</v>
      </c>
      <c r="N54" t="s">
        <v>31</v>
      </c>
    </row>
    <row r="55" spans="1:14" ht="21.6">
      <c r="A55" t="s">
        <v>2957</v>
      </c>
      <c r="B55" t="s">
        <v>3247</v>
      </c>
      <c r="C55" t="s">
        <v>2958</v>
      </c>
      <c r="D55" s="18">
        <v>2024</v>
      </c>
      <c r="E55" t="s">
        <v>2877</v>
      </c>
      <c r="F55" t="s">
        <v>29</v>
      </c>
      <c r="G55" t="s">
        <v>30</v>
      </c>
      <c r="H55" t="s">
        <v>30</v>
      </c>
      <c r="I55" t="s">
        <v>2823</v>
      </c>
      <c r="J55" t="s">
        <v>30</v>
      </c>
      <c r="K55" t="s">
        <v>30</v>
      </c>
      <c r="L55" t="s">
        <v>3654</v>
      </c>
      <c r="M55" s="22" t="s">
        <v>3721</v>
      </c>
      <c r="N55" t="s">
        <v>30</v>
      </c>
    </row>
    <row r="56" spans="1:14" hidden="1">
      <c r="A56" t="s">
        <v>2959</v>
      </c>
      <c r="B56" t="s">
        <v>3248</v>
      </c>
      <c r="C56" t="s">
        <v>2960</v>
      </c>
      <c r="D56" s="18">
        <v>2025</v>
      </c>
      <c r="E56" t="s">
        <v>2828</v>
      </c>
      <c r="F56" t="s">
        <v>29</v>
      </c>
      <c r="G56" t="s">
        <v>30</v>
      </c>
      <c r="H56" t="s">
        <v>30</v>
      </c>
      <c r="I56" t="s">
        <v>2823</v>
      </c>
      <c r="J56" t="s">
        <v>30</v>
      </c>
      <c r="K56" t="s">
        <v>31</v>
      </c>
      <c r="L56" t="s">
        <v>12</v>
      </c>
      <c r="M56" s="22" t="s">
        <v>1752</v>
      </c>
      <c r="N56" t="s">
        <v>31</v>
      </c>
    </row>
    <row r="57" spans="1:14" hidden="1">
      <c r="A57" t="s">
        <v>2961</v>
      </c>
      <c r="B57" t="s">
        <v>3249</v>
      </c>
      <c r="C57" t="s">
        <v>2962</v>
      </c>
      <c r="D57" s="18">
        <v>2025</v>
      </c>
      <c r="E57" t="s">
        <v>2948</v>
      </c>
      <c r="F57" t="s">
        <v>29</v>
      </c>
      <c r="G57" t="s">
        <v>31</v>
      </c>
      <c r="N57" t="s">
        <v>31</v>
      </c>
    </row>
    <row r="58" spans="1:14" hidden="1">
      <c r="A58" t="s">
        <v>2963</v>
      </c>
      <c r="B58" t="s">
        <v>3250</v>
      </c>
      <c r="C58" t="s">
        <v>2964</v>
      </c>
      <c r="D58" s="18">
        <v>2025</v>
      </c>
      <c r="E58" t="s">
        <v>2883</v>
      </c>
      <c r="F58" t="s">
        <v>29</v>
      </c>
      <c r="G58" t="s">
        <v>30</v>
      </c>
      <c r="H58" t="s">
        <v>30</v>
      </c>
      <c r="I58" t="s">
        <v>2823</v>
      </c>
      <c r="J58" t="s">
        <v>30</v>
      </c>
      <c r="K58" t="s">
        <v>30</v>
      </c>
      <c r="L58" t="s">
        <v>12</v>
      </c>
      <c r="M58" s="22" t="s">
        <v>1752</v>
      </c>
      <c r="N58" t="s">
        <v>31</v>
      </c>
    </row>
    <row r="59" spans="1:14" hidden="1">
      <c r="A59" t="s">
        <v>2965</v>
      </c>
      <c r="B59" t="s">
        <v>3251</v>
      </c>
      <c r="C59" t="s">
        <v>2966</v>
      </c>
      <c r="D59" s="18">
        <v>2024</v>
      </c>
      <c r="E59" t="s">
        <v>2849</v>
      </c>
      <c r="F59" t="s">
        <v>29</v>
      </c>
      <c r="G59" t="s">
        <v>30</v>
      </c>
      <c r="H59" t="s">
        <v>30</v>
      </c>
      <c r="I59" t="s">
        <v>2823</v>
      </c>
      <c r="J59" t="s">
        <v>30</v>
      </c>
      <c r="K59" t="s">
        <v>30</v>
      </c>
      <c r="L59" t="s">
        <v>12</v>
      </c>
      <c r="M59" s="22" t="s">
        <v>1752</v>
      </c>
      <c r="N59" t="s">
        <v>31</v>
      </c>
    </row>
    <row r="60" spans="1:14" ht="52.2" hidden="1">
      <c r="A60" t="s">
        <v>2967</v>
      </c>
      <c r="B60" t="s">
        <v>3252</v>
      </c>
      <c r="C60" t="s">
        <v>2968</v>
      </c>
      <c r="D60" s="18">
        <v>2024</v>
      </c>
      <c r="E60" t="s">
        <v>2877</v>
      </c>
      <c r="F60" t="s">
        <v>29</v>
      </c>
      <c r="G60" t="s">
        <v>30</v>
      </c>
      <c r="H60" t="s">
        <v>31</v>
      </c>
      <c r="I60" t="s">
        <v>2823</v>
      </c>
      <c r="J60" t="s">
        <v>31</v>
      </c>
      <c r="K60" t="s">
        <v>30</v>
      </c>
      <c r="L60" t="s">
        <v>15</v>
      </c>
      <c r="M60" s="22" t="s">
        <v>3722</v>
      </c>
      <c r="N60" t="s">
        <v>31</v>
      </c>
    </row>
    <row r="61" spans="1:14" hidden="1">
      <c r="A61" t="s">
        <v>2969</v>
      </c>
      <c r="B61" t="s">
        <v>3253</v>
      </c>
      <c r="C61" t="s">
        <v>2970</v>
      </c>
      <c r="D61" s="18">
        <v>2024</v>
      </c>
      <c r="E61" t="s">
        <v>2849</v>
      </c>
      <c r="F61" t="s">
        <v>29</v>
      </c>
      <c r="G61" t="s">
        <v>30</v>
      </c>
      <c r="H61" t="s">
        <v>30</v>
      </c>
      <c r="I61" t="s">
        <v>2823</v>
      </c>
      <c r="J61" t="s">
        <v>30</v>
      </c>
      <c r="K61" t="s">
        <v>31</v>
      </c>
      <c r="L61" t="s">
        <v>12</v>
      </c>
      <c r="M61" s="22" t="s">
        <v>1752</v>
      </c>
      <c r="N61" t="s">
        <v>31</v>
      </c>
    </row>
    <row r="62" spans="1:14" hidden="1">
      <c r="A62" t="s">
        <v>2971</v>
      </c>
      <c r="B62" t="s">
        <v>3254</v>
      </c>
      <c r="C62" t="s">
        <v>2972</v>
      </c>
      <c r="D62" s="18">
        <v>2023</v>
      </c>
      <c r="E62" t="s">
        <v>2898</v>
      </c>
      <c r="F62" t="s">
        <v>29</v>
      </c>
      <c r="G62" t="s">
        <v>30</v>
      </c>
      <c r="H62" t="s">
        <v>31</v>
      </c>
      <c r="I62" t="s">
        <v>2823</v>
      </c>
      <c r="J62" t="s">
        <v>31</v>
      </c>
      <c r="K62" t="s">
        <v>30</v>
      </c>
      <c r="L62" t="s">
        <v>12</v>
      </c>
      <c r="M62" s="22" t="s">
        <v>1752</v>
      </c>
      <c r="N62" t="s">
        <v>31</v>
      </c>
    </row>
    <row r="63" spans="1:14" ht="21.6" hidden="1">
      <c r="A63" t="s">
        <v>2973</v>
      </c>
      <c r="B63" t="s">
        <v>3255</v>
      </c>
      <c r="C63" t="s">
        <v>2974</v>
      </c>
      <c r="D63" s="18">
        <v>2023</v>
      </c>
      <c r="E63" t="s">
        <v>2975</v>
      </c>
      <c r="F63" t="s">
        <v>29</v>
      </c>
      <c r="G63" t="s">
        <v>30</v>
      </c>
      <c r="H63" t="s">
        <v>31</v>
      </c>
      <c r="I63" t="s">
        <v>2823</v>
      </c>
      <c r="J63" t="s">
        <v>31</v>
      </c>
      <c r="K63" t="s">
        <v>30</v>
      </c>
      <c r="L63" t="s">
        <v>15</v>
      </c>
      <c r="M63" s="22" t="s">
        <v>3723</v>
      </c>
      <c r="N63" t="s">
        <v>31</v>
      </c>
    </row>
    <row r="64" spans="1:14" hidden="1">
      <c r="A64" t="s">
        <v>2976</v>
      </c>
      <c r="B64" t="s">
        <v>3256</v>
      </c>
      <c r="C64" t="s">
        <v>2977</v>
      </c>
      <c r="D64" s="18">
        <v>2023</v>
      </c>
      <c r="E64" t="s">
        <v>2843</v>
      </c>
      <c r="F64" t="s">
        <v>29</v>
      </c>
      <c r="G64" t="s">
        <v>31</v>
      </c>
      <c r="N64" t="s">
        <v>31</v>
      </c>
    </row>
    <row r="65" spans="1:14" hidden="1">
      <c r="A65" t="s">
        <v>2978</v>
      </c>
      <c r="B65" t="s">
        <v>3257</v>
      </c>
      <c r="C65" t="s">
        <v>2979</v>
      </c>
      <c r="D65" s="18">
        <v>2023</v>
      </c>
      <c r="E65" t="s">
        <v>2980</v>
      </c>
      <c r="F65" t="s">
        <v>29</v>
      </c>
      <c r="G65" t="s">
        <v>30</v>
      </c>
      <c r="H65" t="s">
        <v>31</v>
      </c>
      <c r="I65" t="s">
        <v>2823</v>
      </c>
      <c r="J65" t="s">
        <v>31</v>
      </c>
      <c r="K65" t="s">
        <v>30</v>
      </c>
      <c r="L65" t="s">
        <v>12</v>
      </c>
      <c r="M65" s="22" t="s">
        <v>1752</v>
      </c>
      <c r="N65" t="s">
        <v>31</v>
      </c>
    </row>
    <row r="66" spans="1:14" hidden="1">
      <c r="A66" t="s">
        <v>2981</v>
      </c>
      <c r="B66" t="s">
        <v>3258</v>
      </c>
      <c r="C66" t="s">
        <v>2982</v>
      </c>
      <c r="D66" s="18">
        <v>2024</v>
      </c>
      <c r="E66" t="s">
        <v>2983</v>
      </c>
      <c r="F66" t="s">
        <v>29</v>
      </c>
      <c r="G66" t="s">
        <v>30</v>
      </c>
      <c r="H66" t="s">
        <v>31</v>
      </c>
      <c r="I66" t="s">
        <v>2823</v>
      </c>
      <c r="J66" t="s">
        <v>31</v>
      </c>
      <c r="K66" t="s">
        <v>30</v>
      </c>
      <c r="L66" t="s">
        <v>13</v>
      </c>
      <c r="M66" s="22" t="s">
        <v>1752</v>
      </c>
      <c r="N66" t="s">
        <v>31</v>
      </c>
    </row>
    <row r="67" spans="1:14" hidden="1">
      <c r="A67" t="s">
        <v>2984</v>
      </c>
      <c r="B67" t="s">
        <v>3259</v>
      </c>
      <c r="C67" t="s">
        <v>2985</v>
      </c>
      <c r="D67" s="18">
        <v>2023</v>
      </c>
      <c r="E67" t="s">
        <v>2843</v>
      </c>
      <c r="F67" t="s">
        <v>29</v>
      </c>
      <c r="G67" t="s">
        <v>31</v>
      </c>
      <c r="N67" t="s">
        <v>31</v>
      </c>
    </row>
    <row r="68" spans="1:14" ht="42">
      <c r="A68" t="s">
        <v>2986</v>
      </c>
      <c r="B68" t="s">
        <v>3260</v>
      </c>
      <c r="C68" t="s">
        <v>2987</v>
      </c>
      <c r="D68" s="18">
        <v>2025</v>
      </c>
      <c r="E68" t="s">
        <v>2853</v>
      </c>
      <c r="F68" t="s">
        <v>29</v>
      </c>
      <c r="G68" t="s">
        <v>30</v>
      </c>
      <c r="H68" t="s">
        <v>30</v>
      </c>
      <c r="I68" t="s">
        <v>2823</v>
      </c>
      <c r="J68" t="s">
        <v>30</v>
      </c>
      <c r="K68" t="s">
        <v>30</v>
      </c>
      <c r="L68" t="s">
        <v>15</v>
      </c>
      <c r="M68" s="22" t="s">
        <v>3724</v>
      </c>
      <c r="N68" t="s">
        <v>30</v>
      </c>
    </row>
    <row r="69" spans="1:14" hidden="1">
      <c r="A69" t="s">
        <v>2988</v>
      </c>
      <c r="B69" t="s">
        <v>3261</v>
      </c>
      <c r="C69" t="s">
        <v>2989</v>
      </c>
      <c r="D69" s="18">
        <v>2023</v>
      </c>
      <c r="E69" t="s">
        <v>2853</v>
      </c>
      <c r="F69" t="s">
        <v>29</v>
      </c>
      <c r="G69" t="s">
        <v>30</v>
      </c>
      <c r="H69" t="s">
        <v>30</v>
      </c>
      <c r="I69" t="s">
        <v>2823</v>
      </c>
      <c r="J69" t="s">
        <v>30</v>
      </c>
      <c r="K69" t="s">
        <v>30</v>
      </c>
      <c r="L69" t="s">
        <v>12</v>
      </c>
      <c r="M69" s="22" t="s">
        <v>1752</v>
      </c>
      <c r="N69" t="s">
        <v>31</v>
      </c>
    </row>
    <row r="70" spans="1:14" ht="42">
      <c r="A70" t="s">
        <v>2990</v>
      </c>
      <c r="B70" t="s">
        <v>3262</v>
      </c>
      <c r="C70" t="s">
        <v>2991</v>
      </c>
      <c r="D70" s="18">
        <v>2023</v>
      </c>
      <c r="E70" t="s">
        <v>2992</v>
      </c>
      <c r="F70" t="s">
        <v>29</v>
      </c>
      <c r="G70" t="s">
        <v>30</v>
      </c>
      <c r="H70" t="s">
        <v>30</v>
      </c>
      <c r="I70" t="s">
        <v>2823</v>
      </c>
      <c r="J70" t="s">
        <v>30</v>
      </c>
      <c r="K70" t="s">
        <v>30</v>
      </c>
      <c r="L70" t="s">
        <v>15</v>
      </c>
      <c r="M70" s="22" t="s">
        <v>3725</v>
      </c>
      <c r="N70" t="s">
        <v>30</v>
      </c>
    </row>
    <row r="71" spans="1:14" hidden="1">
      <c r="A71" t="s">
        <v>2993</v>
      </c>
      <c r="B71" t="s">
        <v>3263</v>
      </c>
      <c r="C71" t="s">
        <v>2994</v>
      </c>
      <c r="D71" s="18">
        <v>2023</v>
      </c>
      <c r="E71" t="s">
        <v>2995</v>
      </c>
      <c r="F71" t="s">
        <v>29</v>
      </c>
      <c r="G71" t="s">
        <v>30</v>
      </c>
      <c r="H71" t="s">
        <v>30</v>
      </c>
      <c r="I71" t="s">
        <v>2823</v>
      </c>
      <c r="J71" t="s">
        <v>30</v>
      </c>
      <c r="K71" t="s">
        <v>30</v>
      </c>
      <c r="L71" t="s">
        <v>12</v>
      </c>
      <c r="M71" s="22" t="s">
        <v>1752</v>
      </c>
      <c r="N71" t="s">
        <v>31</v>
      </c>
    </row>
    <row r="72" spans="1:14" hidden="1">
      <c r="A72" t="s">
        <v>2996</v>
      </c>
      <c r="B72" t="s">
        <v>3264</v>
      </c>
      <c r="C72" t="s">
        <v>2997</v>
      </c>
      <c r="D72" s="18">
        <v>2023</v>
      </c>
      <c r="E72" t="s">
        <v>2953</v>
      </c>
      <c r="F72" t="s">
        <v>29</v>
      </c>
      <c r="G72" t="s">
        <v>31</v>
      </c>
      <c r="N72" t="s">
        <v>31</v>
      </c>
    </row>
    <row r="73" spans="1:14" ht="31.8">
      <c r="A73" t="s">
        <v>2998</v>
      </c>
      <c r="B73" t="s">
        <v>3265</v>
      </c>
      <c r="C73" t="s">
        <v>2999</v>
      </c>
      <c r="D73" s="18">
        <v>2024</v>
      </c>
      <c r="E73" t="s">
        <v>2956</v>
      </c>
      <c r="F73" t="s">
        <v>29</v>
      </c>
      <c r="G73" t="s">
        <v>30</v>
      </c>
      <c r="H73" t="s">
        <v>30</v>
      </c>
      <c r="I73" t="s">
        <v>2823</v>
      </c>
      <c r="J73" t="s">
        <v>30</v>
      </c>
      <c r="K73" t="s">
        <v>30</v>
      </c>
      <c r="L73" t="s">
        <v>15</v>
      </c>
      <c r="M73" s="22" t="s">
        <v>3726</v>
      </c>
      <c r="N73" t="s">
        <v>30</v>
      </c>
    </row>
    <row r="74" spans="1:14" hidden="1">
      <c r="A74" t="s">
        <v>3000</v>
      </c>
      <c r="B74" t="s">
        <v>3266</v>
      </c>
      <c r="C74" t="s">
        <v>3001</v>
      </c>
      <c r="D74" s="18">
        <v>2025</v>
      </c>
      <c r="E74" t="s">
        <v>2828</v>
      </c>
      <c r="F74" t="s">
        <v>29</v>
      </c>
      <c r="G74" t="s">
        <v>30</v>
      </c>
      <c r="H74" t="s">
        <v>30</v>
      </c>
      <c r="I74" t="s">
        <v>2823</v>
      </c>
      <c r="J74" t="s">
        <v>30</v>
      </c>
      <c r="K74" t="s">
        <v>30</v>
      </c>
      <c r="L74" t="s">
        <v>12</v>
      </c>
      <c r="M74" s="22" t="s">
        <v>1752</v>
      </c>
      <c r="N74" t="s">
        <v>31</v>
      </c>
    </row>
    <row r="75" spans="1:14" hidden="1">
      <c r="A75" t="s">
        <v>3002</v>
      </c>
      <c r="B75" t="s">
        <v>3267</v>
      </c>
      <c r="C75" t="s">
        <v>3003</v>
      </c>
      <c r="D75" s="18">
        <v>2024</v>
      </c>
      <c r="E75" t="s">
        <v>2853</v>
      </c>
      <c r="F75" t="s">
        <v>29</v>
      </c>
      <c r="G75" t="s">
        <v>31</v>
      </c>
      <c r="N75" t="s">
        <v>31</v>
      </c>
    </row>
    <row r="76" spans="1:14" hidden="1">
      <c r="A76" t="s">
        <v>3004</v>
      </c>
      <c r="B76" t="s">
        <v>3268</v>
      </c>
      <c r="C76" t="s">
        <v>3005</v>
      </c>
      <c r="D76" s="18">
        <v>2024</v>
      </c>
      <c r="E76" t="s">
        <v>2849</v>
      </c>
      <c r="F76" t="s">
        <v>29</v>
      </c>
      <c r="G76" t="s">
        <v>30</v>
      </c>
      <c r="H76" t="s">
        <v>31</v>
      </c>
      <c r="I76" t="s">
        <v>2823</v>
      </c>
      <c r="J76" t="s">
        <v>31</v>
      </c>
      <c r="K76" t="s">
        <v>30</v>
      </c>
      <c r="L76" t="s">
        <v>12</v>
      </c>
      <c r="M76" s="22" t="s">
        <v>1752</v>
      </c>
      <c r="N76" t="s">
        <v>31</v>
      </c>
    </row>
    <row r="77" spans="1:14" hidden="1">
      <c r="A77" t="s">
        <v>3006</v>
      </c>
      <c r="B77" t="s">
        <v>3269</v>
      </c>
      <c r="C77" t="s">
        <v>3007</v>
      </c>
      <c r="D77" s="18">
        <v>2023</v>
      </c>
      <c r="E77" t="s">
        <v>2859</v>
      </c>
      <c r="F77" t="s">
        <v>29</v>
      </c>
      <c r="G77" t="s">
        <v>31</v>
      </c>
      <c r="N77" t="s">
        <v>31</v>
      </c>
    </row>
    <row r="78" spans="1:14" hidden="1">
      <c r="A78" t="s">
        <v>3008</v>
      </c>
      <c r="B78" t="s">
        <v>3270</v>
      </c>
      <c r="C78" t="s">
        <v>3009</v>
      </c>
      <c r="D78" s="18">
        <v>2024</v>
      </c>
      <c r="E78" t="s">
        <v>2849</v>
      </c>
      <c r="F78" t="s">
        <v>29</v>
      </c>
      <c r="G78" t="s">
        <v>30</v>
      </c>
      <c r="H78" t="s">
        <v>30</v>
      </c>
      <c r="I78" t="s">
        <v>2823</v>
      </c>
      <c r="J78" t="s">
        <v>30</v>
      </c>
      <c r="K78" t="s">
        <v>30</v>
      </c>
      <c r="L78" t="s">
        <v>12</v>
      </c>
      <c r="M78" s="22" t="s">
        <v>1752</v>
      </c>
      <c r="N78" t="s">
        <v>31</v>
      </c>
    </row>
    <row r="79" spans="1:14" hidden="1">
      <c r="A79" t="s">
        <v>3010</v>
      </c>
      <c r="B79" t="s">
        <v>3271</v>
      </c>
      <c r="C79" t="s">
        <v>3011</v>
      </c>
      <c r="D79" s="18">
        <v>2024</v>
      </c>
      <c r="E79" t="s">
        <v>2948</v>
      </c>
      <c r="F79" t="s">
        <v>29</v>
      </c>
      <c r="G79" t="s">
        <v>31</v>
      </c>
      <c r="N79" t="s">
        <v>31</v>
      </c>
    </row>
    <row r="80" spans="1:14" hidden="1">
      <c r="A80" t="s">
        <v>3012</v>
      </c>
      <c r="B80" t="s">
        <v>3272</v>
      </c>
      <c r="C80" t="s">
        <v>3013</v>
      </c>
      <c r="D80" s="18">
        <v>2024</v>
      </c>
      <c r="E80" t="s">
        <v>2852</v>
      </c>
      <c r="F80" t="s">
        <v>29</v>
      </c>
      <c r="G80" t="s">
        <v>31</v>
      </c>
      <c r="N80" t="s">
        <v>31</v>
      </c>
    </row>
    <row r="81" spans="1:14" hidden="1">
      <c r="A81" t="s">
        <v>3014</v>
      </c>
      <c r="B81" t="s">
        <v>3273</v>
      </c>
      <c r="C81" t="s">
        <v>3015</v>
      </c>
      <c r="D81" s="18">
        <v>2024</v>
      </c>
      <c r="E81" t="s">
        <v>2846</v>
      </c>
      <c r="F81" t="s">
        <v>29</v>
      </c>
      <c r="G81" t="s">
        <v>31</v>
      </c>
      <c r="N81" t="s">
        <v>31</v>
      </c>
    </row>
    <row r="82" spans="1:14" hidden="1">
      <c r="A82" t="s">
        <v>3016</v>
      </c>
      <c r="B82" t="s">
        <v>3274</v>
      </c>
      <c r="C82" t="s">
        <v>3017</v>
      </c>
      <c r="D82" s="18">
        <v>2025</v>
      </c>
      <c r="E82" t="s">
        <v>2840</v>
      </c>
      <c r="F82" t="s">
        <v>29</v>
      </c>
      <c r="G82" t="s">
        <v>31</v>
      </c>
      <c r="N82" t="s">
        <v>31</v>
      </c>
    </row>
    <row r="83" spans="1:14" hidden="1">
      <c r="A83" t="s">
        <v>3018</v>
      </c>
      <c r="B83" t="s">
        <v>3275</v>
      </c>
      <c r="C83" t="s">
        <v>3019</v>
      </c>
      <c r="D83" s="18">
        <v>2025</v>
      </c>
      <c r="E83" t="s">
        <v>2840</v>
      </c>
      <c r="F83" t="s">
        <v>29</v>
      </c>
      <c r="G83" t="s">
        <v>31</v>
      </c>
      <c r="N83" t="s">
        <v>31</v>
      </c>
    </row>
    <row r="84" spans="1:14" hidden="1">
      <c r="A84" t="s">
        <v>3020</v>
      </c>
      <c r="B84" t="s">
        <v>3276</v>
      </c>
      <c r="C84" t="s">
        <v>2895</v>
      </c>
      <c r="D84" s="18">
        <v>2023</v>
      </c>
      <c r="E84" t="s">
        <v>2948</v>
      </c>
      <c r="F84" t="s">
        <v>29</v>
      </c>
      <c r="G84" t="s">
        <v>31</v>
      </c>
      <c r="N84" t="s">
        <v>31</v>
      </c>
    </row>
    <row r="85" spans="1:14" hidden="1">
      <c r="A85" t="s">
        <v>3021</v>
      </c>
      <c r="B85" t="s">
        <v>3277</v>
      </c>
      <c r="C85" t="s">
        <v>3022</v>
      </c>
      <c r="D85" s="18">
        <v>2025</v>
      </c>
      <c r="E85" t="s">
        <v>2948</v>
      </c>
      <c r="F85" t="s">
        <v>29</v>
      </c>
      <c r="G85" t="s">
        <v>31</v>
      </c>
      <c r="N85" t="s">
        <v>31</v>
      </c>
    </row>
    <row r="86" spans="1:14" hidden="1">
      <c r="A86" t="s">
        <v>3023</v>
      </c>
      <c r="B86" t="s">
        <v>3278</v>
      </c>
      <c r="C86" t="s">
        <v>3024</v>
      </c>
      <c r="D86" s="18">
        <v>2024</v>
      </c>
      <c r="E86" t="s">
        <v>2852</v>
      </c>
      <c r="F86" t="s">
        <v>29</v>
      </c>
      <c r="G86" t="s">
        <v>31</v>
      </c>
      <c r="N86" t="s">
        <v>31</v>
      </c>
    </row>
    <row r="87" spans="1:14" ht="52.2" hidden="1">
      <c r="A87" t="s">
        <v>3025</v>
      </c>
      <c r="B87" t="s">
        <v>3279</v>
      </c>
      <c r="C87" t="s">
        <v>3026</v>
      </c>
      <c r="D87" s="18">
        <v>2023</v>
      </c>
      <c r="E87" t="s">
        <v>2870</v>
      </c>
      <c r="F87" t="s">
        <v>29</v>
      </c>
      <c r="G87" t="s">
        <v>30</v>
      </c>
      <c r="H87" t="s">
        <v>31</v>
      </c>
      <c r="I87" t="s">
        <v>2823</v>
      </c>
      <c r="J87" t="s">
        <v>31</v>
      </c>
      <c r="K87" t="s">
        <v>30</v>
      </c>
      <c r="L87" t="s">
        <v>15</v>
      </c>
      <c r="M87" s="22" t="s">
        <v>3727</v>
      </c>
      <c r="N87" t="s">
        <v>31</v>
      </c>
    </row>
    <row r="88" spans="1:14" hidden="1">
      <c r="A88" t="s">
        <v>3027</v>
      </c>
      <c r="B88" t="s">
        <v>3280</v>
      </c>
      <c r="C88" t="s">
        <v>3028</v>
      </c>
      <c r="D88" s="18">
        <v>2023</v>
      </c>
      <c r="E88" t="s">
        <v>3029</v>
      </c>
      <c r="F88" t="s">
        <v>29</v>
      </c>
      <c r="G88" t="s">
        <v>3696</v>
      </c>
      <c r="N88" t="s">
        <v>31</v>
      </c>
    </row>
    <row r="89" spans="1:14" hidden="1">
      <c r="A89" t="s">
        <v>3030</v>
      </c>
      <c r="B89" t="s">
        <v>3281</v>
      </c>
      <c r="C89" t="s">
        <v>3031</v>
      </c>
      <c r="D89" s="18">
        <v>2024</v>
      </c>
      <c r="E89" t="s">
        <v>2846</v>
      </c>
      <c r="F89" t="s">
        <v>29</v>
      </c>
      <c r="G89" t="s">
        <v>31</v>
      </c>
      <c r="N89" t="s">
        <v>31</v>
      </c>
    </row>
    <row r="90" spans="1:14" hidden="1">
      <c r="A90" t="s">
        <v>3032</v>
      </c>
      <c r="B90" t="s">
        <v>3282</v>
      </c>
      <c r="C90" t="s">
        <v>3033</v>
      </c>
      <c r="D90" s="18">
        <v>2024</v>
      </c>
      <c r="E90" t="s">
        <v>2849</v>
      </c>
      <c r="F90" t="s">
        <v>29</v>
      </c>
      <c r="G90" t="s">
        <v>30</v>
      </c>
      <c r="H90" t="s">
        <v>30</v>
      </c>
      <c r="I90" t="s">
        <v>2823</v>
      </c>
      <c r="J90" t="s">
        <v>30</v>
      </c>
      <c r="K90" t="s">
        <v>30</v>
      </c>
      <c r="L90" t="s">
        <v>12</v>
      </c>
      <c r="M90" s="22" t="s">
        <v>1752</v>
      </c>
      <c r="N90" t="s">
        <v>31</v>
      </c>
    </row>
    <row r="91" spans="1:14" hidden="1">
      <c r="A91" t="s">
        <v>3034</v>
      </c>
      <c r="B91" t="s">
        <v>3283</v>
      </c>
      <c r="C91" t="s">
        <v>3035</v>
      </c>
      <c r="D91" s="18">
        <v>2024</v>
      </c>
      <c r="E91" t="s">
        <v>2849</v>
      </c>
      <c r="F91" t="s">
        <v>29</v>
      </c>
      <c r="G91" t="s">
        <v>30</v>
      </c>
      <c r="H91" t="s">
        <v>30</v>
      </c>
      <c r="I91" t="s">
        <v>2823</v>
      </c>
      <c r="J91" t="s">
        <v>30</v>
      </c>
      <c r="K91" t="s">
        <v>30</v>
      </c>
      <c r="L91" t="s">
        <v>12</v>
      </c>
      <c r="M91" s="22" t="s">
        <v>1752</v>
      </c>
      <c r="N91" t="s">
        <v>31</v>
      </c>
    </row>
    <row r="92" spans="1:14" hidden="1">
      <c r="A92" t="s">
        <v>3036</v>
      </c>
      <c r="B92" t="s">
        <v>3284</v>
      </c>
      <c r="C92" t="s">
        <v>3037</v>
      </c>
      <c r="D92" s="18">
        <v>2023</v>
      </c>
      <c r="E92" t="s">
        <v>2898</v>
      </c>
      <c r="F92" t="s">
        <v>29</v>
      </c>
      <c r="G92" t="s">
        <v>30</v>
      </c>
      <c r="H92" t="s">
        <v>30</v>
      </c>
      <c r="I92" t="s">
        <v>2823</v>
      </c>
      <c r="J92" t="s">
        <v>30</v>
      </c>
      <c r="K92" t="s">
        <v>30</v>
      </c>
      <c r="L92" t="s">
        <v>12</v>
      </c>
      <c r="M92" s="22" t="s">
        <v>1752</v>
      </c>
      <c r="N92" t="s">
        <v>31</v>
      </c>
    </row>
    <row r="93" spans="1:14" hidden="1">
      <c r="A93" t="s">
        <v>3038</v>
      </c>
      <c r="B93" t="s">
        <v>3285</v>
      </c>
      <c r="C93" t="s">
        <v>3039</v>
      </c>
      <c r="D93" s="18">
        <v>2023</v>
      </c>
      <c r="E93" t="s">
        <v>2953</v>
      </c>
      <c r="F93" t="s">
        <v>29</v>
      </c>
      <c r="G93" t="s">
        <v>31</v>
      </c>
      <c r="N93" t="s">
        <v>31</v>
      </c>
    </row>
    <row r="94" spans="1:14" hidden="1">
      <c r="A94" t="s">
        <v>3040</v>
      </c>
      <c r="B94" t="s">
        <v>3286</v>
      </c>
      <c r="C94" t="s">
        <v>3041</v>
      </c>
      <c r="D94" s="18">
        <v>2025</v>
      </c>
      <c r="E94" t="s">
        <v>2948</v>
      </c>
      <c r="F94" t="s">
        <v>29</v>
      </c>
      <c r="G94" t="s">
        <v>31</v>
      </c>
      <c r="N94" t="s">
        <v>31</v>
      </c>
    </row>
    <row r="95" spans="1:14" hidden="1">
      <c r="A95" t="s">
        <v>3042</v>
      </c>
      <c r="B95" t="s">
        <v>3287</v>
      </c>
      <c r="C95" t="s">
        <v>3043</v>
      </c>
      <c r="D95" s="18">
        <v>2024</v>
      </c>
      <c r="E95" t="s">
        <v>2852</v>
      </c>
      <c r="F95" t="s">
        <v>29</v>
      </c>
      <c r="G95" t="s">
        <v>31</v>
      </c>
      <c r="N95" t="s">
        <v>31</v>
      </c>
    </row>
    <row r="96" spans="1:14" hidden="1">
      <c r="A96" t="s">
        <v>3044</v>
      </c>
      <c r="B96" t="s">
        <v>3288</v>
      </c>
      <c r="C96" t="s">
        <v>3045</v>
      </c>
      <c r="D96" s="18">
        <v>2025</v>
      </c>
      <c r="E96" t="s">
        <v>2883</v>
      </c>
      <c r="F96" t="s">
        <v>29</v>
      </c>
      <c r="G96" t="s">
        <v>30</v>
      </c>
      <c r="H96" t="s">
        <v>30</v>
      </c>
      <c r="I96" t="s">
        <v>2823</v>
      </c>
      <c r="J96" t="s">
        <v>30</v>
      </c>
      <c r="K96" t="s">
        <v>31</v>
      </c>
      <c r="L96" t="s">
        <v>12</v>
      </c>
      <c r="M96" s="22" t="s">
        <v>1752</v>
      </c>
      <c r="N96" t="s">
        <v>31</v>
      </c>
    </row>
    <row r="97" spans="1:14" hidden="1">
      <c r="A97" t="s">
        <v>3046</v>
      </c>
      <c r="B97" t="s">
        <v>3289</v>
      </c>
      <c r="C97" t="s">
        <v>3047</v>
      </c>
      <c r="D97" s="18">
        <v>2023</v>
      </c>
      <c r="E97" t="s">
        <v>2928</v>
      </c>
      <c r="F97" t="s">
        <v>29</v>
      </c>
      <c r="G97" t="s">
        <v>30</v>
      </c>
      <c r="H97" t="s">
        <v>30</v>
      </c>
      <c r="I97" t="s">
        <v>2823</v>
      </c>
      <c r="J97" t="s">
        <v>30</v>
      </c>
      <c r="K97" t="s">
        <v>30</v>
      </c>
      <c r="L97" t="s">
        <v>12</v>
      </c>
      <c r="M97" s="22" t="s">
        <v>1752</v>
      </c>
      <c r="N97" t="s">
        <v>31</v>
      </c>
    </row>
    <row r="98" spans="1:14" hidden="1">
      <c r="A98" t="s">
        <v>3048</v>
      </c>
      <c r="B98" t="s">
        <v>3290</v>
      </c>
      <c r="C98" t="s">
        <v>3049</v>
      </c>
      <c r="D98" s="18">
        <v>2024</v>
      </c>
      <c r="E98" t="s">
        <v>2856</v>
      </c>
      <c r="F98" t="s">
        <v>29</v>
      </c>
      <c r="G98" t="s">
        <v>31</v>
      </c>
      <c r="N98" t="s">
        <v>31</v>
      </c>
    </row>
    <row r="99" spans="1:14" hidden="1">
      <c r="A99" t="s">
        <v>3050</v>
      </c>
      <c r="B99" t="s">
        <v>3291</v>
      </c>
      <c r="C99" t="s">
        <v>3051</v>
      </c>
      <c r="D99" s="18">
        <v>2024</v>
      </c>
      <c r="E99" t="s">
        <v>2849</v>
      </c>
      <c r="F99" t="s">
        <v>29</v>
      </c>
      <c r="G99" t="s">
        <v>30</v>
      </c>
      <c r="H99" t="s">
        <v>30</v>
      </c>
      <c r="I99" t="s">
        <v>2823</v>
      </c>
      <c r="J99" t="s">
        <v>30</v>
      </c>
      <c r="K99" t="s">
        <v>30</v>
      </c>
      <c r="L99" t="s">
        <v>12</v>
      </c>
      <c r="M99" s="22" t="s">
        <v>1752</v>
      </c>
      <c r="N99" t="s">
        <v>31</v>
      </c>
    </row>
    <row r="100" spans="1:14" ht="72.599999999999994" hidden="1">
      <c r="A100" t="s">
        <v>3052</v>
      </c>
      <c r="B100" t="s">
        <v>3292</v>
      </c>
      <c r="C100" t="s">
        <v>3053</v>
      </c>
      <c r="D100" s="18">
        <v>2024</v>
      </c>
      <c r="E100" t="s">
        <v>2956</v>
      </c>
      <c r="F100" t="s">
        <v>29</v>
      </c>
      <c r="G100" t="s">
        <v>30</v>
      </c>
      <c r="H100" t="s">
        <v>31</v>
      </c>
      <c r="I100" t="s">
        <v>2823</v>
      </c>
      <c r="J100" t="s">
        <v>31</v>
      </c>
      <c r="K100" t="s">
        <v>30</v>
      </c>
      <c r="L100" t="s">
        <v>15</v>
      </c>
      <c r="M100" s="22" t="s">
        <v>3728</v>
      </c>
      <c r="N100" t="s">
        <v>31</v>
      </c>
    </row>
    <row r="101" spans="1:14" hidden="1">
      <c r="A101" t="s">
        <v>3054</v>
      </c>
      <c r="B101" t="s">
        <v>3293</v>
      </c>
      <c r="C101" t="s">
        <v>3055</v>
      </c>
      <c r="D101" s="18">
        <v>2024</v>
      </c>
      <c r="E101" t="s">
        <v>2928</v>
      </c>
      <c r="F101" t="s">
        <v>29</v>
      </c>
      <c r="G101" t="s">
        <v>30</v>
      </c>
      <c r="H101" t="s">
        <v>31</v>
      </c>
      <c r="I101" t="s">
        <v>2823</v>
      </c>
      <c r="J101" t="s">
        <v>31</v>
      </c>
      <c r="K101" t="s">
        <v>30</v>
      </c>
      <c r="L101" t="s">
        <v>12</v>
      </c>
      <c r="M101" s="22" t="s">
        <v>1752</v>
      </c>
      <c r="N101" t="s">
        <v>31</v>
      </c>
    </row>
    <row r="102" spans="1:14" hidden="1">
      <c r="A102" t="s">
        <v>3056</v>
      </c>
      <c r="B102" t="s">
        <v>3294</v>
      </c>
      <c r="C102" t="s">
        <v>3057</v>
      </c>
      <c r="D102" s="18">
        <v>2025</v>
      </c>
      <c r="E102" t="s">
        <v>2828</v>
      </c>
      <c r="F102" t="s">
        <v>29</v>
      </c>
      <c r="G102" t="s">
        <v>30</v>
      </c>
      <c r="H102" t="s">
        <v>30</v>
      </c>
      <c r="I102" t="s">
        <v>2823</v>
      </c>
      <c r="J102" t="s">
        <v>30</v>
      </c>
      <c r="K102" t="s">
        <v>31</v>
      </c>
      <c r="L102" t="s">
        <v>12</v>
      </c>
      <c r="M102" s="22" t="s">
        <v>1752</v>
      </c>
      <c r="N102" t="s">
        <v>31</v>
      </c>
    </row>
    <row r="103" spans="1:14" hidden="1">
      <c r="A103" t="s">
        <v>3058</v>
      </c>
      <c r="B103" t="s">
        <v>3295</v>
      </c>
      <c r="C103" t="s">
        <v>3059</v>
      </c>
      <c r="D103" s="18">
        <v>2025</v>
      </c>
      <c r="E103" t="s">
        <v>2853</v>
      </c>
      <c r="F103" t="s">
        <v>29</v>
      </c>
      <c r="G103" t="s">
        <v>31</v>
      </c>
      <c r="N103" t="s">
        <v>31</v>
      </c>
    </row>
    <row r="104" spans="1:14" hidden="1">
      <c r="A104" t="s">
        <v>3060</v>
      </c>
      <c r="B104" t="s">
        <v>3296</v>
      </c>
      <c r="C104" t="s">
        <v>3061</v>
      </c>
      <c r="D104" s="18">
        <v>2024</v>
      </c>
      <c r="E104" t="s">
        <v>2852</v>
      </c>
      <c r="F104" t="s">
        <v>29</v>
      </c>
      <c r="G104" t="s">
        <v>31</v>
      </c>
      <c r="N104" t="s">
        <v>31</v>
      </c>
    </row>
    <row r="105" spans="1:14" hidden="1">
      <c r="A105" t="s">
        <v>3062</v>
      </c>
      <c r="B105" t="s">
        <v>3297</v>
      </c>
      <c r="C105" t="s">
        <v>3063</v>
      </c>
      <c r="D105" s="18">
        <v>2023</v>
      </c>
      <c r="E105" t="s">
        <v>2859</v>
      </c>
      <c r="F105" t="s">
        <v>29</v>
      </c>
      <c r="G105" t="s">
        <v>31</v>
      </c>
      <c r="N105" t="s">
        <v>31</v>
      </c>
    </row>
    <row r="106" spans="1:14" hidden="1">
      <c r="A106" t="s">
        <v>3064</v>
      </c>
      <c r="B106" t="s">
        <v>3298</v>
      </c>
      <c r="C106" t="s">
        <v>3065</v>
      </c>
      <c r="D106" s="18">
        <v>2025</v>
      </c>
      <c r="E106" t="s">
        <v>2834</v>
      </c>
      <c r="F106" t="s">
        <v>29</v>
      </c>
      <c r="G106" t="s">
        <v>30</v>
      </c>
      <c r="H106" t="s">
        <v>30</v>
      </c>
      <c r="I106" t="s">
        <v>2823</v>
      </c>
      <c r="J106" t="s">
        <v>30</v>
      </c>
      <c r="K106" t="s">
        <v>31</v>
      </c>
      <c r="L106" t="s">
        <v>12</v>
      </c>
      <c r="M106" s="22" t="s">
        <v>1752</v>
      </c>
      <c r="N106" t="s">
        <v>31</v>
      </c>
    </row>
    <row r="107" spans="1:14" hidden="1">
      <c r="A107" t="s">
        <v>3066</v>
      </c>
      <c r="B107" t="s">
        <v>3299</v>
      </c>
      <c r="C107" t="s">
        <v>3067</v>
      </c>
      <c r="D107" s="18">
        <v>2024</v>
      </c>
      <c r="E107" t="s">
        <v>3068</v>
      </c>
      <c r="F107" t="s">
        <v>29</v>
      </c>
      <c r="G107" t="s">
        <v>30</v>
      </c>
      <c r="H107" t="s">
        <v>31</v>
      </c>
      <c r="I107" t="s">
        <v>2823</v>
      </c>
      <c r="J107" t="s">
        <v>31</v>
      </c>
      <c r="K107" t="s">
        <v>31</v>
      </c>
      <c r="L107" t="s">
        <v>12</v>
      </c>
      <c r="M107" s="22" t="s">
        <v>1752</v>
      </c>
      <c r="N107" t="s">
        <v>31</v>
      </c>
    </row>
    <row r="108" spans="1:14" hidden="1">
      <c r="A108" t="s">
        <v>3069</v>
      </c>
      <c r="B108" t="s">
        <v>3300</v>
      </c>
      <c r="C108" t="s">
        <v>3070</v>
      </c>
      <c r="D108" s="18">
        <v>2024</v>
      </c>
      <c r="E108" t="s">
        <v>2856</v>
      </c>
      <c r="F108" t="s">
        <v>29</v>
      </c>
      <c r="G108" t="s">
        <v>31</v>
      </c>
      <c r="N108" t="s">
        <v>31</v>
      </c>
    </row>
    <row r="109" spans="1:14" hidden="1">
      <c r="A109" t="s">
        <v>3071</v>
      </c>
      <c r="B109" t="s">
        <v>3301</v>
      </c>
      <c r="C109" t="s">
        <v>3072</v>
      </c>
      <c r="D109" s="18">
        <v>2025</v>
      </c>
      <c r="E109" t="s">
        <v>2840</v>
      </c>
      <c r="F109" t="s">
        <v>29</v>
      </c>
      <c r="G109" t="s">
        <v>31</v>
      </c>
      <c r="N109" t="s">
        <v>31</v>
      </c>
    </row>
    <row r="110" spans="1:14" hidden="1">
      <c r="A110" t="s">
        <v>3073</v>
      </c>
      <c r="B110" t="s">
        <v>3302</v>
      </c>
      <c r="C110" t="s">
        <v>3074</v>
      </c>
      <c r="D110" s="18">
        <v>2023</v>
      </c>
      <c r="E110" t="s">
        <v>2953</v>
      </c>
      <c r="F110" t="s">
        <v>29</v>
      </c>
      <c r="G110" t="s">
        <v>31</v>
      </c>
      <c r="N110" t="s">
        <v>31</v>
      </c>
    </row>
    <row r="111" spans="1:14" hidden="1">
      <c r="A111" t="s">
        <v>3075</v>
      </c>
      <c r="B111" t="s">
        <v>3303</v>
      </c>
      <c r="C111" t="s">
        <v>3076</v>
      </c>
      <c r="D111" s="18">
        <v>2023</v>
      </c>
      <c r="E111" t="s">
        <v>2948</v>
      </c>
      <c r="F111" t="s">
        <v>29</v>
      </c>
      <c r="G111" t="s">
        <v>31</v>
      </c>
      <c r="N111" t="s">
        <v>31</v>
      </c>
    </row>
    <row r="112" spans="1:14" hidden="1">
      <c r="A112" t="s">
        <v>3077</v>
      </c>
      <c r="B112" t="s">
        <v>3304</v>
      </c>
      <c r="C112" t="s">
        <v>3078</v>
      </c>
      <c r="D112" s="18">
        <v>2025</v>
      </c>
      <c r="E112" t="s">
        <v>2840</v>
      </c>
      <c r="F112" t="s">
        <v>29</v>
      </c>
      <c r="G112" t="s">
        <v>31</v>
      </c>
      <c r="N112" t="s">
        <v>31</v>
      </c>
    </row>
    <row r="113" spans="1:14" hidden="1">
      <c r="A113" t="s">
        <v>3079</v>
      </c>
      <c r="B113" t="s">
        <v>3305</v>
      </c>
      <c r="C113" t="s">
        <v>3080</v>
      </c>
      <c r="D113" s="18">
        <v>2023</v>
      </c>
      <c r="E113" t="s">
        <v>2870</v>
      </c>
      <c r="F113" t="s">
        <v>29</v>
      </c>
      <c r="G113" t="s">
        <v>30</v>
      </c>
      <c r="H113" t="s">
        <v>31</v>
      </c>
      <c r="I113" t="s">
        <v>2823</v>
      </c>
      <c r="J113" t="s">
        <v>31</v>
      </c>
      <c r="K113" t="s">
        <v>30</v>
      </c>
      <c r="L113" t="s">
        <v>12</v>
      </c>
      <c r="M113" s="22" t="s">
        <v>1752</v>
      </c>
      <c r="N113" t="s">
        <v>31</v>
      </c>
    </row>
    <row r="114" spans="1:14" hidden="1">
      <c r="A114" t="s">
        <v>3081</v>
      </c>
      <c r="B114" t="s">
        <v>3306</v>
      </c>
      <c r="C114" t="s">
        <v>2938</v>
      </c>
      <c r="D114" s="18">
        <v>2025</v>
      </c>
      <c r="E114" t="s">
        <v>3082</v>
      </c>
      <c r="F114" t="s">
        <v>29</v>
      </c>
      <c r="G114" t="s">
        <v>30</v>
      </c>
      <c r="H114" t="s">
        <v>30</v>
      </c>
      <c r="I114" t="s">
        <v>2823</v>
      </c>
      <c r="J114" t="s">
        <v>30</v>
      </c>
      <c r="K114" t="s">
        <v>30</v>
      </c>
      <c r="L114" t="s">
        <v>12</v>
      </c>
      <c r="M114" s="22" t="s">
        <v>1752</v>
      </c>
      <c r="N114" t="s">
        <v>31</v>
      </c>
    </row>
    <row r="115" spans="1:14" hidden="1">
      <c r="A115" t="s">
        <v>3083</v>
      </c>
      <c r="B115" t="s">
        <v>3307</v>
      </c>
      <c r="C115" t="s">
        <v>3084</v>
      </c>
      <c r="D115" s="18">
        <v>2024</v>
      </c>
      <c r="E115" t="s">
        <v>3085</v>
      </c>
      <c r="F115" t="s">
        <v>29</v>
      </c>
      <c r="G115" t="s">
        <v>30</v>
      </c>
      <c r="H115" t="s">
        <v>30</v>
      </c>
      <c r="I115" t="s">
        <v>2823</v>
      </c>
      <c r="J115" t="s">
        <v>30</v>
      </c>
      <c r="K115" t="s">
        <v>30</v>
      </c>
      <c r="L115" t="s">
        <v>12</v>
      </c>
      <c r="M115" s="22" t="s">
        <v>1752</v>
      </c>
      <c r="N115" t="s">
        <v>31</v>
      </c>
    </row>
    <row r="116" spans="1:14" hidden="1">
      <c r="A116" t="s">
        <v>3086</v>
      </c>
      <c r="B116" t="s">
        <v>3308</v>
      </c>
      <c r="C116" t="s">
        <v>3087</v>
      </c>
      <c r="D116" s="18">
        <v>2023</v>
      </c>
      <c r="E116" t="s">
        <v>2928</v>
      </c>
      <c r="F116" t="s">
        <v>29</v>
      </c>
      <c r="G116" t="s">
        <v>30</v>
      </c>
      <c r="H116" t="s">
        <v>31</v>
      </c>
      <c r="I116" t="s">
        <v>2823</v>
      </c>
      <c r="J116" t="s">
        <v>31</v>
      </c>
      <c r="K116" t="s">
        <v>30</v>
      </c>
      <c r="L116" t="s">
        <v>12</v>
      </c>
      <c r="M116" s="22" t="s">
        <v>1752</v>
      </c>
      <c r="N116" t="s">
        <v>31</v>
      </c>
    </row>
    <row r="117" spans="1:14" hidden="1">
      <c r="A117" t="s">
        <v>3088</v>
      </c>
      <c r="B117" t="s">
        <v>3309</v>
      </c>
      <c r="C117" t="s">
        <v>3089</v>
      </c>
      <c r="D117" s="18">
        <v>2025</v>
      </c>
      <c r="E117" t="s">
        <v>2840</v>
      </c>
      <c r="F117" t="s">
        <v>29</v>
      </c>
      <c r="G117" t="s">
        <v>31</v>
      </c>
      <c r="N117" t="s">
        <v>31</v>
      </c>
    </row>
    <row r="118" spans="1:14" hidden="1">
      <c r="A118" t="s">
        <v>3090</v>
      </c>
      <c r="B118" t="s">
        <v>3310</v>
      </c>
      <c r="C118" t="s">
        <v>3091</v>
      </c>
      <c r="D118" s="18">
        <v>2023</v>
      </c>
      <c r="E118" t="s">
        <v>2953</v>
      </c>
      <c r="F118" t="s">
        <v>29</v>
      </c>
      <c r="G118" t="s">
        <v>31</v>
      </c>
      <c r="N118" t="s">
        <v>31</v>
      </c>
    </row>
    <row r="119" spans="1:14" hidden="1">
      <c r="A119" t="s">
        <v>3092</v>
      </c>
      <c r="B119" t="s">
        <v>3311</v>
      </c>
      <c r="C119" t="s">
        <v>3093</v>
      </c>
      <c r="D119" s="18">
        <v>2023</v>
      </c>
      <c r="E119" t="s">
        <v>2843</v>
      </c>
      <c r="F119" t="s">
        <v>29</v>
      </c>
      <c r="G119" t="s">
        <v>31</v>
      </c>
      <c r="N119" t="s">
        <v>31</v>
      </c>
    </row>
    <row r="120" spans="1:14" hidden="1">
      <c r="A120" t="s">
        <v>3094</v>
      </c>
      <c r="B120" t="s">
        <v>3312</v>
      </c>
      <c r="C120" t="s">
        <v>3095</v>
      </c>
      <c r="D120" s="18">
        <v>2024</v>
      </c>
      <c r="E120" t="s">
        <v>2849</v>
      </c>
      <c r="F120" t="s">
        <v>29</v>
      </c>
      <c r="G120" t="s">
        <v>30</v>
      </c>
      <c r="H120" t="s">
        <v>30</v>
      </c>
      <c r="I120" t="s">
        <v>2823</v>
      </c>
      <c r="J120" t="s">
        <v>30</v>
      </c>
      <c r="K120" t="s">
        <v>31</v>
      </c>
      <c r="L120" t="s">
        <v>12</v>
      </c>
      <c r="M120" s="22" t="s">
        <v>1752</v>
      </c>
      <c r="N120" t="s">
        <v>31</v>
      </c>
    </row>
    <row r="121" spans="1:14" hidden="1">
      <c r="A121" t="s">
        <v>3096</v>
      </c>
      <c r="B121" t="s">
        <v>3313</v>
      </c>
      <c r="C121" t="s">
        <v>3097</v>
      </c>
      <c r="D121" s="18">
        <v>2024</v>
      </c>
      <c r="E121" t="s">
        <v>2856</v>
      </c>
      <c r="F121" t="s">
        <v>29</v>
      </c>
      <c r="G121" t="s">
        <v>31</v>
      </c>
      <c r="N121" t="s">
        <v>31</v>
      </c>
    </row>
    <row r="122" spans="1:14" hidden="1">
      <c r="A122" t="s">
        <v>3098</v>
      </c>
      <c r="B122" t="s">
        <v>3314</v>
      </c>
      <c r="C122" t="s">
        <v>3099</v>
      </c>
      <c r="D122" s="18">
        <v>2024</v>
      </c>
      <c r="E122" t="s">
        <v>2856</v>
      </c>
      <c r="F122" t="s">
        <v>29</v>
      </c>
      <c r="G122" t="s">
        <v>31</v>
      </c>
      <c r="N122" t="s">
        <v>31</v>
      </c>
    </row>
    <row r="123" spans="1:14" hidden="1">
      <c r="A123" t="s">
        <v>3100</v>
      </c>
      <c r="B123" t="s">
        <v>3315</v>
      </c>
      <c r="C123" t="s">
        <v>3101</v>
      </c>
      <c r="D123" s="18">
        <v>2024</v>
      </c>
      <c r="E123" t="s">
        <v>2948</v>
      </c>
      <c r="F123" t="s">
        <v>29</v>
      </c>
      <c r="G123" t="s">
        <v>31</v>
      </c>
      <c r="N123" t="s">
        <v>31</v>
      </c>
    </row>
    <row r="124" spans="1:14" hidden="1">
      <c r="A124" t="s">
        <v>3102</v>
      </c>
      <c r="B124" t="s">
        <v>3316</v>
      </c>
      <c r="C124" t="s">
        <v>3103</v>
      </c>
      <c r="D124" s="18">
        <v>2024</v>
      </c>
      <c r="E124" t="s">
        <v>2877</v>
      </c>
      <c r="F124" t="s">
        <v>29</v>
      </c>
      <c r="G124" t="s">
        <v>30</v>
      </c>
      <c r="H124" t="s">
        <v>31</v>
      </c>
      <c r="I124" t="s">
        <v>2823</v>
      </c>
      <c r="J124" t="s">
        <v>31</v>
      </c>
      <c r="K124" t="s">
        <v>31</v>
      </c>
      <c r="L124" t="s">
        <v>12</v>
      </c>
      <c r="M124" s="22" t="s">
        <v>1752</v>
      </c>
      <c r="N124" t="s">
        <v>31</v>
      </c>
    </row>
    <row r="125" spans="1:14" hidden="1">
      <c r="A125" t="s">
        <v>3104</v>
      </c>
      <c r="B125" t="s">
        <v>3317</v>
      </c>
      <c r="C125" t="s">
        <v>3105</v>
      </c>
      <c r="D125" s="18">
        <v>2024</v>
      </c>
      <c r="E125" t="s">
        <v>2856</v>
      </c>
      <c r="F125" t="s">
        <v>29</v>
      </c>
      <c r="G125" t="s">
        <v>31</v>
      </c>
      <c r="N125" t="s">
        <v>31</v>
      </c>
    </row>
    <row r="126" spans="1:14" ht="31.8" hidden="1">
      <c r="A126" t="s">
        <v>3106</v>
      </c>
      <c r="B126" t="s">
        <v>3318</v>
      </c>
      <c r="C126" t="s">
        <v>3107</v>
      </c>
      <c r="D126" s="18">
        <v>2024</v>
      </c>
      <c r="E126" t="s">
        <v>3108</v>
      </c>
      <c r="F126" t="s">
        <v>29</v>
      </c>
      <c r="G126" t="s">
        <v>30</v>
      </c>
      <c r="H126" t="s">
        <v>31</v>
      </c>
      <c r="I126" t="s">
        <v>2823</v>
      </c>
      <c r="J126" t="s">
        <v>31</v>
      </c>
      <c r="K126" t="s">
        <v>30</v>
      </c>
      <c r="L126" t="s">
        <v>15</v>
      </c>
      <c r="M126" s="22" t="s">
        <v>3729</v>
      </c>
      <c r="N126" t="s">
        <v>31</v>
      </c>
    </row>
    <row r="127" spans="1:14" hidden="1">
      <c r="A127" t="s">
        <v>3109</v>
      </c>
      <c r="B127" t="s">
        <v>3319</v>
      </c>
      <c r="C127" t="s">
        <v>3110</v>
      </c>
      <c r="D127" s="18">
        <v>2025</v>
      </c>
      <c r="E127" t="s">
        <v>2834</v>
      </c>
      <c r="F127" t="s">
        <v>29</v>
      </c>
      <c r="G127" t="s">
        <v>30</v>
      </c>
      <c r="H127" t="s">
        <v>31</v>
      </c>
      <c r="I127" t="s">
        <v>2823</v>
      </c>
      <c r="J127" t="s">
        <v>31</v>
      </c>
      <c r="K127" t="s">
        <v>30</v>
      </c>
      <c r="L127" t="s">
        <v>12</v>
      </c>
      <c r="M127" s="22" t="s">
        <v>1752</v>
      </c>
      <c r="N127" t="s">
        <v>31</v>
      </c>
    </row>
    <row r="128" spans="1:14" hidden="1">
      <c r="A128" t="s">
        <v>3111</v>
      </c>
      <c r="B128" t="s">
        <v>3320</v>
      </c>
      <c r="C128" t="s">
        <v>3112</v>
      </c>
      <c r="D128" s="18">
        <v>2025</v>
      </c>
      <c r="E128" t="s">
        <v>2828</v>
      </c>
      <c r="F128" t="s">
        <v>29</v>
      </c>
      <c r="G128" t="s">
        <v>30</v>
      </c>
      <c r="H128" t="s">
        <v>30</v>
      </c>
      <c r="I128" t="s">
        <v>2823</v>
      </c>
      <c r="J128" t="s">
        <v>30</v>
      </c>
      <c r="K128" t="s">
        <v>30</v>
      </c>
      <c r="L128" t="s">
        <v>12</v>
      </c>
      <c r="M128" s="22" t="s">
        <v>1752</v>
      </c>
      <c r="N128" t="s">
        <v>31</v>
      </c>
    </row>
    <row r="129" spans="1:14" hidden="1">
      <c r="A129" t="s">
        <v>3113</v>
      </c>
      <c r="B129" t="s">
        <v>3321</v>
      </c>
      <c r="C129" t="s">
        <v>3114</v>
      </c>
      <c r="D129" s="18">
        <v>2025</v>
      </c>
      <c r="E129" t="s">
        <v>3115</v>
      </c>
      <c r="F129" t="s">
        <v>29</v>
      </c>
      <c r="G129" t="s">
        <v>31</v>
      </c>
      <c r="N129" t="s">
        <v>31</v>
      </c>
    </row>
    <row r="130" spans="1:14" hidden="1">
      <c r="A130" t="s">
        <v>3116</v>
      </c>
      <c r="B130" t="s">
        <v>3322</v>
      </c>
      <c r="C130" t="s">
        <v>3117</v>
      </c>
      <c r="D130" s="18">
        <v>2024</v>
      </c>
      <c r="E130" t="s">
        <v>2856</v>
      </c>
      <c r="F130" t="s">
        <v>29</v>
      </c>
      <c r="G130" t="s">
        <v>31</v>
      </c>
      <c r="N130" t="s">
        <v>31</v>
      </c>
    </row>
    <row r="131" spans="1:14" hidden="1">
      <c r="A131" t="s">
        <v>3118</v>
      </c>
      <c r="B131" t="s">
        <v>3323</v>
      </c>
      <c r="C131" t="s">
        <v>2914</v>
      </c>
      <c r="D131" s="18">
        <v>2024</v>
      </c>
      <c r="E131" t="s">
        <v>2948</v>
      </c>
      <c r="F131" t="s">
        <v>29</v>
      </c>
      <c r="G131" t="s">
        <v>31</v>
      </c>
      <c r="N131" t="s">
        <v>31</v>
      </c>
    </row>
    <row r="132" spans="1:14" hidden="1">
      <c r="A132" t="s">
        <v>3119</v>
      </c>
      <c r="B132" t="s">
        <v>3324</v>
      </c>
      <c r="C132" t="s">
        <v>3120</v>
      </c>
      <c r="D132" s="18">
        <v>2024</v>
      </c>
      <c r="E132" t="s">
        <v>2852</v>
      </c>
      <c r="F132" t="s">
        <v>29</v>
      </c>
      <c r="G132" t="s">
        <v>31</v>
      </c>
      <c r="N132" t="s">
        <v>31</v>
      </c>
    </row>
    <row r="133" spans="1:14" hidden="1">
      <c r="A133" t="s">
        <v>3121</v>
      </c>
      <c r="B133" t="s">
        <v>3325</v>
      </c>
      <c r="C133" t="s">
        <v>3122</v>
      </c>
      <c r="D133" s="18">
        <v>2023</v>
      </c>
      <c r="E133" t="s">
        <v>2880</v>
      </c>
      <c r="F133" t="s">
        <v>29</v>
      </c>
      <c r="G133" t="s">
        <v>30</v>
      </c>
      <c r="H133" t="s">
        <v>31</v>
      </c>
      <c r="I133" t="s">
        <v>2823</v>
      </c>
      <c r="J133" t="s">
        <v>31</v>
      </c>
      <c r="K133" t="s">
        <v>31</v>
      </c>
      <c r="L133" t="s">
        <v>12</v>
      </c>
      <c r="M133" s="22" t="s">
        <v>1752</v>
      </c>
      <c r="N133" t="s">
        <v>31</v>
      </c>
    </row>
    <row r="134" spans="1:14" hidden="1">
      <c r="A134" t="s">
        <v>3123</v>
      </c>
      <c r="B134" t="s">
        <v>3326</v>
      </c>
      <c r="C134" t="s">
        <v>3124</v>
      </c>
      <c r="D134" s="18">
        <v>2024</v>
      </c>
      <c r="E134" t="s">
        <v>2856</v>
      </c>
      <c r="F134" t="s">
        <v>29</v>
      </c>
      <c r="G134" t="s">
        <v>31</v>
      </c>
      <c r="N134" t="s">
        <v>31</v>
      </c>
    </row>
    <row r="135" spans="1:14" hidden="1">
      <c r="A135" t="s">
        <v>3125</v>
      </c>
      <c r="B135" t="s">
        <v>3327</v>
      </c>
      <c r="C135" t="s">
        <v>3126</v>
      </c>
      <c r="D135" s="18">
        <v>2023</v>
      </c>
      <c r="E135" t="s">
        <v>2870</v>
      </c>
      <c r="F135" t="s">
        <v>29</v>
      </c>
      <c r="G135" t="s">
        <v>30</v>
      </c>
      <c r="H135" t="s">
        <v>31</v>
      </c>
      <c r="I135" t="s">
        <v>2823</v>
      </c>
      <c r="J135" t="s">
        <v>31</v>
      </c>
      <c r="K135" t="s">
        <v>30</v>
      </c>
      <c r="L135" t="s">
        <v>12</v>
      </c>
      <c r="M135" s="22" t="s">
        <v>1752</v>
      </c>
      <c r="N135" t="s">
        <v>31</v>
      </c>
    </row>
    <row r="136" spans="1:14" ht="31.8" hidden="1">
      <c r="A136" t="s">
        <v>3127</v>
      </c>
      <c r="B136" t="s">
        <v>3328</v>
      </c>
      <c r="C136" t="s">
        <v>3128</v>
      </c>
      <c r="D136" s="18">
        <v>2023</v>
      </c>
      <c r="E136" t="s">
        <v>3129</v>
      </c>
      <c r="F136" t="s">
        <v>29</v>
      </c>
      <c r="G136" t="s">
        <v>30</v>
      </c>
      <c r="H136" t="s">
        <v>31</v>
      </c>
      <c r="I136" t="s">
        <v>2823</v>
      </c>
      <c r="J136" t="s">
        <v>31</v>
      </c>
      <c r="K136" t="s">
        <v>30</v>
      </c>
      <c r="L136" t="s">
        <v>15</v>
      </c>
      <c r="M136" s="22" t="s">
        <v>3730</v>
      </c>
      <c r="N136" t="s">
        <v>31</v>
      </c>
    </row>
    <row r="137" spans="1:14" hidden="1">
      <c r="A137" t="s">
        <v>3130</v>
      </c>
      <c r="B137" t="s">
        <v>3329</v>
      </c>
      <c r="C137" t="s">
        <v>3131</v>
      </c>
      <c r="D137" s="18">
        <v>2024</v>
      </c>
      <c r="E137" t="s">
        <v>2831</v>
      </c>
      <c r="F137" t="s">
        <v>29</v>
      </c>
      <c r="G137" t="s">
        <v>30</v>
      </c>
      <c r="H137" t="s">
        <v>30</v>
      </c>
      <c r="I137" t="s">
        <v>2823</v>
      </c>
      <c r="J137" t="s">
        <v>30</v>
      </c>
      <c r="K137" t="s">
        <v>30</v>
      </c>
      <c r="L137" t="s">
        <v>12</v>
      </c>
      <c r="M137" s="22" t="s">
        <v>1752</v>
      </c>
      <c r="N137" t="s">
        <v>31</v>
      </c>
    </row>
    <row r="138" spans="1:14" hidden="1">
      <c r="A138" t="s">
        <v>3132</v>
      </c>
      <c r="B138" t="s">
        <v>3330</v>
      </c>
      <c r="C138" t="s">
        <v>3133</v>
      </c>
      <c r="D138" s="18">
        <v>2025</v>
      </c>
      <c r="E138" t="s">
        <v>2840</v>
      </c>
      <c r="F138" t="s">
        <v>29</v>
      </c>
      <c r="G138" t="s">
        <v>31</v>
      </c>
      <c r="N138" t="s">
        <v>31</v>
      </c>
    </row>
    <row r="139" spans="1:14" hidden="1">
      <c r="A139" t="s">
        <v>3134</v>
      </c>
      <c r="B139" t="s">
        <v>3331</v>
      </c>
      <c r="C139" t="s">
        <v>3001</v>
      </c>
      <c r="D139" s="18">
        <v>2023</v>
      </c>
      <c r="E139" t="s">
        <v>2953</v>
      </c>
      <c r="F139" t="s">
        <v>29</v>
      </c>
      <c r="G139" t="s">
        <v>31</v>
      </c>
      <c r="N139" t="s">
        <v>31</v>
      </c>
    </row>
    <row r="140" spans="1:14" hidden="1">
      <c r="A140" t="s">
        <v>3136</v>
      </c>
      <c r="B140" t="s">
        <v>3332</v>
      </c>
      <c r="C140" t="s">
        <v>3137</v>
      </c>
      <c r="D140" s="18">
        <v>2023</v>
      </c>
      <c r="E140" t="s">
        <v>3138</v>
      </c>
      <c r="F140" t="s">
        <v>29</v>
      </c>
      <c r="G140" t="s">
        <v>31</v>
      </c>
      <c r="N140" t="s">
        <v>31</v>
      </c>
    </row>
    <row r="141" spans="1:14" hidden="1">
      <c r="A141" t="s">
        <v>3139</v>
      </c>
      <c r="B141" t="s">
        <v>3333</v>
      </c>
      <c r="C141" t="s">
        <v>3140</v>
      </c>
      <c r="D141" s="18">
        <v>2024</v>
      </c>
      <c r="E141" t="s">
        <v>2867</v>
      </c>
      <c r="F141" t="s">
        <v>29</v>
      </c>
      <c r="G141" t="s">
        <v>31</v>
      </c>
      <c r="N141" t="s">
        <v>31</v>
      </c>
    </row>
    <row r="142" spans="1:14" hidden="1">
      <c r="A142" t="s">
        <v>3141</v>
      </c>
      <c r="B142" t="s">
        <v>3334</v>
      </c>
      <c r="C142" t="s">
        <v>3142</v>
      </c>
      <c r="D142" s="18">
        <v>2025</v>
      </c>
      <c r="E142" t="s">
        <v>2840</v>
      </c>
      <c r="F142" t="s">
        <v>29</v>
      </c>
      <c r="G142" t="s">
        <v>31</v>
      </c>
      <c r="N142" t="s">
        <v>31</v>
      </c>
    </row>
    <row r="143" spans="1:14" ht="52.2">
      <c r="A143" t="s">
        <v>3143</v>
      </c>
      <c r="B143" t="s">
        <v>3335</v>
      </c>
      <c r="C143" t="s">
        <v>3144</v>
      </c>
      <c r="D143" s="18">
        <v>2024</v>
      </c>
      <c r="E143" t="s">
        <v>2928</v>
      </c>
      <c r="F143" t="s">
        <v>29</v>
      </c>
      <c r="G143" t="s">
        <v>30</v>
      </c>
      <c r="H143" t="s">
        <v>30</v>
      </c>
      <c r="I143" t="s">
        <v>2823</v>
      </c>
      <c r="J143" t="s">
        <v>30</v>
      </c>
      <c r="K143" t="s">
        <v>30</v>
      </c>
      <c r="L143" t="s">
        <v>15</v>
      </c>
      <c r="M143" s="22" t="s">
        <v>3731</v>
      </c>
      <c r="N143" t="s">
        <v>30</v>
      </c>
    </row>
    <row r="144" spans="1:14" hidden="1">
      <c r="A144" t="s">
        <v>3145</v>
      </c>
      <c r="B144" t="s">
        <v>3336</v>
      </c>
      <c r="C144" t="s">
        <v>3146</v>
      </c>
      <c r="D144" s="18">
        <v>2024</v>
      </c>
      <c r="E144" t="s">
        <v>2849</v>
      </c>
      <c r="F144" t="s">
        <v>29</v>
      </c>
      <c r="G144" t="s">
        <v>30</v>
      </c>
      <c r="H144" t="s">
        <v>30</v>
      </c>
      <c r="I144" t="s">
        <v>2823</v>
      </c>
      <c r="J144" t="s">
        <v>30</v>
      </c>
      <c r="K144" t="s">
        <v>30</v>
      </c>
      <c r="L144" t="s">
        <v>12</v>
      </c>
      <c r="M144" s="22" t="s">
        <v>1752</v>
      </c>
      <c r="N144" t="s">
        <v>31</v>
      </c>
    </row>
    <row r="145" spans="1:14" hidden="1">
      <c r="A145" t="s">
        <v>3147</v>
      </c>
      <c r="B145" t="s">
        <v>3337</v>
      </c>
      <c r="C145" t="s">
        <v>3124</v>
      </c>
      <c r="D145" s="18">
        <v>2023</v>
      </c>
      <c r="E145" t="s">
        <v>2953</v>
      </c>
      <c r="F145" t="s">
        <v>29</v>
      </c>
      <c r="G145" t="s">
        <v>31</v>
      </c>
      <c r="N145" t="s">
        <v>31</v>
      </c>
    </row>
    <row r="146" spans="1:14" hidden="1">
      <c r="A146" t="s">
        <v>3148</v>
      </c>
      <c r="B146" t="s">
        <v>3338</v>
      </c>
      <c r="C146" t="s">
        <v>3149</v>
      </c>
      <c r="D146" s="18">
        <v>2025</v>
      </c>
      <c r="E146" t="s">
        <v>3135</v>
      </c>
      <c r="F146" t="s">
        <v>29</v>
      </c>
      <c r="G146" t="s">
        <v>31</v>
      </c>
      <c r="N146" t="s">
        <v>31</v>
      </c>
    </row>
    <row r="147" spans="1:14" hidden="1">
      <c r="A147" t="s">
        <v>3150</v>
      </c>
      <c r="B147" t="s">
        <v>3339</v>
      </c>
      <c r="C147" t="s">
        <v>3151</v>
      </c>
      <c r="D147" s="18">
        <v>2024</v>
      </c>
      <c r="E147" t="s">
        <v>2852</v>
      </c>
      <c r="F147" t="s">
        <v>29</v>
      </c>
      <c r="G147" t="s">
        <v>31</v>
      </c>
      <c r="N147" t="s">
        <v>31</v>
      </c>
    </row>
    <row r="148" spans="1:14" hidden="1">
      <c r="A148" t="s">
        <v>3152</v>
      </c>
      <c r="B148" t="s">
        <v>3340</v>
      </c>
      <c r="C148" t="s">
        <v>3153</v>
      </c>
      <c r="D148" s="18">
        <v>2023</v>
      </c>
      <c r="E148" t="s">
        <v>2877</v>
      </c>
      <c r="F148" t="s">
        <v>29</v>
      </c>
      <c r="G148" t="s">
        <v>31</v>
      </c>
      <c r="N148" t="s">
        <v>31</v>
      </c>
    </row>
    <row r="149" spans="1:14" hidden="1">
      <c r="A149" t="s">
        <v>3154</v>
      </c>
      <c r="B149" t="s">
        <v>3341</v>
      </c>
      <c r="C149" t="s">
        <v>3155</v>
      </c>
      <c r="D149" s="18">
        <v>2025</v>
      </c>
      <c r="E149" t="s">
        <v>2948</v>
      </c>
      <c r="F149" t="s">
        <v>29</v>
      </c>
      <c r="G149" t="s">
        <v>31</v>
      </c>
      <c r="N149" t="s">
        <v>31</v>
      </c>
    </row>
    <row r="150" spans="1:14" hidden="1">
      <c r="A150" t="s">
        <v>3156</v>
      </c>
      <c r="B150" t="s">
        <v>3342</v>
      </c>
      <c r="C150" t="s">
        <v>3157</v>
      </c>
      <c r="D150" s="18">
        <v>2023</v>
      </c>
      <c r="E150" t="s">
        <v>2898</v>
      </c>
      <c r="F150" t="s">
        <v>29</v>
      </c>
      <c r="G150" t="s">
        <v>31</v>
      </c>
      <c r="N150" t="s">
        <v>31</v>
      </c>
    </row>
    <row r="151" spans="1:14" hidden="1">
      <c r="A151" t="s">
        <v>3158</v>
      </c>
      <c r="B151" t="s">
        <v>3343</v>
      </c>
      <c r="C151" t="s">
        <v>3153</v>
      </c>
      <c r="D151" s="18">
        <v>2023</v>
      </c>
      <c r="E151" t="s">
        <v>2877</v>
      </c>
      <c r="F151" t="s">
        <v>29</v>
      </c>
      <c r="G151" t="s">
        <v>31</v>
      </c>
      <c r="N151" t="s">
        <v>31</v>
      </c>
    </row>
    <row r="152" spans="1:14" hidden="1">
      <c r="A152" t="s">
        <v>3159</v>
      </c>
      <c r="B152" t="s">
        <v>3344</v>
      </c>
      <c r="C152" t="s">
        <v>3160</v>
      </c>
      <c r="D152" s="18">
        <v>2024</v>
      </c>
      <c r="E152" t="s">
        <v>2856</v>
      </c>
      <c r="F152" t="s">
        <v>29</v>
      </c>
      <c r="G152" t="s">
        <v>31</v>
      </c>
      <c r="N152" t="s">
        <v>31</v>
      </c>
    </row>
    <row r="153" spans="1:14" hidden="1">
      <c r="A153" t="s">
        <v>3161</v>
      </c>
      <c r="B153" t="s">
        <v>3345</v>
      </c>
      <c r="C153" t="s">
        <v>3162</v>
      </c>
      <c r="D153" s="18">
        <v>2023</v>
      </c>
      <c r="E153" t="s">
        <v>2877</v>
      </c>
      <c r="F153" t="s">
        <v>29</v>
      </c>
      <c r="G153" t="s">
        <v>31</v>
      </c>
      <c r="N153" t="s">
        <v>31</v>
      </c>
    </row>
    <row r="154" spans="1:14" hidden="1">
      <c r="A154" t="s">
        <v>3163</v>
      </c>
      <c r="B154" t="s">
        <v>3346</v>
      </c>
      <c r="C154" t="s">
        <v>3164</v>
      </c>
      <c r="D154" s="18">
        <v>2025</v>
      </c>
      <c r="E154" t="s">
        <v>3165</v>
      </c>
      <c r="F154" t="s">
        <v>29</v>
      </c>
      <c r="G154" t="s">
        <v>30</v>
      </c>
      <c r="H154" t="s">
        <v>30</v>
      </c>
      <c r="I154" t="s">
        <v>762</v>
      </c>
      <c r="J154" t="s">
        <v>31</v>
      </c>
      <c r="K154" t="s">
        <v>31</v>
      </c>
      <c r="L154" t="s">
        <v>12</v>
      </c>
      <c r="M154" s="22" t="s">
        <v>1752</v>
      </c>
      <c r="N154" t="s">
        <v>31</v>
      </c>
    </row>
    <row r="155" spans="1:14" hidden="1">
      <c r="A155" t="s">
        <v>3166</v>
      </c>
      <c r="B155" t="s">
        <v>3347</v>
      </c>
      <c r="C155" t="s">
        <v>3167</v>
      </c>
      <c r="D155" s="18">
        <v>2024</v>
      </c>
      <c r="E155" t="s">
        <v>2846</v>
      </c>
      <c r="F155" t="s">
        <v>29</v>
      </c>
      <c r="G155" t="s">
        <v>31</v>
      </c>
      <c r="N155" t="s">
        <v>31</v>
      </c>
    </row>
    <row r="156" spans="1:14" hidden="1">
      <c r="A156" t="s">
        <v>3168</v>
      </c>
      <c r="B156" t="s">
        <v>3348</v>
      </c>
      <c r="C156" t="s">
        <v>3169</v>
      </c>
      <c r="D156" s="18">
        <v>2024</v>
      </c>
      <c r="E156" t="s">
        <v>2856</v>
      </c>
      <c r="F156" t="s">
        <v>29</v>
      </c>
      <c r="G156" t="s">
        <v>31</v>
      </c>
      <c r="N156" t="s">
        <v>31</v>
      </c>
    </row>
    <row r="157" spans="1:14" hidden="1">
      <c r="A157" t="s">
        <v>3170</v>
      </c>
      <c r="B157" t="s">
        <v>3349</v>
      </c>
      <c r="C157" t="s">
        <v>3171</v>
      </c>
      <c r="D157" s="18">
        <v>2024</v>
      </c>
      <c r="E157" t="s">
        <v>3068</v>
      </c>
      <c r="F157" t="s">
        <v>29</v>
      </c>
      <c r="G157" t="s">
        <v>30</v>
      </c>
      <c r="H157" t="s">
        <v>31</v>
      </c>
      <c r="I157" t="s">
        <v>2823</v>
      </c>
      <c r="J157" t="s">
        <v>31</v>
      </c>
      <c r="K157" t="s">
        <v>30</v>
      </c>
      <c r="L157" t="s">
        <v>12</v>
      </c>
      <c r="M157" s="22" t="s">
        <v>1752</v>
      </c>
      <c r="N157" t="s">
        <v>31</v>
      </c>
    </row>
    <row r="158" spans="1:14" hidden="1">
      <c r="A158" t="s">
        <v>3172</v>
      </c>
      <c r="B158" t="s">
        <v>3350</v>
      </c>
      <c r="C158" t="s">
        <v>3153</v>
      </c>
      <c r="D158" s="18">
        <v>2023</v>
      </c>
      <c r="E158" t="s">
        <v>2877</v>
      </c>
      <c r="F158" t="s">
        <v>29</v>
      </c>
      <c r="G158" t="s">
        <v>31</v>
      </c>
      <c r="N158" t="s">
        <v>31</v>
      </c>
    </row>
    <row r="159" spans="1:14" ht="31.8" hidden="1">
      <c r="A159" t="s">
        <v>3173</v>
      </c>
      <c r="B159" t="s">
        <v>3351</v>
      </c>
      <c r="C159" t="s">
        <v>3174</v>
      </c>
      <c r="D159" s="18">
        <v>2025</v>
      </c>
      <c r="E159" t="s">
        <v>3175</v>
      </c>
      <c r="F159" t="s">
        <v>29</v>
      </c>
      <c r="G159" t="s">
        <v>30</v>
      </c>
      <c r="H159" t="s">
        <v>31</v>
      </c>
      <c r="I159" t="s">
        <v>2823</v>
      </c>
      <c r="J159" t="s">
        <v>31</v>
      </c>
      <c r="K159" t="s">
        <v>30</v>
      </c>
      <c r="L159" t="s">
        <v>15</v>
      </c>
      <c r="M159" s="22" t="s">
        <v>3732</v>
      </c>
      <c r="N159" t="s">
        <v>31</v>
      </c>
    </row>
    <row r="160" spans="1:14" hidden="1">
      <c r="A160" t="s">
        <v>3176</v>
      </c>
      <c r="B160" t="s">
        <v>3352</v>
      </c>
      <c r="C160" t="s">
        <v>3177</v>
      </c>
      <c r="D160" s="18">
        <v>2024</v>
      </c>
      <c r="E160" t="s">
        <v>2846</v>
      </c>
      <c r="F160" t="s">
        <v>29</v>
      </c>
      <c r="G160" t="s">
        <v>31</v>
      </c>
      <c r="N160" t="s">
        <v>31</v>
      </c>
    </row>
    <row r="161" spans="1:14" hidden="1">
      <c r="A161" t="s">
        <v>3178</v>
      </c>
      <c r="B161" t="s">
        <v>3353</v>
      </c>
      <c r="C161" t="s">
        <v>3179</v>
      </c>
      <c r="D161" s="18">
        <v>2025</v>
      </c>
      <c r="E161" t="s">
        <v>2828</v>
      </c>
      <c r="F161" t="s">
        <v>29</v>
      </c>
      <c r="G161" t="s">
        <v>30</v>
      </c>
      <c r="H161" t="s">
        <v>30</v>
      </c>
      <c r="I161" t="s">
        <v>2823</v>
      </c>
      <c r="J161" t="s">
        <v>30</v>
      </c>
      <c r="K161" t="s">
        <v>31</v>
      </c>
      <c r="L161" t="s">
        <v>12</v>
      </c>
      <c r="M161" s="22" t="s">
        <v>1752</v>
      </c>
      <c r="N161" t="s">
        <v>31</v>
      </c>
    </row>
    <row r="162" spans="1:14" hidden="1">
      <c r="A162" t="s">
        <v>3180</v>
      </c>
      <c r="B162" t="s">
        <v>3354</v>
      </c>
      <c r="C162" t="s">
        <v>3181</v>
      </c>
      <c r="D162" s="18">
        <v>2025</v>
      </c>
      <c r="E162" t="s">
        <v>2928</v>
      </c>
      <c r="F162" t="s">
        <v>29</v>
      </c>
      <c r="G162" t="s">
        <v>30</v>
      </c>
      <c r="H162" t="s">
        <v>30</v>
      </c>
      <c r="I162" t="s">
        <v>2823</v>
      </c>
      <c r="J162" t="s">
        <v>30</v>
      </c>
      <c r="K162" t="s">
        <v>30</v>
      </c>
      <c r="L162" t="s">
        <v>12</v>
      </c>
      <c r="M162" s="22" t="s">
        <v>1752</v>
      </c>
      <c r="N162" t="s">
        <v>31</v>
      </c>
    </row>
    <row r="163" spans="1:14" hidden="1">
      <c r="A163" t="s">
        <v>3182</v>
      </c>
      <c r="B163" t="s">
        <v>3355</v>
      </c>
      <c r="C163" t="s">
        <v>3183</v>
      </c>
      <c r="D163" s="18">
        <v>2022</v>
      </c>
      <c r="E163" t="s">
        <v>2928</v>
      </c>
      <c r="F163" t="s">
        <v>29</v>
      </c>
      <c r="G163" t="s">
        <v>3697</v>
      </c>
      <c r="N163" t="s">
        <v>31</v>
      </c>
    </row>
    <row r="164" spans="1:14" hidden="1">
      <c r="A164" t="s">
        <v>3184</v>
      </c>
      <c r="B164" t="s">
        <v>3356</v>
      </c>
      <c r="C164" t="s">
        <v>3153</v>
      </c>
      <c r="D164" s="18">
        <v>2024</v>
      </c>
      <c r="E164" t="s">
        <v>2877</v>
      </c>
      <c r="F164" t="s">
        <v>29</v>
      </c>
      <c r="G164" t="s">
        <v>31</v>
      </c>
      <c r="N164" t="s">
        <v>31</v>
      </c>
    </row>
    <row r="165" spans="1:14" hidden="1">
      <c r="A165" t="s">
        <v>3185</v>
      </c>
      <c r="B165" t="s">
        <v>3357</v>
      </c>
      <c r="C165" t="s">
        <v>3186</v>
      </c>
      <c r="D165" s="18">
        <v>2024</v>
      </c>
      <c r="E165" t="s">
        <v>3187</v>
      </c>
      <c r="F165" t="s">
        <v>3701</v>
      </c>
      <c r="G165" t="s">
        <v>3698</v>
      </c>
      <c r="N165" t="s">
        <v>31</v>
      </c>
    </row>
    <row r="166" spans="1:14" hidden="1">
      <c r="A166" t="s">
        <v>3188</v>
      </c>
      <c r="B166" t="s">
        <v>3358</v>
      </c>
      <c r="C166" t="s">
        <v>3153</v>
      </c>
      <c r="D166" s="18">
        <v>2024</v>
      </c>
      <c r="E166" t="s">
        <v>2877</v>
      </c>
      <c r="F166" t="s">
        <v>29</v>
      </c>
      <c r="G166" t="s">
        <v>3699</v>
      </c>
      <c r="N166" t="s">
        <v>31</v>
      </c>
    </row>
    <row r="167" spans="1:14" hidden="1">
      <c r="A167" t="s">
        <v>3189</v>
      </c>
      <c r="B167" t="s">
        <v>3359</v>
      </c>
      <c r="C167" t="s">
        <v>3190</v>
      </c>
      <c r="D167" s="18">
        <v>2023</v>
      </c>
      <c r="E167" t="s">
        <v>3191</v>
      </c>
      <c r="F167" t="s">
        <v>3701</v>
      </c>
      <c r="G167" t="s">
        <v>3698</v>
      </c>
      <c r="N167" t="s">
        <v>31</v>
      </c>
    </row>
    <row r="168" spans="1:14" hidden="1">
      <c r="A168" t="s">
        <v>3192</v>
      </c>
      <c r="B168" t="s">
        <v>3360</v>
      </c>
      <c r="C168" t="s">
        <v>3193</v>
      </c>
      <c r="D168" s="18">
        <v>2024</v>
      </c>
      <c r="E168" t="s">
        <v>2849</v>
      </c>
      <c r="F168" t="s">
        <v>29</v>
      </c>
      <c r="G168" t="s">
        <v>3700</v>
      </c>
      <c r="N168" t="s">
        <v>31</v>
      </c>
    </row>
  </sheetData>
  <autoFilter ref="A1:O168" xr:uid="{51F625F4-D3FD-4410-B697-36D3887F2C4D}">
    <filterColumn colId="13">
      <filters>
        <filter val="Yes"/>
      </filters>
    </filterColumn>
  </autoFilter>
  <phoneticPr fontId="6" type="noConversion"/>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44A0E-1371-4439-BB47-672281ED5325}">
  <sheetPr filterMode="1"/>
  <dimension ref="A1:P29"/>
  <sheetViews>
    <sheetView zoomScale="70" zoomScaleNormal="70" workbookViewId="0">
      <selection activeCell="D34" sqref="D34"/>
    </sheetView>
  </sheetViews>
  <sheetFormatPr baseColWidth="10" defaultRowHeight="14.4"/>
  <cols>
    <col min="2" max="2" width="144.44140625" bestFit="1" customWidth="1"/>
    <col min="3" max="3" width="48.33203125" bestFit="1" customWidth="1"/>
    <col min="4" max="4" width="98.88671875" bestFit="1" customWidth="1"/>
    <col min="5" max="5" width="10" bestFit="1" customWidth="1"/>
    <col min="6" max="6" width="29.88671875" bestFit="1" customWidth="1"/>
    <col min="8" max="8" width="16.6640625" bestFit="1" customWidth="1"/>
    <col min="9" max="9" width="15.109375" bestFit="1" customWidth="1"/>
    <col min="12" max="12" width="12.33203125" bestFit="1" customWidth="1"/>
    <col min="13" max="13" width="20.21875" bestFit="1" customWidth="1"/>
    <col min="14" max="14" width="41" bestFit="1" customWidth="1"/>
    <col min="15" max="15" width="18.88671875" bestFit="1" customWidth="1"/>
    <col min="16" max="16" width="8.33203125" bestFit="1" customWidth="1"/>
  </cols>
  <sheetData>
    <row r="1" spans="1:16" s="10" customFormat="1">
      <c r="A1" s="8" t="s">
        <v>0</v>
      </c>
      <c r="B1" s="9" t="s">
        <v>1</v>
      </c>
      <c r="C1" s="9"/>
      <c r="D1" s="8" t="s">
        <v>2</v>
      </c>
      <c r="E1" s="8" t="s">
        <v>3</v>
      </c>
      <c r="F1" s="8" t="s">
        <v>4</v>
      </c>
      <c r="G1" s="8" t="s">
        <v>5</v>
      </c>
      <c r="H1" s="8" t="s">
        <v>7</v>
      </c>
      <c r="I1" s="8" t="s">
        <v>35</v>
      </c>
      <c r="J1" s="8" t="s">
        <v>6</v>
      </c>
      <c r="K1" s="8" t="s">
        <v>8</v>
      </c>
      <c r="L1" s="8" t="s">
        <v>37</v>
      </c>
      <c r="M1" s="8" t="s">
        <v>9</v>
      </c>
      <c r="N1" s="8" t="s">
        <v>1340</v>
      </c>
      <c r="O1" s="8" t="s">
        <v>28</v>
      </c>
      <c r="P1" s="8" t="s">
        <v>11</v>
      </c>
    </row>
    <row r="2" spans="1:16" hidden="1">
      <c r="A2" t="s">
        <v>3443</v>
      </c>
      <c r="B2" t="s">
        <v>3361</v>
      </c>
      <c r="D2" t="s">
        <v>3362</v>
      </c>
      <c r="E2">
        <v>2025</v>
      </c>
      <c r="F2" t="s">
        <v>3471</v>
      </c>
      <c r="G2" t="s">
        <v>29</v>
      </c>
      <c r="H2" t="s">
        <v>762</v>
      </c>
      <c r="I2" t="s">
        <v>2823</v>
      </c>
      <c r="J2" t="s">
        <v>2823</v>
      </c>
      <c r="K2" t="s">
        <v>762</v>
      </c>
    </row>
    <row r="3" spans="1:16" hidden="1">
      <c r="A3" t="s">
        <v>3444</v>
      </c>
      <c r="B3" t="s">
        <v>3363</v>
      </c>
      <c r="D3" t="s">
        <v>3364</v>
      </c>
      <c r="E3">
        <v>2024</v>
      </c>
      <c r="F3" t="s">
        <v>3365</v>
      </c>
      <c r="G3" t="s">
        <v>29</v>
      </c>
      <c r="H3" t="s">
        <v>2823</v>
      </c>
      <c r="I3" t="s">
        <v>762</v>
      </c>
      <c r="J3" t="s">
        <v>2823</v>
      </c>
      <c r="K3" t="s">
        <v>762</v>
      </c>
    </row>
    <row r="4" spans="1:16" hidden="1">
      <c r="A4" t="s">
        <v>3445</v>
      </c>
      <c r="B4" t="s">
        <v>3366</v>
      </c>
      <c r="D4" t="s">
        <v>3367</v>
      </c>
      <c r="E4">
        <v>2025</v>
      </c>
      <c r="F4" t="s">
        <v>3472</v>
      </c>
      <c r="G4" t="s">
        <v>29</v>
      </c>
      <c r="H4" t="s">
        <v>762</v>
      </c>
      <c r="I4" t="s">
        <v>762</v>
      </c>
      <c r="J4" t="s">
        <v>2823</v>
      </c>
      <c r="K4" t="s">
        <v>762</v>
      </c>
    </row>
    <row r="5" spans="1:16" hidden="1">
      <c r="A5" t="s">
        <v>3446</v>
      </c>
      <c r="B5" t="s">
        <v>3368</v>
      </c>
      <c r="D5" t="s">
        <v>3369</v>
      </c>
      <c r="E5">
        <v>2025</v>
      </c>
      <c r="F5" t="s">
        <v>3370</v>
      </c>
      <c r="G5" t="s">
        <v>29</v>
      </c>
      <c r="H5" t="s">
        <v>762</v>
      </c>
      <c r="I5" t="s">
        <v>2823</v>
      </c>
      <c r="J5" t="s">
        <v>2823</v>
      </c>
      <c r="K5" t="s">
        <v>762</v>
      </c>
    </row>
    <row r="6" spans="1:16" ht="60">
      <c r="A6" t="s">
        <v>3447</v>
      </c>
      <c r="B6" t="s">
        <v>3371</v>
      </c>
      <c r="C6" t="s">
        <v>3373</v>
      </c>
      <c r="D6" t="s">
        <v>3372</v>
      </c>
      <c r="E6">
        <v>2025</v>
      </c>
      <c r="F6" t="s">
        <v>3365</v>
      </c>
      <c r="G6" t="s">
        <v>29</v>
      </c>
      <c r="H6" t="s">
        <v>2823</v>
      </c>
      <c r="I6" t="s">
        <v>2823</v>
      </c>
      <c r="J6" t="s">
        <v>2823</v>
      </c>
      <c r="K6" t="s">
        <v>2823</v>
      </c>
      <c r="L6" t="s">
        <v>30</v>
      </c>
      <c r="M6" t="s">
        <v>3654</v>
      </c>
      <c r="N6" s="20" t="s">
        <v>3655</v>
      </c>
      <c r="O6" t="s">
        <v>30</v>
      </c>
    </row>
    <row r="7" spans="1:16" hidden="1">
      <c r="A7" t="s">
        <v>3448</v>
      </c>
      <c r="B7" t="s">
        <v>3374</v>
      </c>
      <c r="D7" t="s">
        <v>3375</v>
      </c>
      <c r="E7">
        <v>2024</v>
      </c>
      <c r="F7" t="s">
        <v>3370</v>
      </c>
      <c r="G7" t="s">
        <v>29</v>
      </c>
      <c r="H7" t="s">
        <v>762</v>
      </c>
      <c r="I7" t="s">
        <v>2823</v>
      </c>
      <c r="J7" t="s">
        <v>2823</v>
      </c>
      <c r="K7" t="s">
        <v>762</v>
      </c>
    </row>
    <row r="8" spans="1:16" ht="48">
      <c r="A8" t="s">
        <v>3449</v>
      </c>
      <c r="B8" t="s">
        <v>3376</v>
      </c>
      <c r="C8" t="s">
        <v>3378</v>
      </c>
      <c r="D8" t="s">
        <v>3377</v>
      </c>
      <c r="E8">
        <v>2023</v>
      </c>
      <c r="F8" t="s">
        <v>329</v>
      </c>
      <c r="G8" t="s">
        <v>29</v>
      </c>
      <c r="H8" t="s">
        <v>2823</v>
      </c>
      <c r="I8" t="s">
        <v>2823</v>
      </c>
      <c r="J8" t="s">
        <v>2823</v>
      </c>
      <c r="K8" t="s">
        <v>2823</v>
      </c>
      <c r="L8" t="s">
        <v>30</v>
      </c>
      <c r="M8" t="s">
        <v>3654</v>
      </c>
      <c r="N8" s="20" t="s">
        <v>3656</v>
      </c>
      <c r="O8" t="s">
        <v>30</v>
      </c>
    </row>
    <row r="9" spans="1:16" hidden="1">
      <c r="A9" t="s">
        <v>3450</v>
      </c>
      <c r="B9" t="s">
        <v>3379</v>
      </c>
      <c r="D9" t="s">
        <v>3380</v>
      </c>
      <c r="E9">
        <v>2023</v>
      </c>
      <c r="F9" t="s">
        <v>3473</v>
      </c>
      <c r="G9" t="s">
        <v>29</v>
      </c>
      <c r="H9" t="s">
        <v>762</v>
      </c>
      <c r="I9" t="s">
        <v>2823</v>
      </c>
      <c r="J9" t="s">
        <v>2823</v>
      </c>
      <c r="K9" t="s">
        <v>762</v>
      </c>
      <c r="N9" s="20"/>
    </row>
    <row r="10" spans="1:16" hidden="1">
      <c r="A10" t="s">
        <v>3451</v>
      </c>
      <c r="B10" t="s">
        <v>3381</v>
      </c>
      <c r="D10" t="s">
        <v>3382</v>
      </c>
      <c r="E10">
        <v>2023</v>
      </c>
      <c r="F10" t="s">
        <v>3474</v>
      </c>
      <c r="G10" t="s">
        <v>29</v>
      </c>
      <c r="H10" t="s">
        <v>762</v>
      </c>
      <c r="I10" t="s">
        <v>2823</v>
      </c>
      <c r="J10" t="s">
        <v>2823</v>
      </c>
      <c r="K10" t="s">
        <v>762</v>
      </c>
      <c r="N10" s="20"/>
    </row>
    <row r="11" spans="1:16" hidden="1">
      <c r="A11" t="s">
        <v>3452</v>
      </c>
      <c r="B11" t="s">
        <v>3383</v>
      </c>
      <c r="D11" t="s">
        <v>3384</v>
      </c>
      <c r="E11">
        <v>2023</v>
      </c>
      <c r="F11" t="s">
        <v>460</v>
      </c>
      <c r="G11" t="s">
        <v>29</v>
      </c>
      <c r="H11" t="s">
        <v>762</v>
      </c>
      <c r="I11" t="s">
        <v>2823</v>
      </c>
      <c r="J11" t="s">
        <v>2823</v>
      </c>
      <c r="K11" t="s">
        <v>762</v>
      </c>
      <c r="N11" s="20"/>
    </row>
    <row r="12" spans="1:16" hidden="1">
      <c r="A12" t="s">
        <v>3453</v>
      </c>
      <c r="B12" t="s">
        <v>3385</v>
      </c>
      <c r="D12" t="s">
        <v>3386</v>
      </c>
      <c r="E12">
        <v>2025</v>
      </c>
      <c r="F12" t="s">
        <v>3370</v>
      </c>
      <c r="G12" t="s">
        <v>29</v>
      </c>
      <c r="H12" t="s">
        <v>762</v>
      </c>
      <c r="I12" t="s">
        <v>2823</v>
      </c>
      <c r="J12" t="s">
        <v>2823</v>
      </c>
      <c r="K12" t="s">
        <v>762</v>
      </c>
      <c r="N12" s="20"/>
    </row>
    <row r="13" spans="1:16" hidden="1">
      <c r="A13" t="s">
        <v>3454</v>
      </c>
      <c r="B13" t="s">
        <v>3387</v>
      </c>
      <c r="D13" t="s">
        <v>3388</v>
      </c>
      <c r="E13">
        <v>2025</v>
      </c>
      <c r="F13" t="s">
        <v>3389</v>
      </c>
      <c r="G13" t="s">
        <v>29</v>
      </c>
      <c r="H13" t="s">
        <v>762</v>
      </c>
      <c r="I13" t="s">
        <v>2823</v>
      </c>
      <c r="J13" t="s">
        <v>2823</v>
      </c>
      <c r="K13" t="s">
        <v>762</v>
      </c>
      <c r="N13" s="20"/>
    </row>
    <row r="14" spans="1:16" ht="48">
      <c r="A14" t="s">
        <v>3455</v>
      </c>
      <c r="B14" t="s">
        <v>3390</v>
      </c>
      <c r="C14" t="s">
        <v>3392</v>
      </c>
      <c r="D14" t="s">
        <v>3391</v>
      </c>
      <c r="E14">
        <v>2024</v>
      </c>
      <c r="F14" t="s">
        <v>3475</v>
      </c>
      <c r="G14" t="s">
        <v>29</v>
      </c>
      <c r="H14" t="s">
        <v>2823</v>
      </c>
      <c r="I14" t="s">
        <v>2823</v>
      </c>
      <c r="J14" t="s">
        <v>2823</v>
      </c>
      <c r="K14" t="s">
        <v>2823</v>
      </c>
      <c r="L14" t="s">
        <v>30</v>
      </c>
      <c r="M14" t="s">
        <v>3654</v>
      </c>
      <c r="N14" s="20" t="s">
        <v>3657</v>
      </c>
      <c r="O14" t="s">
        <v>30</v>
      </c>
    </row>
    <row r="15" spans="1:16" hidden="1">
      <c r="A15" t="s">
        <v>3456</v>
      </c>
      <c r="B15" t="s">
        <v>3393</v>
      </c>
      <c r="D15" t="s">
        <v>3394</v>
      </c>
      <c r="E15">
        <v>2024</v>
      </c>
      <c r="F15" t="s">
        <v>3395</v>
      </c>
      <c r="G15" t="s">
        <v>29</v>
      </c>
      <c r="H15" t="s">
        <v>762</v>
      </c>
      <c r="I15" t="s">
        <v>2823</v>
      </c>
      <c r="J15" t="s">
        <v>2823</v>
      </c>
      <c r="K15" t="s">
        <v>762</v>
      </c>
      <c r="N15" s="20"/>
    </row>
    <row r="16" spans="1:16" hidden="1">
      <c r="A16" t="s">
        <v>3457</v>
      </c>
      <c r="B16" t="s">
        <v>3396</v>
      </c>
      <c r="D16" t="s">
        <v>3397</v>
      </c>
      <c r="E16">
        <v>2024</v>
      </c>
      <c r="F16" t="s">
        <v>3389</v>
      </c>
      <c r="G16" t="s">
        <v>29</v>
      </c>
      <c r="H16" t="s">
        <v>762</v>
      </c>
      <c r="I16" t="s">
        <v>2823</v>
      </c>
      <c r="J16" t="s">
        <v>2823</v>
      </c>
      <c r="K16" t="s">
        <v>762</v>
      </c>
      <c r="N16" s="20"/>
    </row>
    <row r="17" spans="1:15" ht="48">
      <c r="A17" t="s">
        <v>3458</v>
      </c>
      <c r="B17" t="s">
        <v>3398</v>
      </c>
      <c r="C17" t="s">
        <v>3399</v>
      </c>
      <c r="D17" t="s">
        <v>3377</v>
      </c>
      <c r="E17">
        <v>2023</v>
      </c>
      <c r="F17" t="s">
        <v>329</v>
      </c>
      <c r="G17" t="s">
        <v>29</v>
      </c>
      <c r="H17" t="s">
        <v>2823</v>
      </c>
      <c r="I17" t="s">
        <v>2823</v>
      </c>
      <c r="J17" t="s">
        <v>2823</v>
      </c>
      <c r="K17" t="s">
        <v>2823</v>
      </c>
      <c r="L17" t="s">
        <v>30</v>
      </c>
      <c r="M17" t="s">
        <v>3654</v>
      </c>
      <c r="N17" s="20" t="s">
        <v>3658</v>
      </c>
      <c r="O17" t="s">
        <v>30</v>
      </c>
    </row>
    <row r="18" spans="1:15" ht="60">
      <c r="A18" t="s">
        <v>3459</v>
      </c>
      <c r="B18" t="s">
        <v>3400</v>
      </c>
      <c r="C18" t="s">
        <v>3402</v>
      </c>
      <c r="D18" t="s">
        <v>3401</v>
      </c>
      <c r="E18">
        <v>2023</v>
      </c>
      <c r="F18" t="s">
        <v>3476</v>
      </c>
      <c r="G18" t="s">
        <v>29</v>
      </c>
      <c r="H18" t="s">
        <v>2823</v>
      </c>
      <c r="I18" t="s">
        <v>2823</v>
      </c>
      <c r="J18" t="s">
        <v>2823</v>
      </c>
      <c r="K18" t="s">
        <v>2823</v>
      </c>
      <c r="L18" t="s">
        <v>30</v>
      </c>
      <c r="M18" t="s">
        <v>15</v>
      </c>
      <c r="N18" s="20" t="s">
        <v>3659</v>
      </c>
      <c r="O18" t="s">
        <v>30</v>
      </c>
    </row>
    <row r="19" spans="1:15" ht="60">
      <c r="A19" t="s">
        <v>3460</v>
      </c>
      <c r="B19" t="s">
        <v>3403</v>
      </c>
      <c r="C19" t="s">
        <v>3406</v>
      </c>
      <c r="D19" t="s">
        <v>3404</v>
      </c>
      <c r="E19">
        <v>2023</v>
      </c>
      <c r="F19" t="s">
        <v>3405</v>
      </c>
      <c r="G19" t="s">
        <v>29</v>
      </c>
      <c r="H19" t="s">
        <v>2823</v>
      </c>
      <c r="I19" t="s">
        <v>2823</v>
      </c>
      <c r="J19" t="s">
        <v>2823</v>
      </c>
      <c r="K19" t="s">
        <v>2823</v>
      </c>
      <c r="L19" t="s">
        <v>30</v>
      </c>
      <c r="M19" t="s">
        <v>15</v>
      </c>
      <c r="N19" s="20" t="s">
        <v>3660</v>
      </c>
      <c r="O19" t="s">
        <v>30</v>
      </c>
    </row>
    <row r="20" spans="1:15" hidden="1">
      <c r="A20" t="s">
        <v>3461</v>
      </c>
      <c r="B20" t="s">
        <v>3407</v>
      </c>
      <c r="D20" t="s">
        <v>3408</v>
      </c>
      <c r="E20">
        <v>2023</v>
      </c>
      <c r="F20" t="s">
        <v>3409</v>
      </c>
      <c r="G20" t="s">
        <v>29</v>
      </c>
      <c r="H20" t="s">
        <v>762</v>
      </c>
      <c r="I20" t="s">
        <v>2823</v>
      </c>
      <c r="J20" t="s">
        <v>2823</v>
      </c>
      <c r="K20" t="s">
        <v>762</v>
      </c>
      <c r="N20" s="20"/>
    </row>
    <row r="21" spans="1:15" ht="48">
      <c r="A21" t="s">
        <v>3462</v>
      </c>
      <c r="B21" t="s">
        <v>3410</v>
      </c>
      <c r="C21" t="s">
        <v>3412</v>
      </c>
      <c r="D21" t="s">
        <v>3411</v>
      </c>
      <c r="E21">
        <v>2025</v>
      </c>
      <c r="F21" t="s">
        <v>3477</v>
      </c>
      <c r="G21" t="s">
        <v>29</v>
      </c>
      <c r="H21" t="s">
        <v>2823</v>
      </c>
      <c r="I21" t="s">
        <v>2823</v>
      </c>
      <c r="J21" t="s">
        <v>2823</v>
      </c>
      <c r="K21" t="s">
        <v>2823</v>
      </c>
      <c r="L21" t="s">
        <v>30</v>
      </c>
      <c r="M21" t="s">
        <v>15</v>
      </c>
      <c r="N21" s="20" t="s">
        <v>3661</v>
      </c>
      <c r="O21" t="s">
        <v>30</v>
      </c>
    </row>
    <row r="22" spans="1:15" hidden="1">
      <c r="A22" t="s">
        <v>3463</v>
      </c>
      <c r="B22" t="s">
        <v>3413</v>
      </c>
      <c r="C22" t="s">
        <v>3415</v>
      </c>
      <c r="D22" t="s">
        <v>3414</v>
      </c>
      <c r="E22">
        <v>2024</v>
      </c>
      <c r="F22" t="s">
        <v>3478</v>
      </c>
      <c r="G22" t="s">
        <v>29</v>
      </c>
      <c r="H22" t="s">
        <v>2823</v>
      </c>
      <c r="I22" t="s">
        <v>2823</v>
      </c>
      <c r="J22" t="s">
        <v>2823</v>
      </c>
      <c r="K22" t="s">
        <v>2823</v>
      </c>
      <c r="L22" t="s">
        <v>30</v>
      </c>
      <c r="M22" t="s">
        <v>12</v>
      </c>
      <c r="N22" s="20"/>
      <c r="O22" t="s">
        <v>31</v>
      </c>
    </row>
    <row r="23" spans="1:15" hidden="1">
      <c r="A23" t="s">
        <v>3464</v>
      </c>
      <c r="B23" t="s">
        <v>3416</v>
      </c>
      <c r="D23" t="s">
        <v>3417</v>
      </c>
      <c r="E23">
        <v>2024</v>
      </c>
      <c r="F23" t="s">
        <v>3418</v>
      </c>
      <c r="G23" t="s">
        <v>29</v>
      </c>
      <c r="H23" t="s">
        <v>762</v>
      </c>
      <c r="I23" t="s">
        <v>2823</v>
      </c>
      <c r="J23" t="s">
        <v>2823</v>
      </c>
      <c r="K23" t="s">
        <v>762</v>
      </c>
      <c r="N23" s="20"/>
    </row>
    <row r="24" spans="1:15" ht="60">
      <c r="A24" t="s">
        <v>3465</v>
      </c>
      <c r="B24" t="s">
        <v>3419</v>
      </c>
      <c r="C24" t="s">
        <v>3422</v>
      </c>
      <c r="D24" t="s">
        <v>3420</v>
      </c>
      <c r="E24">
        <v>2024</v>
      </c>
      <c r="F24" t="s">
        <v>3421</v>
      </c>
      <c r="G24" t="s">
        <v>29</v>
      </c>
      <c r="H24" t="s">
        <v>2823</v>
      </c>
      <c r="I24" t="s">
        <v>2823</v>
      </c>
      <c r="J24" t="s">
        <v>2823</v>
      </c>
      <c r="K24" t="s">
        <v>2823</v>
      </c>
      <c r="L24" t="s">
        <v>30</v>
      </c>
      <c r="M24" t="s">
        <v>3654</v>
      </c>
      <c r="N24" s="20" t="s">
        <v>3662</v>
      </c>
      <c r="O24" t="s">
        <v>30</v>
      </c>
    </row>
    <row r="25" spans="1:15" hidden="1">
      <c r="A25" t="s">
        <v>3466</v>
      </c>
      <c r="B25" t="s">
        <v>3423</v>
      </c>
      <c r="D25" t="s">
        <v>3424</v>
      </c>
      <c r="E25">
        <v>2023</v>
      </c>
      <c r="F25" t="s">
        <v>3425</v>
      </c>
      <c r="G25" t="s">
        <v>29</v>
      </c>
      <c r="H25" t="s">
        <v>762</v>
      </c>
      <c r="I25" t="s">
        <v>2823</v>
      </c>
      <c r="J25" t="s">
        <v>2823</v>
      </c>
      <c r="K25" t="s">
        <v>762</v>
      </c>
      <c r="N25" s="20"/>
    </row>
    <row r="26" spans="1:15" hidden="1">
      <c r="A26" t="s">
        <v>3467</v>
      </c>
      <c r="B26" t="s">
        <v>3426</v>
      </c>
      <c r="D26" t="s">
        <v>3427</v>
      </c>
      <c r="E26">
        <v>2023</v>
      </c>
      <c r="F26" t="s">
        <v>3428</v>
      </c>
      <c r="G26" t="s">
        <v>29</v>
      </c>
      <c r="H26" t="s">
        <v>762</v>
      </c>
      <c r="I26" t="s">
        <v>2823</v>
      </c>
      <c r="J26" t="s">
        <v>2823</v>
      </c>
      <c r="K26" t="s">
        <v>762</v>
      </c>
      <c r="N26" s="20"/>
    </row>
    <row r="27" spans="1:15" hidden="1">
      <c r="A27" t="s">
        <v>3468</v>
      </c>
      <c r="B27" t="s">
        <v>3429</v>
      </c>
      <c r="D27" t="s">
        <v>3430</v>
      </c>
      <c r="E27">
        <v>2023</v>
      </c>
      <c r="F27" t="s">
        <v>3431</v>
      </c>
      <c r="G27" t="s">
        <v>29</v>
      </c>
      <c r="H27" t="s">
        <v>762</v>
      </c>
      <c r="I27" t="s">
        <v>2823</v>
      </c>
      <c r="J27" t="s">
        <v>2823</v>
      </c>
      <c r="K27" t="s">
        <v>762</v>
      </c>
      <c r="N27" s="20"/>
    </row>
    <row r="28" spans="1:15" hidden="1">
      <c r="A28" t="s">
        <v>3469</v>
      </c>
      <c r="B28" t="s">
        <v>3432</v>
      </c>
      <c r="C28" t="s">
        <v>3434</v>
      </c>
      <c r="D28" t="s">
        <v>3433</v>
      </c>
      <c r="E28">
        <v>2023</v>
      </c>
      <c r="F28" t="s">
        <v>3365</v>
      </c>
      <c r="G28" t="s">
        <v>29</v>
      </c>
      <c r="H28" t="s">
        <v>2823</v>
      </c>
      <c r="I28" t="s">
        <v>2823</v>
      </c>
      <c r="J28" t="s">
        <v>2823</v>
      </c>
      <c r="K28" t="s">
        <v>2823</v>
      </c>
      <c r="L28" t="s">
        <v>30</v>
      </c>
      <c r="M28" t="s">
        <v>14</v>
      </c>
      <c r="N28" s="20"/>
      <c r="O28" t="s">
        <v>31</v>
      </c>
    </row>
    <row r="29" spans="1:15" hidden="1">
      <c r="A29" t="s">
        <v>3470</v>
      </c>
      <c r="B29" t="s">
        <v>3435</v>
      </c>
      <c r="D29" t="s">
        <v>3436</v>
      </c>
      <c r="E29">
        <v>2023</v>
      </c>
      <c r="F29" t="s">
        <v>3437</v>
      </c>
      <c r="G29" t="s">
        <v>29</v>
      </c>
      <c r="H29" t="s">
        <v>762</v>
      </c>
      <c r="I29" t="s">
        <v>2823</v>
      </c>
      <c r="J29" t="s">
        <v>2823</v>
      </c>
      <c r="K29" t="s">
        <v>762</v>
      </c>
    </row>
  </sheetData>
  <autoFilter ref="A1:P29" xr:uid="{FE044A0E-1371-4439-BB47-672281ED5325}">
    <filterColumn colId="14">
      <filters>
        <filter val="Yes"/>
      </filters>
    </filterColumn>
  </autoFilter>
  <phoneticPr fontId="6" type="noConversion"/>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D3BB9-3A9D-47A2-802D-83746958BC62}">
  <sheetPr filterMode="1"/>
  <dimension ref="A1:O52"/>
  <sheetViews>
    <sheetView zoomScale="55" zoomScaleNormal="55" workbookViewId="0">
      <pane ySplit="1" topLeftCell="A2" activePane="bottomLeft" state="frozen"/>
      <selection activeCell="C1" sqref="C1"/>
      <selection pane="bottomLeft" activeCell="B5" sqref="B5"/>
    </sheetView>
  </sheetViews>
  <sheetFormatPr baseColWidth="10" defaultRowHeight="14.4"/>
  <cols>
    <col min="2" max="2" width="141" bestFit="1" customWidth="1"/>
    <col min="3" max="3" width="46.5546875" customWidth="1"/>
    <col min="5" max="5" width="98.77734375" bestFit="1" customWidth="1"/>
    <col min="6" max="6" width="15.6640625" bestFit="1" customWidth="1"/>
    <col min="7" max="7" width="18.5546875" bestFit="1" customWidth="1"/>
    <col min="8" max="8" width="15.109375" bestFit="1" customWidth="1"/>
    <col min="9" max="9" width="15.5546875" bestFit="1" customWidth="1"/>
    <col min="10" max="10" width="21.109375" bestFit="1" customWidth="1"/>
    <col min="12" max="12" width="19.88671875" bestFit="1" customWidth="1"/>
    <col min="13" max="13" width="30" customWidth="1"/>
  </cols>
  <sheetData>
    <row r="1" spans="1:15" s="10" customFormat="1">
      <c r="A1" s="8" t="s">
        <v>0</v>
      </c>
      <c r="B1" s="9" t="s">
        <v>1</v>
      </c>
      <c r="C1" s="8" t="s">
        <v>2</v>
      </c>
      <c r="D1" s="8" t="s">
        <v>3</v>
      </c>
      <c r="E1" s="8" t="s">
        <v>4</v>
      </c>
      <c r="F1" s="8" t="s">
        <v>5</v>
      </c>
      <c r="G1" s="8" t="s">
        <v>7</v>
      </c>
      <c r="H1" s="8" t="s">
        <v>35</v>
      </c>
      <c r="I1" s="8" t="s">
        <v>6</v>
      </c>
      <c r="J1" s="8" t="s">
        <v>8</v>
      </c>
      <c r="K1" s="8" t="s">
        <v>37</v>
      </c>
      <c r="L1" s="8" t="s">
        <v>9</v>
      </c>
      <c r="M1" s="8" t="s">
        <v>1340</v>
      </c>
      <c r="N1" s="8" t="s">
        <v>28</v>
      </c>
      <c r="O1" s="8" t="s">
        <v>11</v>
      </c>
    </row>
    <row r="2" spans="1:15" ht="96.6">
      <c r="A2" t="s">
        <v>3600</v>
      </c>
      <c r="B2" t="s">
        <v>3484</v>
      </c>
      <c r="C2" s="17" t="s">
        <v>3483</v>
      </c>
      <c r="D2">
        <v>2024</v>
      </c>
      <c r="E2" t="s">
        <v>3485</v>
      </c>
      <c r="F2" t="s">
        <v>3664</v>
      </c>
      <c r="G2" t="s">
        <v>30</v>
      </c>
      <c r="H2" t="s">
        <v>30</v>
      </c>
      <c r="I2" t="s">
        <v>30</v>
      </c>
      <c r="J2" t="s">
        <v>30</v>
      </c>
      <c r="K2" t="s">
        <v>30</v>
      </c>
      <c r="L2" t="s">
        <v>3654</v>
      </c>
      <c r="M2" s="21" t="s">
        <v>3665</v>
      </c>
      <c r="N2" t="s">
        <v>30</v>
      </c>
    </row>
    <row r="3" spans="1:15" hidden="1">
      <c r="A3" t="s">
        <v>3601</v>
      </c>
      <c r="B3" t="s">
        <v>3487</v>
      </c>
      <c r="C3" s="17" t="s">
        <v>3486</v>
      </c>
      <c r="D3">
        <v>2024</v>
      </c>
      <c r="E3" t="s">
        <v>3488</v>
      </c>
      <c r="F3" t="s">
        <v>29</v>
      </c>
      <c r="G3" t="s">
        <v>30</v>
      </c>
      <c r="H3" t="s">
        <v>3666</v>
      </c>
      <c r="I3" t="s">
        <v>30</v>
      </c>
      <c r="J3" t="s">
        <v>31</v>
      </c>
      <c r="M3" s="21"/>
      <c r="N3" t="s">
        <v>31</v>
      </c>
    </row>
    <row r="4" spans="1:15" ht="120.6">
      <c r="A4" t="s">
        <v>3602</v>
      </c>
      <c r="B4" t="s">
        <v>3490</v>
      </c>
      <c r="C4" s="17" t="s">
        <v>3489</v>
      </c>
      <c r="D4">
        <v>2024</v>
      </c>
      <c r="E4" t="s">
        <v>3485</v>
      </c>
      <c r="F4" t="s">
        <v>3652</v>
      </c>
      <c r="G4" t="s">
        <v>30</v>
      </c>
      <c r="H4" t="s">
        <v>30</v>
      </c>
      <c r="I4" t="s">
        <v>30</v>
      </c>
      <c r="J4" t="s">
        <v>30</v>
      </c>
      <c r="K4" t="s">
        <v>30</v>
      </c>
      <c r="L4" t="s">
        <v>15</v>
      </c>
      <c r="M4" s="21" t="s">
        <v>3667</v>
      </c>
      <c r="N4" t="s">
        <v>30</v>
      </c>
    </row>
    <row r="5" spans="1:15" ht="84.6">
      <c r="A5" t="s">
        <v>3603</v>
      </c>
      <c r="B5" t="s">
        <v>3492</v>
      </c>
      <c r="C5" s="17" t="s">
        <v>3491</v>
      </c>
      <c r="D5">
        <v>2025</v>
      </c>
      <c r="E5" t="s">
        <v>3493</v>
      </c>
      <c r="F5" t="s">
        <v>29</v>
      </c>
      <c r="G5" t="s">
        <v>30</v>
      </c>
      <c r="H5" t="s">
        <v>30</v>
      </c>
      <c r="I5" t="s">
        <v>30</v>
      </c>
      <c r="J5" t="s">
        <v>30</v>
      </c>
      <c r="K5" t="s">
        <v>30</v>
      </c>
      <c r="L5" t="s">
        <v>15</v>
      </c>
      <c r="M5" s="21" t="s">
        <v>3668</v>
      </c>
      <c r="N5" t="s">
        <v>30</v>
      </c>
    </row>
    <row r="6" spans="1:15" ht="28.8" hidden="1">
      <c r="A6" t="s">
        <v>3604</v>
      </c>
      <c r="B6" t="s">
        <v>3495</v>
      </c>
      <c r="C6" s="17" t="s">
        <v>3494</v>
      </c>
      <c r="D6">
        <v>2023</v>
      </c>
      <c r="E6" t="s">
        <v>3496</v>
      </c>
      <c r="F6" t="s">
        <v>29</v>
      </c>
      <c r="G6" t="s">
        <v>30</v>
      </c>
      <c r="H6" t="s">
        <v>30</v>
      </c>
      <c r="I6" t="s">
        <v>30</v>
      </c>
      <c r="J6" t="s">
        <v>30</v>
      </c>
      <c r="K6" t="s">
        <v>30</v>
      </c>
      <c r="L6" t="s">
        <v>12</v>
      </c>
      <c r="M6" s="21"/>
      <c r="N6" t="s">
        <v>31</v>
      </c>
    </row>
    <row r="7" spans="1:15" ht="28.8" hidden="1">
      <c r="A7" t="s">
        <v>3605</v>
      </c>
      <c r="B7" t="s">
        <v>3498</v>
      </c>
      <c r="C7" s="17" t="s">
        <v>3497</v>
      </c>
      <c r="D7">
        <v>2024</v>
      </c>
      <c r="E7" t="s">
        <v>3499</v>
      </c>
      <c r="F7" t="s">
        <v>29</v>
      </c>
      <c r="G7" t="s">
        <v>30</v>
      </c>
      <c r="H7" t="s">
        <v>30</v>
      </c>
      <c r="I7" t="s">
        <v>30</v>
      </c>
      <c r="J7" t="s">
        <v>30</v>
      </c>
      <c r="K7" t="s">
        <v>30</v>
      </c>
      <c r="L7" t="s">
        <v>13</v>
      </c>
      <c r="M7" s="21"/>
      <c r="N7" t="s">
        <v>31</v>
      </c>
    </row>
    <row r="8" spans="1:15" ht="96.6">
      <c r="A8" t="s">
        <v>3606</v>
      </c>
      <c r="B8" t="s">
        <v>3501</v>
      </c>
      <c r="C8" s="17" t="s">
        <v>3500</v>
      </c>
      <c r="D8">
        <v>2024</v>
      </c>
      <c r="E8" t="s">
        <v>3485</v>
      </c>
      <c r="F8" t="s">
        <v>3652</v>
      </c>
      <c r="G8" t="s">
        <v>30</v>
      </c>
      <c r="H8" t="s">
        <v>30</v>
      </c>
      <c r="I8" t="s">
        <v>30</v>
      </c>
      <c r="J8" t="s">
        <v>30</v>
      </c>
      <c r="K8" t="s">
        <v>30</v>
      </c>
      <c r="L8" t="s">
        <v>15</v>
      </c>
      <c r="M8" s="21" t="s">
        <v>3669</v>
      </c>
      <c r="N8" t="s">
        <v>30</v>
      </c>
    </row>
    <row r="9" spans="1:15" hidden="1">
      <c r="A9" t="s">
        <v>3607</v>
      </c>
      <c r="B9" t="s">
        <v>3503</v>
      </c>
      <c r="C9" s="17" t="s">
        <v>3502</v>
      </c>
      <c r="D9">
        <v>2024</v>
      </c>
      <c r="E9" t="s">
        <v>3504</v>
      </c>
      <c r="F9" t="s">
        <v>29</v>
      </c>
      <c r="G9" t="s">
        <v>30</v>
      </c>
      <c r="H9" t="s">
        <v>30</v>
      </c>
      <c r="I9" t="s">
        <v>30</v>
      </c>
      <c r="J9" t="s">
        <v>30</v>
      </c>
      <c r="K9" t="s">
        <v>30</v>
      </c>
      <c r="L9" t="s">
        <v>13</v>
      </c>
      <c r="M9" s="21"/>
      <c r="N9" t="s">
        <v>31</v>
      </c>
    </row>
    <row r="10" spans="1:15" hidden="1">
      <c r="A10" t="s">
        <v>3608</v>
      </c>
      <c r="B10" t="s">
        <v>3506</v>
      </c>
      <c r="C10" s="17" t="s">
        <v>3505</v>
      </c>
      <c r="D10">
        <v>2024</v>
      </c>
      <c r="E10" t="s">
        <v>3507</v>
      </c>
      <c r="F10" t="s">
        <v>29</v>
      </c>
      <c r="G10" t="s">
        <v>30</v>
      </c>
      <c r="H10" t="s">
        <v>30</v>
      </c>
      <c r="I10" t="s">
        <v>30</v>
      </c>
      <c r="J10" t="s">
        <v>30</v>
      </c>
      <c r="K10" t="s">
        <v>30</v>
      </c>
      <c r="L10" t="s">
        <v>14</v>
      </c>
      <c r="M10" s="21"/>
      <c r="N10" t="s">
        <v>31</v>
      </c>
    </row>
    <row r="11" spans="1:15" ht="28.8" hidden="1">
      <c r="A11" t="s">
        <v>3609</v>
      </c>
      <c r="B11" t="s">
        <v>3509</v>
      </c>
      <c r="C11" s="17" t="s">
        <v>3508</v>
      </c>
      <c r="D11">
        <v>2024</v>
      </c>
      <c r="E11" t="s">
        <v>3488</v>
      </c>
      <c r="F11" t="s">
        <v>29</v>
      </c>
      <c r="G11" t="s">
        <v>30</v>
      </c>
      <c r="H11" t="s">
        <v>30</v>
      </c>
      <c r="I11" t="s">
        <v>30</v>
      </c>
      <c r="J11" t="s">
        <v>30</v>
      </c>
      <c r="K11" t="s">
        <v>31</v>
      </c>
      <c r="M11" s="21"/>
      <c r="N11" t="s">
        <v>31</v>
      </c>
    </row>
    <row r="12" spans="1:15" ht="28.8" hidden="1">
      <c r="A12" t="s">
        <v>3610</v>
      </c>
      <c r="B12" t="s">
        <v>3511</v>
      </c>
      <c r="C12" s="17" t="s">
        <v>3510</v>
      </c>
      <c r="D12">
        <v>2024</v>
      </c>
      <c r="E12" t="s">
        <v>3485</v>
      </c>
      <c r="F12" t="s">
        <v>3652</v>
      </c>
      <c r="G12" t="s">
        <v>30</v>
      </c>
      <c r="H12" t="s">
        <v>3670</v>
      </c>
      <c r="I12" t="s">
        <v>30</v>
      </c>
      <c r="J12" t="s">
        <v>31</v>
      </c>
      <c r="M12" s="21"/>
      <c r="N12" t="s">
        <v>31</v>
      </c>
    </row>
    <row r="13" spans="1:15" hidden="1">
      <c r="A13" t="s">
        <v>3611</v>
      </c>
      <c r="B13" t="s">
        <v>2986</v>
      </c>
      <c r="C13" s="17" t="s">
        <v>3512</v>
      </c>
      <c r="D13">
        <v>2025</v>
      </c>
      <c r="E13" t="s">
        <v>3513</v>
      </c>
      <c r="F13" t="s">
        <v>29</v>
      </c>
      <c r="G13" t="s">
        <v>30</v>
      </c>
      <c r="H13" t="s">
        <v>30</v>
      </c>
      <c r="I13" t="s">
        <v>30</v>
      </c>
      <c r="J13" t="s">
        <v>30</v>
      </c>
      <c r="K13" t="s">
        <v>30</v>
      </c>
      <c r="L13" t="s">
        <v>14</v>
      </c>
      <c r="M13" s="21"/>
      <c r="N13" t="s">
        <v>31</v>
      </c>
    </row>
    <row r="14" spans="1:15" ht="60.6">
      <c r="A14" t="s">
        <v>3612</v>
      </c>
      <c r="B14" t="s">
        <v>3514</v>
      </c>
      <c r="C14" s="17" t="s">
        <v>3502</v>
      </c>
      <c r="D14">
        <v>2025</v>
      </c>
      <c r="E14" t="s">
        <v>3515</v>
      </c>
      <c r="F14" t="s">
        <v>29</v>
      </c>
      <c r="G14" t="s">
        <v>30</v>
      </c>
      <c r="H14" t="s">
        <v>30</v>
      </c>
      <c r="I14" t="s">
        <v>30</v>
      </c>
      <c r="J14" t="s">
        <v>30</v>
      </c>
      <c r="K14" t="s">
        <v>30</v>
      </c>
      <c r="L14" t="s">
        <v>15</v>
      </c>
      <c r="M14" s="21" t="s">
        <v>3671</v>
      </c>
      <c r="N14" t="s">
        <v>30</v>
      </c>
    </row>
    <row r="15" spans="1:15" ht="108.6">
      <c r="A15" t="s">
        <v>3613</v>
      </c>
      <c r="B15" t="s">
        <v>3517</v>
      </c>
      <c r="C15" s="17" t="s">
        <v>3516</v>
      </c>
      <c r="D15">
        <v>2024</v>
      </c>
      <c r="E15" t="s">
        <v>3485</v>
      </c>
      <c r="F15" t="s">
        <v>3652</v>
      </c>
      <c r="G15" t="s">
        <v>30</v>
      </c>
      <c r="H15" t="s">
        <v>30</v>
      </c>
      <c r="I15" t="s">
        <v>30</v>
      </c>
      <c r="J15" t="s">
        <v>30</v>
      </c>
      <c r="K15" t="s">
        <v>30</v>
      </c>
      <c r="L15" t="s">
        <v>3654</v>
      </c>
      <c r="M15" s="21" t="s">
        <v>3695</v>
      </c>
      <c r="N15" t="s">
        <v>30</v>
      </c>
    </row>
    <row r="16" spans="1:15" ht="28.8" hidden="1">
      <c r="A16" t="s">
        <v>3614</v>
      </c>
      <c r="B16" t="s">
        <v>3519</v>
      </c>
      <c r="C16" s="17" t="s">
        <v>3518</v>
      </c>
      <c r="D16">
        <v>2024</v>
      </c>
      <c r="E16" t="s">
        <v>3485</v>
      </c>
      <c r="F16" t="s">
        <v>3652</v>
      </c>
      <c r="G16" t="s">
        <v>31</v>
      </c>
      <c r="H16" t="s">
        <v>30</v>
      </c>
      <c r="I16" t="s">
        <v>30</v>
      </c>
      <c r="J16" t="s">
        <v>31</v>
      </c>
      <c r="M16" s="21"/>
      <c r="N16" t="s">
        <v>31</v>
      </c>
    </row>
    <row r="17" spans="1:14" ht="60.6">
      <c r="A17" t="s">
        <v>3615</v>
      </c>
      <c r="B17" t="s">
        <v>3521</v>
      </c>
      <c r="C17" s="17" t="s">
        <v>3520</v>
      </c>
      <c r="D17">
        <v>2025</v>
      </c>
      <c r="E17" t="s">
        <v>3522</v>
      </c>
      <c r="F17" t="s">
        <v>29</v>
      </c>
      <c r="G17" t="s">
        <v>30</v>
      </c>
      <c r="H17" t="s">
        <v>30</v>
      </c>
      <c r="I17" t="s">
        <v>30</v>
      </c>
      <c r="J17" t="s">
        <v>30</v>
      </c>
      <c r="K17" t="s">
        <v>30</v>
      </c>
      <c r="L17" t="s">
        <v>15</v>
      </c>
      <c r="M17" s="21" t="s">
        <v>3672</v>
      </c>
      <c r="N17" t="s">
        <v>30</v>
      </c>
    </row>
    <row r="18" spans="1:14" ht="72.599999999999994">
      <c r="A18" t="s">
        <v>3616</v>
      </c>
      <c r="B18" t="s">
        <v>3524</v>
      </c>
      <c r="C18" s="17" t="s">
        <v>3523</v>
      </c>
      <c r="D18">
        <v>2024</v>
      </c>
      <c r="E18" t="s">
        <v>3525</v>
      </c>
      <c r="F18" t="s">
        <v>29</v>
      </c>
      <c r="G18" t="s">
        <v>30</v>
      </c>
      <c r="H18" t="s">
        <v>30</v>
      </c>
      <c r="I18" t="s">
        <v>30</v>
      </c>
      <c r="J18" t="s">
        <v>30</v>
      </c>
      <c r="K18" t="s">
        <v>30</v>
      </c>
      <c r="L18" t="s">
        <v>15</v>
      </c>
      <c r="M18" s="21" t="s">
        <v>3673</v>
      </c>
      <c r="N18" t="s">
        <v>30</v>
      </c>
    </row>
    <row r="19" spans="1:14" hidden="1">
      <c r="A19" t="s">
        <v>3617</v>
      </c>
      <c r="B19" t="s">
        <v>3526</v>
      </c>
      <c r="C19" s="17" t="s">
        <v>1752</v>
      </c>
      <c r="D19">
        <v>2023</v>
      </c>
      <c r="E19" t="s">
        <v>3527</v>
      </c>
      <c r="F19" t="s">
        <v>3651</v>
      </c>
      <c r="G19" t="s">
        <v>30</v>
      </c>
      <c r="H19" t="s">
        <v>31</v>
      </c>
      <c r="I19" t="s">
        <v>30</v>
      </c>
      <c r="J19" t="s">
        <v>31</v>
      </c>
      <c r="M19" s="21"/>
      <c r="N19" t="s">
        <v>31</v>
      </c>
    </row>
    <row r="20" spans="1:14" hidden="1">
      <c r="A20" t="s">
        <v>3618</v>
      </c>
      <c r="B20" t="s">
        <v>3529</v>
      </c>
      <c r="C20" s="17" t="s">
        <v>3528</v>
      </c>
      <c r="D20">
        <v>2025</v>
      </c>
      <c r="E20" t="s">
        <v>3493</v>
      </c>
      <c r="F20" t="s">
        <v>29</v>
      </c>
      <c r="G20" t="s">
        <v>30</v>
      </c>
      <c r="H20" t="s">
        <v>31</v>
      </c>
      <c r="I20" t="s">
        <v>30</v>
      </c>
      <c r="J20" t="s">
        <v>31</v>
      </c>
      <c r="M20" s="21"/>
      <c r="N20" t="s">
        <v>31</v>
      </c>
    </row>
    <row r="21" spans="1:14" ht="60.6">
      <c r="A21" t="s">
        <v>3619</v>
      </c>
      <c r="B21" t="s">
        <v>3531</v>
      </c>
      <c r="C21" s="17" t="s">
        <v>3530</v>
      </c>
      <c r="D21">
        <v>2024</v>
      </c>
      <c r="E21" t="s">
        <v>3507</v>
      </c>
      <c r="F21" t="s">
        <v>29</v>
      </c>
      <c r="G21" t="s">
        <v>30</v>
      </c>
      <c r="H21" t="s">
        <v>30</v>
      </c>
      <c r="I21" t="s">
        <v>30</v>
      </c>
      <c r="J21" t="s">
        <v>30</v>
      </c>
      <c r="K21" t="s">
        <v>30</v>
      </c>
      <c r="L21" t="s">
        <v>15</v>
      </c>
      <c r="M21" s="21" t="s">
        <v>3674</v>
      </c>
      <c r="N21" t="s">
        <v>30</v>
      </c>
    </row>
    <row r="22" spans="1:14" hidden="1">
      <c r="A22" t="s">
        <v>3620</v>
      </c>
      <c r="B22" t="s">
        <v>3533</v>
      </c>
      <c r="C22" s="17" t="s">
        <v>3532</v>
      </c>
      <c r="D22">
        <v>2024</v>
      </c>
      <c r="E22" t="s">
        <v>3525</v>
      </c>
      <c r="F22" t="s">
        <v>29</v>
      </c>
      <c r="G22" t="s">
        <v>30</v>
      </c>
      <c r="H22" t="s">
        <v>3675</v>
      </c>
      <c r="I22" t="s">
        <v>30</v>
      </c>
      <c r="J22" t="s">
        <v>31</v>
      </c>
      <c r="M22" s="21"/>
      <c r="N22" t="s">
        <v>31</v>
      </c>
    </row>
    <row r="23" spans="1:14" ht="84.6">
      <c r="A23" t="s">
        <v>3621</v>
      </c>
      <c r="B23" t="s">
        <v>3535</v>
      </c>
      <c r="C23" s="17" t="s">
        <v>3534</v>
      </c>
      <c r="D23">
        <v>2025</v>
      </c>
      <c r="E23" t="s">
        <v>3536</v>
      </c>
      <c r="F23" t="s">
        <v>3652</v>
      </c>
      <c r="G23" t="s">
        <v>30</v>
      </c>
      <c r="H23" t="s">
        <v>30</v>
      </c>
      <c r="I23" t="s">
        <v>30</v>
      </c>
      <c r="J23" t="s">
        <v>30</v>
      </c>
      <c r="K23" t="s">
        <v>30</v>
      </c>
      <c r="L23" t="s">
        <v>15</v>
      </c>
      <c r="M23" s="21" t="s">
        <v>3676</v>
      </c>
      <c r="N23" t="s">
        <v>30</v>
      </c>
    </row>
    <row r="24" spans="1:14" hidden="1">
      <c r="A24" t="s">
        <v>3622</v>
      </c>
      <c r="B24" t="s">
        <v>3538</v>
      </c>
      <c r="C24" s="17" t="s">
        <v>3537</v>
      </c>
      <c r="D24">
        <v>2024</v>
      </c>
      <c r="E24" t="s">
        <v>3539</v>
      </c>
      <c r="F24" t="s">
        <v>29</v>
      </c>
      <c r="G24" t="s">
        <v>30</v>
      </c>
      <c r="H24" t="s">
        <v>30</v>
      </c>
      <c r="I24" t="s">
        <v>30</v>
      </c>
      <c r="J24" t="s">
        <v>30</v>
      </c>
      <c r="K24" t="s">
        <v>30</v>
      </c>
      <c r="L24" t="s">
        <v>14</v>
      </c>
      <c r="M24" s="21"/>
      <c r="N24" t="s">
        <v>31</v>
      </c>
    </row>
    <row r="25" spans="1:14" ht="60.6">
      <c r="A25" t="s">
        <v>3623</v>
      </c>
      <c r="B25" t="s">
        <v>3541</v>
      </c>
      <c r="C25" s="17" t="s">
        <v>3540</v>
      </c>
      <c r="D25">
        <v>2023</v>
      </c>
      <c r="E25" t="s">
        <v>3542</v>
      </c>
      <c r="F25" t="s">
        <v>29</v>
      </c>
      <c r="G25" t="s">
        <v>30</v>
      </c>
      <c r="H25" t="s">
        <v>30</v>
      </c>
      <c r="I25" t="s">
        <v>30</v>
      </c>
      <c r="J25" t="s">
        <v>30</v>
      </c>
      <c r="K25" t="s">
        <v>30</v>
      </c>
      <c r="L25" t="s">
        <v>15</v>
      </c>
      <c r="M25" s="21" t="s">
        <v>3677</v>
      </c>
      <c r="N25" t="s">
        <v>30</v>
      </c>
    </row>
    <row r="26" spans="1:14" ht="72.599999999999994">
      <c r="A26" t="s">
        <v>3624</v>
      </c>
      <c r="B26" t="s">
        <v>3544</v>
      </c>
      <c r="C26" s="17" t="s">
        <v>3543</v>
      </c>
      <c r="D26">
        <v>2024</v>
      </c>
      <c r="E26" t="s">
        <v>3485</v>
      </c>
      <c r="F26" t="s">
        <v>3652</v>
      </c>
      <c r="G26" t="s">
        <v>30</v>
      </c>
      <c r="H26" t="s">
        <v>30</v>
      </c>
      <c r="I26" t="s">
        <v>30</v>
      </c>
      <c r="J26" t="s">
        <v>30</v>
      </c>
      <c r="K26" t="s">
        <v>30</v>
      </c>
      <c r="L26" t="s">
        <v>15</v>
      </c>
      <c r="M26" s="21" t="s">
        <v>3678</v>
      </c>
      <c r="N26" t="s">
        <v>30</v>
      </c>
    </row>
    <row r="27" spans="1:14" hidden="1">
      <c r="A27" t="s">
        <v>3625</v>
      </c>
      <c r="B27" t="s">
        <v>3546</v>
      </c>
      <c r="C27" s="17" t="s">
        <v>3545</v>
      </c>
      <c r="D27">
        <v>2024</v>
      </c>
      <c r="E27" t="s">
        <v>3547</v>
      </c>
      <c r="F27" t="s">
        <v>3653</v>
      </c>
      <c r="G27" t="s">
        <v>30</v>
      </c>
      <c r="H27" t="s">
        <v>3679</v>
      </c>
      <c r="I27" t="s">
        <v>30</v>
      </c>
      <c r="J27" t="s">
        <v>31</v>
      </c>
      <c r="M27" s="21"/>
      <c r="N27" t="s">
        <v>31</v>
      </c>
    </row>
    <row r="28" spans="1:14" ht="72.599999999999994">
      <c r="A28" t="s">
        <v>3626</v>
      </c>
      <c r="B28" t="s">
        <v>3549</v>
      </c>
      <c r="C28" s="17" t="s">
        <v>3548</v>
      </c>
      <c r="D28">
        <v>2024</v>
      </c>
      <c r="E28" t="s">
        <v>3485</v>
      </c>
      <c r="F28" t="s">
        <v>3652</v>
      </c>
      <c r="G28" t="s">
        <v>30</v>
      </c>
      <c r="H28" t="s">
        <v>30</v>
      </c>
      <c r="I28" t="s">
        <v>30</v>
      </c>
      <c r="J28" t="s">
        <v>30</v>
      </c>
      <c r="K28" t="s">
        <v>30</v>
      </c>
      <c r="L28" t="s">
        <v>15</v>
      </c>
      <c r="M28" s="21" t="s">
        <v>3680</v>
      </c>
      <c r="N28" t="s">
        <v>30</v>
      </c>
    </row>
    <row r="29" spans="1:14" ht="28.8" hidden="1">
      <c r="A29" t="s">
        <v>3627</v>
      </c>
      <c r="B29" t="s">
        <v>3551</v>
      </c>
      <c r="C29" s="17" t="s">
        <v>3550</v>
      </c>
      <c r="D29">
        <v>2023</v>
      </c>
      <c r="E29" t="s">
        <v>3527</v>
      </c>
      <c r="F29" t="s">
        <v>29</v>
      </c>
      <c r="G29" t="s">
        <v>30</v>
      </c>
      <c r="H29" t="s">
        <v>30</v>
      </c>
      <c r="I29" t="s">
        <v>30</v>
      </c>
      <c r="J29" t="s">
        <v>30</v>
      </c>
      <c r="K29" t="s">
        <v>30</v>
      </c>
      <c r="L29" t="s">
        <v>14</v>
      </c>
      <c r="M29" s="21"/>
      <c r="N29" t="s">
        <v>31</v>
      </c>
    </row>
    <row r="30" spans="1:14" ht="72.599999999999994">
      <c r="A30" t="s">
        <v>3628</v>
      </c>
      <c r="B30" t="s">
        <v>3553</v>
      </c>
      <c r="C30" s="17" t="s">
        <v>3552</v>
      </c>
      <c r="D30">
        <v>2024</v>
      </c>
      <c r="E30" t="s">
        <v>3485</v>
      </c>
      <c r="F30" t="s">
        <v>3652</v>
      </c>
      <c r="G30" t="s">
        <v>30</v>
      </c>
      <c r="H30" t="s">
        <v>30</v>
      </c>
      <c r="I30" t="s">
        <v>30</v>
      </c>
      <c r="J30" t="s">
        <v>30</v>
      </c>
      <c r="K30" t="s">
        <v>30</v>
      </c>
      <c r="L30" t="s">
        <v>15</v>
      </c>
      <c r="M30" s="21" t="s">
        <v>3681</v>
      </c>
      <c r="N30" t="s">
        <v>30</v>
      </c>
    </row>
    <row r="31" spans="1:14" hidden="1">
      <c r="A31" t="s">
        <v>3629</v>
      </c>
      <c r="B31" t="s">
        <v>3555</v>
      </c>
      <c r="C31" s="17" t="s">
        <v>3554</v>
      </c>
      <c r="D31">
        <v>2024</v>
      </c>
      <c r="E31" t="s">
        <v>3507</v>
      </c>
      <c r="F31" t="s">
        <v>29</v>
      </c>
      <c r="G31" t="s">
        <v>30</v>
      </c>
      <c r="H31" t="s">
        <v>3682</v>
      </c>
      <c r="I31" t="s">
        <v>30</v>
      </c>
      <c r="J31" t="s">
        <v>31</v>
      </c>
      <c r="M31" s="21"/>
      <c r="N31" t="s">
        <v>31</v>
      </c>
    </row>
    <row r="32" spans="1:14" hidden="1">
      <c r="A32" t="s">
        <v>3630</v>
      </c>
      <c r="B32" t="s">
        <v>3556</v>
      </c>
      <c r="C32" s="17" t="s">
        <v>3545</v>
      </c>
      <c r="D32">
        <v>2025</v>
      </c>
      <c r="E32" t="s">
        <v>3557</v>
      </c>
      <c r="F32" t="s">
        <v>29</v>
      </c>
      <c r="G32" t="s">
        <v>30</v>
      </c>
      <c r="H32" t="s">
        <v>3683</v>
      </c>
      <c r="I32" t="s">
        <v>30</v>
      </c>
      <c r="J32" t="s">
        <v>31</v>
      </c>
      <c r="M32" s="21"/>
      <c r="N32" t="s">
        <v>31</v>
      </c>
    </row>
    <row r="33" spans="1:14" hidden="1">
      <c r="A33" t="s">
        <v>3631</v>
      </c>
      <c r="B33" t="s">
        <v>2915</v>
      </c>
      <c r="C33" s="17" t="s">
        <v>3558</v>
      </c>
      <c r="D33">
        <v>2025</v>
      </c>
      <c r="E33" t="s">
        <v>3513</v>
      </c>
      <c r="F33" t="s">
        <v>29</v>
      </c>
      <c r="G33" t="s">
        <v>31</v>
      </c>
      <c r="H33" t="s">
        <v>30</v>
      </c>
      <c r="I33" t="s">
        <v>30</v>
      </c>
      <c r="J33" t="s">
        <v>31</v>
      </c>
      <c r="M33" s="21"/>
      <c r="N33" t="s">
        <v>31</v>
      </c>
    </row>
    <row r="34" spans="1:14" ht="28.8" hidden="1">
      <c r="A34" t="s">
        <v>3632</v>
      </c>
      <c r="B34" t="s">
        <v>3560</v>
      </c>
      <c r="C34" s="17" t="s">
        <v>3559</v>
      </c>
      <c r="D34">
        <v>2024</v>
      </c>
      <c r="E34" t="s">
        <v>3561</v>
      </c>
      <c r="F34" t="s">
        <v>29</v>
      </c>
      <c r="G34" t="s">
        <v>30</v>
      </c>
      <c r="H34" t="s">
        <v>30</v>
      </c>
      <c r="I34" t="s">
        <v>30</v>
      </c>
      <c r="J34" t="s">
        <v>30</v>
      </c>
      <c r="K34" t="s">
        <v>30</v>
      </c>
      <c r="L34" t="s">
        <v>14</v>
      </c>
      <c r="M34" s="21"/>
      <c r="N34" t="s">
        <v>31</v>
      </c>
    </row>
    <row r="35" spans="1:14" hidden="1">
      <c r="A35" t="s">
        <v>3633</v>
      </c>
      <c r="B35" t="s">
        <v>3563</v>
      </c>
      <c r="C35" s="17" t="s">
        <v>3562</v>
      </c>
      <c r="D35">
        <v>2025</v>
      </c>
      <c r="E35" t="s">
        <v>3493</v>
      </c>
      <c r="F35" t="s">
        <v>29</v>
      </c>
      <c r="G35" t="s">
        <v>30</v>
      </c>
      <c r="H35" t="s">
        <v>30</v>
      </c>
      <c r="I35" t="s">
        <v>30</v>
      </c>
      <c r="J35" t="s">
        <v>30</v>
      </c>
      <c r="K35" t="s">
        <v>30</v>
      </c>
      <c r="L35" t="s">
        <v>13</v>
      </c>
      <c r="M35" s="21"/>
      <c r="N35" t="s">
        <v>31</v>
      </c>
    </row>
    <row r="36" spans="1:14" hidden="1">
      <c r="A36" t="s">
        <v>3634</v>
      </c>
      <c r="B36" t="s">
        <v>3565</v>
      </c>
      <c r="C36" s="17" t="s">
        <v>3564</v>
      </c>
      <c r="D36">
        <v>2025</v>
      </c>
      <c r="E36" t="s">
        <v>3566</v>
      </c>
      <c r="F36" t="s">
        <v>29</v>
      </c>
      <c r="G36" t="s">
        <v>30</v>
      </c>
      <c r="H36" t="s">
        <v>30</v>
      </c>
      <c r="I36" t="s">
        <v>30</v>
      </c>
      <c r="J36" t="s">
        <v>30</v>
      </c>
      <c r="K36" t="s">
        <v>30</v>
      </c>
      <c r="L36" t="s">
        <v>13</v>
      </c>
      <c r="M36" s="21"/>
      <c r="N36" t="s">
        <v>31</v>
      </c>
    </row>
    <row r="37" spans="1:14" hidden="1">
      <c r="A37" t="s">
        <v>3635</v>
      </c>
      <c r="B37" t="s">
        <v>3568</v>
      </c>
      <c r="C37" s="17" t="s">
        <v>3567</v>
      </c>
      <c r="D37">
        <v>2023</v>
      </c>
      <c r="E37" t="s">
        <v>3569</v>
      </c>
      <c r="F37" t="s">
        <v>3652</v>
      </c>
      <c r="G37" t="s">
        <v>30</v>
      </c>
      <c r="H37" t="s">
        <v>3684</v>
      </c>
      <c r="I37" t="s">
        <v>30</v>
      </c>
      <c r="J37" t="s">
        <v>31</v>
      </c>
      <c r="M37" s="21"/>
      <c r="N37" t="s">
        <v>31</v>
      </c>
    </row>
    <row r="38" spans="1:14" ht="28.8" hidden="1">
      <c r="A38" t="s">
        <v>3636</v>
      </c>
      <c r="B38" t="s">
        <v>3560</v>
      </c>
      <c r="C38" s="17" t="s">
        <v>3559</v>
      </c>
      <c r="D38">
        <v>2023</v>
      </c>
      <c r="E38" t="s">
        <v>3570</v>
      </c>
      <c r="F38" t="s">
        <v>29</v>
      </c>
      <c r="G38" t="s">
        <v>30</v>
      </c>
      <c r="H38" t="s">
        <v>30</v>
      </c>
      <c r="I38" t="s">
        <v>30</v>
      </c>
      <c r="J38" t="s">
        <v>30</v>
      </c>
      <c r="K38" t="s">
        <v>31</v>
      </c>
      <c r="M38" s="21"/>
      <c r="N38" t="s">
        <v>31</v>
      </c>
    </row>
    <row r="39" spans="1:14" ht="72.599999999999994">
      <c r="A39" t="s">
        <v>3637</v>
      </c>
      <c r="B39" t="s">
        <v>3572</v>
      </c>
      <c r="C39" s="17" t="s">
        <v>3571</v>
      </c>
      <c r="D39">
        <v>2024</v>
      </c>
      <c r="E39" t="s">
        <v>3485</v>
      </c>
      <c r="F39" t="s">
        <v>3652</v>
      </c>
      <c r="G39" t="s">
        <v>30</v>
      </c>
      <c r="H39" t="s">
        <v>30</v>
      </c>
      <c r="I39" t="s">
        <v>30</v>
      </c>
      <c r="J39" t="s">
        <v>30</v>
      </c>
      <c r="K39" t="s">
        <v>30</v>
      </c>
      <c r="L39" t="s">
        <v>3654</v>
      </c>
      <c r="M39" s="21" t="s">
        <v>3685</v>
      </c>
      <c r="N39" t="s">
        <v>30</v>
      </c>
    </row>
    <row r="40" spans="1:14" ht="60.6">
      <c r="A40" t="s">
        <v>3638</v>
      </c>
      <c r="B40" t="s">
        <v>3573</v>
      </c>
      <c r="C40" s="17" t="s">
        <v>3486</v>
      </c>
      <c r="D40">
        <v>2024</v>
      </c>
      <c r="E40" t="s">
        <v>3485</v>
      </c>
      <c r="F40" t="s">
        <v>3652</v>
      </c>
      <c r="G40" t="s">
        <v>30</v>
      </c>
      <c r="H40" t="s">
        <v>30</v>
      </c>
      <c r="I40" t="s">
        <v>30</v>
      </c>
      <c r="J40" t="s">
        <v>30</v>
      </c>
      <c r="K40" t="s">
        <v>30</v>
      </c>
      <c r="L40" t="s">
        <v>3654</v>
      </c>
      <c r="M40" s="21" t="s">
        <v>3686</v>
      </c>
      <c r="N40" t="s">
        <v>30</v>
      </c>
    </row>
    <row r="41" spans="1:14" hidden="1">
      <c r="A41" t="s">
        <v>3639</v>
      </c>
      <c r="B41" t="s">
        <v>3575</v>
      </c>
      <c r="C41" s="17" t="s">
        <v>3574</v>
      </c>
      <c r="D41">
        <v>2024</v>
      </c>
      <c r="E41" t="s">
        <v>3547</v>
      </c>
      <c r="F41" t="s">
        <v>3652</v>
      </c>
      <c r="G41" t="s">
        <v>30</v>
      </c>
      <c r="H41" t="s">
        <v>3687</v>
      </c>
      <c r="I41" t="s">
        <v>30</v>
      </c>
      <c r="J41" t="s">
        <v>31</v>
      </c>
      <c r="M41" s="21"/>
      <c r="N41" t="s">
        <v>31</v>
      </c>
    </row>
    <row r="42" spans="1:14" hidden="1">
      <c r="A42" t="s">
        <v>3640</v>
      </c>
      <c r="B42" t="s">
        <v>3577</v>
      </c>
      <c r="C42" s="17" t="s">
        <v>3576</v>
      </c>
      <c r="D42">
        <v>2024</v>
      </c>
      <c r="E42" t="s">
        <v>3488</v>
      </c>
      <c r="F42" t="s">
        <v>3652</v>
      </c>
      <c r="G42" t="s">
        <v>30</v>
      </c>
      <c r="H42" t="s">
        <v>30</v>
      </c>
      <c r="I42" t="s">
        <v>30</v>
      </c>
      <c r="J42" t="s">
        <v>30</v>
      </c>
      <c r="K42" t="s">
        <v>31</v>
      </c>
      <c r="M42" s="21"/>
      <c r="N42" t="s">
        <v>31</v>
      </c>
    </row>
    <row r="43" spans="1:14" hidden="1">
      <c r="A43" t="s">
        <v>3641</v>
      </c>
      <c r="B43" t="s">
        <v>3579</v>
      </c>
      <c r="C43" s="17" t="s">
        <v>3578</v>
      </c>
      <c r="D43">
        <v>2024</v>
      </c>
      <c r="E43" t="s">
        <v>3580</v>
      </c>
      <c r="F43" t="s">
        <v>3652</v>
      </c>
      <c r="G43" t="s">
        <v>30</v>
      </c>
      <c r="H43" t="s">
        <v>3688</v>
      </c>
      <c r="I43" t="s">
        <v>30</v>
      </c>
      <c r="J43" t="s">
        <v>31</v>
      </c>
      <c r="M43" s="21"/>
      <c r="N43" t="s">
        <v>31</v>
      </c>
    </row>
    <row r="44" spans="1:14" hidden="1">
      <c r="A44" t="s">
        <v>3642</v>
      </c>
      <c r="B44" t="s">
        <v>3582</v>
      </c>
      <c r="C44" s="17" t="s">
        <v>3581</v>
      </c>
      <c r="D44">
        <v>2024</v>
      </c>
      <c r="E44" t="s">
        <v>3485</v>
      </c>
      <c r="F44" t="s">
        <v>29</v>
      </c>
      <c r="G44" t="s">
        <v>30</v>
      </c>
      <c r="H44" t="s">
        <v>3689</v>
      </c>
      <c r="I44" t="s">
        <v>30</v>
      </c>
      <c r="J44" t="s">
        <v>31</v>
      </c>
      <c r="M44" s="21"/>
      <c r="N44" t="s">
        <v>31</v>
      </c>
    </row>
    <row r="45" spans="1:14" hidden="1">
      <c r="A45" t="s">
        <v>3643</v>
      </c>
      <c r="B45" t="s">
        <v>3584</v>
      </c>
      <c r="C45" s="17" t="s">
        <v>3583</v>
      </c>
      <c r="D45">
        <v>2024</v>
      </c>
      <c r="E45" t="s">
        <v>3504</v>
      </c>
      <c r="F45" t="s">
        <v>3652</v>
      </c>
      <c r="G45" t="s">
        <v>30</v>
      </c>
      <c r="H45" t="s">
        <v>3690</v>
      </c>
      <c r="I45" t="s">
        <v>30</v>
      </c>
      <c r="J45" t="s">
        <v>31</v>
      </c>
      <c r="M45" s="21"/>
      <c r="N45" t="s">
        <v>31</v>
      </c>
    </row>
    <row r="46" spans="1:14" ht="28.8" hidden="1">
      <c r="A46" t="s">
        <v>3644</v>
      </c>
      <c r="B46" t="s">
        <v>3586</v>
      </c>
      <c r="C46" s="17" t="s">
        <v>3585</v>
      </c>
      <c r="D46">
        <v>2024</v>
      </c>
      <c r="E46" t="s">
        <v>3488</v>
      </c>
      <c r="F46" t="s">
        <v>3652</v>
      </c>
      <c r="G46" t="s">
        <v>30</v>
      </c>
      <c r="H46" t="s">
        <v>30</v>
      </c>
      <c r="I46" t="s">
        <v>30</v>
      </c>
      <c r="J46" t="s">
        <v>30</v>
      </c>
      <c r="K46" t="s">
        <v>31</v>
      </c>
      <c r="M46" s="21"/>
      <c r="N46" t="s">
        <v>31</v>
      </c>
    </row>
    <row r="47" spans="1:14" hidden="1">
      <c r="A47" t="s">
        <v>3645</v>
      </c>
      <c r="B47" t="s">
        <v>3588</v>
      </c>
      <c r="C47" s="17" t="s">
        <v>3587</v>
      </c>
      <c r="D47">
        <v>2025</v>
      </c>
      <c r="E47" t="s">
        <v>3589</v>
      </c>
      <c r="F47" t="s">
        <v>3652</v>
      </c>
      <c r="G47" t="s">
        <v>30</v>
      </c>
      <c r="H47" t="s">
        <v>3691</v>
      </c>
      <c r="I47" t="s">
        <v>30</v>
      </c>
      <c r="J47" t="s">
        <v>31</v>
      </c>
      <c r="M47" s="21"/>
      <c r="N47" t="s">
        <v>31</v>
      </c>
    </row>
    <row r="48" spans="1:14" hidden="1">
      <c r="A48" t="s">
        <v>3646</v>
      </c>
      <c r="B48" t="s">
        <v>3591</v>
      </c>
      <c r="C48" s="17" t="s">
        <v>3590</v>
      </c>
      <c r="D48">
        <v>2025</v>
      </c>
      <c r="E48" t="s">
        <v>3589</v>
      </c>
      <c r="F48" t="s">
        <v>3652</v>
      </c>
      <c r="G48" t="s">
        <v>30</v>
      </c>
      <c r="H48" t="s">
        <v>3692</v>
      </c>
      <c r="I48" t="s">
        <v>30</v>
      </c>
      <c r="J48" t="s">
        <v>31</v>
      </c>
      <c r="M48" s="21"/>
      <c r="N48" t="s">
        <v>31</v>
      </c>
    </row>
    <row r="49" spans="1:14" hidden="1">
      <c r="A49" t="s">
        <v>3647</v>
      </c>
      <c r="B49" t="s">
        <v>3593</v>
      </c>
      <c r="C49" s="17" t="s">
        <v>3592</v>
      </c>
      <c r="D49">
        <v>2025</v>
      </c>
      <c r="E49" t="s">
        <v>3536</v>
      </c>
      <c r="F49" t="s">
        <v>3652</v>
      </c>
      <c r="G49" t="s">
        <v>30</v>
      </c>
      <c r="H49" t="s">
        <v>30</v>
      </c>
      <c r="I49" t="s">
        <v>30</v>
      </c>
      <c r="J49" t="s">
        <v>30</v>
      </c>
      <c r="K49" t="s">
        <v>30</v>
      </c>
      <c r="L49" t="s">
        <v>13</v>
      </c>
      <c r="M49" s="21"/>
      <c r="N49" t="s">
        <v>31</v>
      </c>
    </row>
    <row r="50" spans="1:14" hidden="1">
      <c r="A50" t="s">
        <v>3648</v>
      </c>
      <c r="B50" t="s">
        <v>3595</v>
      </c>
      <c r="C50" s="17" t="s">
        <v>3594</v>
      </c>
      <c r="D50">
        <v>2024</v>
      </c>
      <c r="E50" t="s">
        <v>3580</v>
      </c>
      <c r="F50" t="s">
        <v>3652</v>
      </c>
      <c r="G50" t="s">
        <v>30</v>
      </c>
      <c r="H50" t="s">
        <v>30</v>
      </c>
      <c r="I50" t="s">
        <v>30</v>
      </c>
      <c r="J50" t="s">
        <v>30</v>
      </c>
      <c r="K50" t="s">
        <v>31</v>
      </c>
      <c r="M50" s="21"/>
      <c r="N50" t="s">
        <v>31</v>
      </c>
    </row>
    <row r="51" spans="1:14" hidden="1">
      <c r="A51" t="s">
        <v>3649</v>
      </c>
      <c r="B51" t="s">
        <v>3596</v>
      </c>
      <c r="C51" s="17" t="s">
        <v>3578</v>
      </c>
      <c r="D51">
        <v>2024</v>
      </c>
      <c r="E51" t="s">
        <v>3580</v>
      </c>
      <c r="F51" t="s">
        <v>3652</v>
      </c>
      <c r="G51" t="s">
        <v>30</v>
      </c>
      <c r="H51" t="s">
        <v>3693</v>
      </c>
      <c r="I51" t="s">
        <v>30</v>
      </c>
      <c r="J51" t="s">
        <v>31</v>
      </c>
      <c r="M51" s="21"/>
      <c r="N51" t="s">
        <v>31</v>
      </c>
    </row>
    <row r="52" spans="1:14" ht="28.8" hidden="1">
      <c r="A52" t="s">
        <v>3650</v>
      </c>
      <c r="B52" t="s">
        <v>3598</v>
      </c>
      <c r="C52" s="17" t="s">
        <v>3597</v>
      </c>
      <c r="D52">
        <v>2023</v>
      </c>
      <c r="E52" t="s">
        <v>3599</v>
      </c>
      <c r="F52" t="s">
        <v>3652</v>
      </c>
      <c r="G52" t="s">
        <v>30</v>
      </c>
      <c r="H52" t="s">
        <v>3694</v>
      </c>
      <c r="I52" t="s">
        <v>30</v>
      </c>
      <c r="J52" t="s">
        <v>31</v>
      </c>
      <c r="M52" s="21"/>
      <c r="N52" t="s">
        <v>31</v>
      </c>
    </row>
  </sheetData>
  <autoFilter ref="A1:O52" xr:uid="{B0ED3BB9-3A9D-47A2-802D-83746958BC62}">
    <filterColumn colId="13">
      <filters>
        <filter val="Yes"/>
      </filters>
    </filterColumn>
  </autoFilter>
  <phoneticPr fontId="6" type="noConversion"/>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259C5-EC82-4B78-8F09-0F8DEFF55AD3}">
  <sheetPr filterMode="1"/>
  <dimension ref="A1:XFA550"/>
  <sheetViews>
    <sheetView topLeftCell="A8" zoomScale="70" zoomScaleNormal="70" workbookViewId="0">
      <selection activeCell="B209" sqref="B209"/>
    </sheetView>
  </sheetViews>
  <sheetFormatPr baseColWidth="10" defaultRowHeight="14.4"/>
  <cols>
    <col min="2" max="2" width="186.5546875" bestFit="1" customWidth="1"/>
    <col min="3" max="3" width="255.77734375" bestFit="1" customWidth="1"/>
    <col min="5" max="5" width="137.6640625" bestFit="1" customWidth="1"/>
    <col min="13" max="13" width="53.88671875" bestFit="1" customWidth="1"/>
  </cols>
  <sheetData>
    <row r="1" spans="1:16381">
      <c r="A1" s="8" t="s">
        <v>0</v>
      </c>
      <c r="B1" s="9" t="s">
        <v>1</v>
      </c>
      <c r="C1" s="8" t="s">
        <v>2</v>
      </c>
      <c r="D1" s="8" t="s">
        <v>3</v>
      </c>
      <c r="E1" s="8" t="s">
        <v>4</v>
      </c>
      <c r="F1" s="8" t="s">
        <v>5</v>
      </c>
      <c r="G1" s="8" t="s">
        <v>7</v>
      </c>
      <c r="H1" s="8" t="s">
        <v>35</v>
      </c>
      <c r="I1" s="8" t="s">
        <v>6</v>
      </c>
      <c r="J1" s="8" t="s">
        <v>8</v>
      </c>
      <c r="K1" s="8" t="s">
        <v>37</v>
      </c>
      <c r="L1" s="8" t="s">
        <v>9</v>
      </c>
      <c r="M1" s="8" t="s">
        <v>1340</v>
      </c>
      <c r="N1" s="8" t="s">
        <v>28</v>
      </c>
      <c r="O1" s="8" t="s">
        <v>11</v>
      </c>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c r="GL1" s="10"/>
      <c r="GM1" s="10"/>
      <c r="GN1" s="10"/>
      <c r="GO1" s="10"/>
      <c r="GP1" s="10"/>
      <c r="GQ1" s="10"/>
      <c r="GR1" s="10"/>
      <c r="GS1" s="10"/>
      <c r="GT1" s="10"/>
      <c r="GU1" s="10"/>
      <c r="GV1" s="10"/>
      <c r="GW1" s="10"/>
      <c r="GX1" s="10"/>
      <c r="GY1" s="10"/>
      <c r="GZ1" s="10"/>
      <c r="HA1" s="10"/>
      <c r="HB1" s="10"/>
      <c r="HC1" s="10"/>
      <c r="HD1" s="10"/>
      <c r="HE1" s="10"/>
      <c r="HF1" s="10"/>
      <c r="HG1" s="10"/>
      <c r="HH1" s="10"/>
      <c r="HI1" s="10"/>
      <c r="HJ1" s="10"/>
      <c r="HK1" s="10"/>
      <c r="HL1" s="10"/>
      <c r="HM1" s="10"/>
      <c r="HN1" s="10"/>
      <c r="HO1" s="10"/>
      <c r="HP1" s="10"/>
      <c r="HQ1" s="10"/>
      <c r="HR1" s="10"/>
      <c r="HS1" s="10"/>
      <c r="HT1" s="10"/>
      <c r="HU1" s="10"/>
      <c r="HV1" s="10"/>
      <c r="HW1" s="10"/>
      <c r="HX1" s="10"/>
      <c r="HY1" s="10"/>
      <c r="HZ1" s="10"/>
      <c r="IA1" s="10"/>
      <c r="IB1" s="10"/>
      <c r="IC1" s="10"/>
      <c r="ID1" s="10"/>
      <c r="IE1" s="10"/>
      <c r="IF1" s="10"/>
      <c r="IG1" s="10"/>
      <c r="IH1" s="10"/>
      <c r="II1" s="10"/>
      <c r="IJ1" s="10"/>
      <c r="IK1" s="10"/>
      <c r="IL1" s="10"/>
      <c r="IM1" s="10"/>
      <c r="IN1" s="10"/>
      <c r="IO1" s="10"/>
      <c r="IP1" s="10"/>
      <c r="IQ1" s="10"/>
      <c r="IR1" s="10"/>
      <c r="IS1" s="10"/>
      <c r="IT1" s="10"/>
      <c r="IU1" s="10"/>
      <c r="IV1" s="10"/>
      <c r="IW1" s="10"/>
      <c r="IX1" s="10"/>
      <c r="IY1" s="10"/>
      <c r="IZ1" s="10"/>
      <c r="JA1" s="10"/>
      <c r="JB1" s="10"/>
      <c r="JC1" s="10"/>
      <c r="JD1" s="10"/>
      <c r="JE1" s="10"/>
      <c r="JF1" s="10"/>
      <c r="JG1" s="10"/>
      <c r="JH1" s="10"/>
      <c r="JI1" s="10"/>
      <c r="JJ1" s="10"/>
      <c r="JK1" s="10"/>
      <c r="JL1" s="10"/>
      <c r="JM1" s="10"/>
      <c r="JN1" s="10"/>
      <c r="JO1" s="10"/>
      <c r="JP1" s="10"/>
      <c r="JQ1" s="10"/>
      <c r="JR1" s="10"/>
      <c r="JS1" s="10"/>
      <c r="JT1" s="10"/>
      <c r="JU1" s="10"/>
      <c r="JV1" s="10"/>
      <c r="JW1" s="10"/>
      <c r="JX1" s="10"/>
      <c r="JY1" s="10"/>
      <c r="JZ1" s="10"/>
      <c r="KA1" s="10"/>
      <c r="KB1" s="10"/>
      <c r="KC1" s="10"/>
      <c r="KD1" s="10"/>
      <c r="KE1" s="10"/>
      <c r="KF1" s="10"/>
      <c r="KG1" s="10"/>
      <c r="KH1" s="10"/>
      <c r="KI1" s="10"/>
      <c r="KJ1" s="10"/>
      <c r="KK1" s="10"/>
      <c r="KL1" s="10"/>
      <c r="KM1" s="10"/>
      <c r="KN1" s="10"/>
      <c r="KO1" s="10"/>
      <c r="KP1" s="10"/>
      <c r="KQ1" s="10"/>
      <c r="KR1" s="10"/>
      <c r="KS1" s="10"/>
      <c r="KT1" s="10"/>
      <c r="KU1" s="10"/>
      <c r="KV1" s="10"/>
      <c r="KW1" s="10"/>
      <c r="KX1" s="10"/>
      <c r="KY1" s="10"/>
      <c r="KZ1" s="10"/>
      <c r="LA1" s="10"/>
      <c r="LB1" s="10"/>
      <c r="LC1" s="10"/>
      <c r="LD1" s="10"/>
      <c r="LE1" s="10"/>
      <c r="LF1" s="10"/>
      <c r="LG1" s="10"/>
      <c r="LH1" s="10"/>
      <c r="LI1" s="10"/>
      <c r="LJ1" s="10"/>
      <c r="LK1" s="10"/>
      <c r="LL1" s="10"/>
      <c r="LM1" s="10"/>
      <c r="LN1" s="10"/>
      <c r="LO1" s="10"/>
      <c r="LP1" s="10"/>
      <c r="LQ1" s="10"/>
      <c r="LR1" s="10"/>
      <c r="LS1" s="10"/>
      <c r="LT1" s="10"/>
      <c r="LU1" s="10"/>
      <c r="LV1" s="10"/>
      <c r="LW1" s="10"/>
      <c r="LX1" s="10"/>
      <c r="LY1" s="10"/>
      <c r="LZ1" s="10"/>
      <c r="MA1" s="10"/>
      <c r="MB1" s="10"/>
      <c r="MC1" s="10"/>
      <c r="MD1" s="10"/>
      <c r="ME1" s="10"/>
      <c r="MF1" s="10"/>
      <c r="MG1" s="10"/>
      <c r="MH1" s="10"/>
      <c r="MI1" s="10"/>
      <c r="MJ1" s="10"/>
      <c r="MK1" s="10"/>
      <c r="ML1" s="10"/>
      <c r="MM1" s="10"/>
      <c r="MN1" s="10"/>
      <c r="MO1" s="10"/>
      <c r="MP1" s="10"/>
      <c r="MQ1" s="10"/>
      <c r="MR1" s="10"/>
      <c r="MS1" s="10"/>
      <c r="MT1" s="10"/>
      <c r="MU1" s="10"/>
      <c r="MV1" s="10"/>
      <c r="MW1" s="10"/>
      <c r="MX1" s="10"/>
      <c r="MY1" s="10"/>
      <c r="MZ1" s="10"/>
      <c r="NA1" s="10"/>
      <c r="NB1" s="10"/>
      <c r="NC1" s="10"/>
      <c r="ND1" s="10"/>
      <c r="NE1" s="10"/>
      <c r="NF1" s="10"/>
      <c r="NG1" s="10"/>
      <c r="NH1" s="10"/>
      <c r="NI1" s="10"/>
      <c r="NJ1" s="10"/>
      <c r="NK1" s="10"/>
      <c r="NL1" s="10"/>
      <c r="NM1" s="10"/>
      <c r="NN1" s="10"/>
      <c r="NO1" s="10"/>
      <c r="NP1" s="10"/>
      <c r="NQ1" s="10"/>
      <c r="NR1" s="10"/>
      <c r="NS1" s="10"/>
      <c r="NT1" s="10"/>
      <c r="NU1" s="10"/>
      <c r="NV1" s="10"/>
      <c r="NW1" s="10"/>
      <c r="NX1" s="10"/>
      <c r="NY1" s="10"/>
      <c r="NZ1" s="10"/>
      <c r="OA1" s="10"/>
      <c r="OB1" s="10"/>
      <c r="OC1" s="10"/>
      <c r="OD1" s="10"/>
      <c r="OE1" s="10"/>
      <c r="OF1" s="10"/>
      <c r="OG1" s="10"/>
      <c r="OH1" s="10"/>
      <c r="OI1" s="10"/>
      <c r="OJ1" s="10"/>
      <c r="OK1" s="10"/>
      <c r="OL1" s="10"/>
      <c r="OM1" s="10"/>
      <c r="ON1" s="10"/>
      <c r="OO1" s="10"/>
      <c r="OP1" s="10"/>
      <c r="OQ1" s="10"/>
      <c r="OR1" s="10"/>
      <c r="OS1" s="10"/>
      <c r="OT1" s="10"/>
      <c r="OU1" s="10"/>
      <c r="OV1" s="10"/>
      <c r="OW1" s="10"/>
      <c r="OX1" s="10"/>
      <c r="OY1" s="10"/>
      <c r="OZ1" s="10"/>
      <c r="PA1" s="10"/>
      <c r="PB1" s="10"/>
      <c r="PC1" s="10"/>
      <c r="PD1" s="10"/>
      <c r="PE1" s="10"/>
      <c r="PF1" s="10"/>
      <c r="PG1" s="10"/>
      <c r="PH1" s="10"/>
      <c r="PI1" s="10"/>
      <c r="PJ1" s="10"/>
      <c r="PK1" s="10"/>
      <c r="PL1" s="10"/>
      <c r="PM1" s="10"/>
      <c r="PN1" s="10"/>
      <c r="PO1" s="10"/>
      <c r="PP1" s="10"/>
      <c r="PQ1" s="10"/>
      <c r="PR1" s="10"/>
      <c r="PS1" s="10"/>
      <c r="PT1" s="10"/>
      <c r="PU1" s="10"/>
      <c r="PV1" s="10"/>
      <c r="PW1" s="10"/>
      <c r="PX1" s="10"/>
      <c r="PY1" s="10"/>
      <c r="PZ1" s="10"/>
      <c r="QA1" s="10"/>
      <c r="QB1" s="10"/>
      <c r="QC1" s="10"/>
      <c r="QD1" s="10"/>
      <c r="QE1" s="10"/>
      <c r="QF1" s="10"/>
      <c r="QG1" s="10"/>
      <c r="QH1" s="10"/>
      <c r="QI1" s="10"/>
      <c r="QJ1" s="10"/>
      <c r="QK1" s="10"/>
      <c r="QL1" s="10"/>
      <c r="QM1" s="10"/>
      <c r="QN1" s="10"/>
      <c r="QO1" s="10"/>
      <c r="QP1" s="10"/>
      <c r="QQ1" s="10"/>
      <c r="QR1" s="10"/>
      <c r="QS1" s="10"/>
      <c r="QT1" s="10"/>
      <c r="QU1" s="10"/>
      <c r="QV1" s="10"/>
      <c r="QW1" s="10"/>
      <c r="QX1" s="10"/>
      <c r="QY1" s="10"/>
      <c r="QZ1" s="10"/>
      <c r="RA1" s="10"/>
      <c r="RB1" s="10"/>
      <c r="RC1" s="10"/>
      <c r="RD1" s="10"/>
      <c r="RE1" s="10"/>
      <c r="RF1" s="10"/>
      <c r="RG1" s="10"/>
      <c r="RH1" s="10"/>
      <c r="RI1" s="10"/>
      <c r="RJ1" s="10"/>
      <c r="RK1" s="10"/>
      <c r="RL1" s="10"/>
      <c r="RM1" s="10"/>
      <c r="RN1" s="10"/>
      <c r="RO1" s="10"/>
      <c r="RP1" s="10"/>
      <c r="RQ1" s="10"/>
      <c r="RR1" s="10"/>
      <c r="RS1" s="10"/>
      <c r="RT1" s="10"/>
      <c r="RU1" s="10"/>
      <c r="RV1" s="10"/>
      <c r="RW1" s="10"/>
      <c r="RX1" s="10"/>
      <c r="RY1" s="10"/>
      <c r="RZ1" s="10"/>
      <c r="SA1" s="10"/>
      <c r="SB1" s="10"/>
      <c r="SC1" s="10"/>
      <c r="SD1" s="10"/>
      <c r="SE1" s="10"/>
      <c r="SF1" s="10"/>
      <c r="SG1" s="10"/>
      <c r="SH1" s="10"/>
      <c r="SI1" s="10"/>
      <c r="SJ1" s="10"/>
      <c r="SK1" s="10"/>
      <c r="SL1" s="10"/>
      <c r="SM1" s="10"/>
      <c r="SN1" s="10"/>
      <c r="SO1" s="10"/>
      <c r="SP1" s="10"/>
      <c r="SQ1" s="10"/>
      <c r="SR1" s="10"/>
      <c r="SS1" s="10"/>
      <c r="ST1" s="10"/>
      <c r="SU1" s="10"/>
      <c r="SV1" s="10"/>
      <c r="SW1" s="10"/>
      <c r="SX1" s="10"/>
      <c r="SY1" s="10"/>
      <c r="SZ1" s="10"/>
      <c r="TA1" s="10"/>
      <c r="TB1" s="10"/>
      <c r="TC1" s="10"/>
      <c r="TD1" s="10"/>
      <c r="TE1" s="10"/>
      <c r="TF1" s="10"/>
      <c r="TG1" s="10"/>
      <c r="TH1" s="10"/>
      <c r="TI1" s="10"/>
      <c r="TJ1" s="10"/>
      <c r="TK1" s="10"/>
      <c r="TL1" s="10"/>
      <c r="TM1" s="10"/>
      <c r="TN1" s="10"/>
      <c r="TO1" s="10"/>
      <c r="TP1" s="10"/>
      <c r="TQ1" s="10"/>
      <c r="TR1" s="10"/>
      <c r="TS1" s="10"/>
      <c r="TT1" s="10"/>
      <c r="TU1" s="10"/>
      <c r="TV1" s="10"/>
      <c r="TW1" s="10"/>
      <c r="TX1" s="10"/>
      <c r="TY1" s="10"/>
      <c r="TZ1" s="10"/>
      <c r="UA1" s="10"/>
      <c r="UB1" s="10"/>
      <c r="UC1" s="10"/>
      <c r="UD1" s="10"/>
      <c r="UE1" s="10"/>
      <c r="UF1" s="10"/>
      <c r="UG1" s="10"/>
      <c r="UH1" s="10"/>
      <c r="UI1" s="10"/>
      <c r="UJ1" s="10"/>
      <c r="UK1" s="10"/>
      <c r="UL1" s="10"/>
      <c r="UM1" s="10"/>
      <c r="UN1" s="10"/>
      <c r="UO1" s="10"/>
      <c r="UP1" s="10"/>
      <c r="UQ1" s="10"/>
      <c r="UR1" s="10"/>
      <c r="US1" s="10"/>
      <c r="UT1" s="10"/>
      <c r="UU1" s="10"/>
      <c r="UV1" s="10"/>
      <c r="UW1" s="10"/>
      <c r="UX1" s="10"/>
      <c r="UY1" s="10"/>
      <c r="UZ1" s="10"/>
      <c r="VA1" s="10"/>
      <c r="VB1" s="10"/>
      <c r="VC1" s="10"/>
      <c r="VD1" s="10"/>
      <c r="VE1" s="10"/>
      <c r="VF1" s="10"/>
      <c r="VG1" s="10"/>
      <c r="VH1" s="10"/>
      <c r="VI1" s="10"/>
      <c r="VJ1" s="10"/>
      <c r="VK1" s="10"/>
      <c r="VL1" s="10"/>
      <c r="VM1" s="10"/>
      <c r="VN1" s="10"/>
      <c r="VO1" s="10"/>
      <c r="VP1" s="10"/>
      <c r="VQ1" s="10"/>
      <c r="VR1" s="10"/>
      <c r="VS1" s="10"/>
      <c r="VT1" s="10"/>
      <c r="VU1" s="10"/>
      <c r="VV1" s="10"/>
      <c r="VW1" s="10"/>
      <c r="VX1" s="10"/>
      <c r="VY1" s="10"/>
      <c r="VZ1" s="10"/>
      <c r="WA1" s="10"/>
      <c r="WB1" s="10"/>
      <c r="WC1" s="10"/>
      <c r="WD1" s="10"/>
      <c r="WE1" s="10"/>
      <c r="WF1" s="10"/>
      <c r="WG1" s="10"/>
      <c r="WH1" s="10"/>
      <c r="WI1" s="10"/>
      <c r="WJ1" s="10"/>
      <c r="WK1" s="10"/>
      <c r="WL1" s="10"/>
      <c r="WM1" s="10"/>
      <c r="WN1" s="10"/>
      <c r="WO1" s="10"/>
      <c r="WP1" s="10"/>
      <c r="WQ1" s="10"/>
      <c r="WR1" s="10"/>
      <c r="WS1" s="10"/>
      <c r="WT1" s="10"/>
      <c r="WU1" s="10"/>
      <c r="WV1" s="10"/>
      <c r="WW1" s="10"/>
      <c r="WX1" s="10"/>
      <c r="WY1" s="10"/>
      <c r="WZ1" s="10"/>
      <c r="XA1" s="10"/>
      <c r="XB1" s="10"/>
      <c r="XC1" s="10"/>
      <c r="XD1" s="10"/>
      <c r="XE1" s="10"/>
      <c r="XF1" s="10"/>
      <c r="XG1" s="10"/>
      <c r="XH1" s="10"/>
      <c r="XI1" s="10"/>
      <c r="XJ1" s="10"/>
      <c r="XK1" s="10"/>
      <c r="XL1" s="10"/>
      <c r="XM1" s="10"/>
      <c r="XN1" s="10"/>
      <c r="XO1" s="10"/>
      <c r="XP1" s="10"/>
      <c r="XQ1" s="10"/>
      <c r="XR1" s="10"/>
      <c r="XS1" s="10"/>
      <c r="XT1" s="10"/>
      <c r="XU1" s="10"/>
      <c r="XV1" s="10"/>
      <c r="XW1" s="10"/>
      <c r="XX1" s="10"/>
      <c r="XY1" s="10"/>
      <c r="XZ1" s="10"/>
      <c r="YA1" s="10"/>
      <c r="YB1" s="10"/>
      <c r="YC1" s="10"/>
      <c r="YD1" s="10"/>
      <c r="YE1" s="10"/>
      <c r="YF1" s="10"/>
      <c r="YG1" s="10"/>
      <c r="YH1" s="10"/>
      <c r="YI1" s="10"/>
      <c r="YJ1" s="10"/>
      <c r="YK1" s="10"/>
      <c r="YL1" s="10"/>
      <c r="YM1" s="10"/>
      <c r="YN1" s="10"/>
      <c r="YO1" s="10"/>
      <c r="YP1" s="10"/>
      <c r="YQ1" s="10"/>
      <c r="YR1" s="10"/>
      <c r="YS1" s="10"/>
      <c r="YT1" s="10"/>
      <c r="YU1" s="10"/>
      <c r="YV1" s="10"/>
      <c r="YW1" s="10"/>
      <c r="YX1" s="10"/>
      <c r="YY1" s="10"/>
      <c r="YZ1" s="10"/>
      <c r="ZA1" s="10"/>
      <c r="ZB1" s="10"/>
      <c r="ZC1" s="10"/>
      <c r="ZD1" s="10"/>
      <c r="ZE1" s="10"/>
      <c r="ZF1" s="10"/>
      <c r="ZG1" s="10"/>
      <c r="ZH1" s="10"/>
      <c r="ZI1" s="10"/>
      <c r="ZJ1" s="10"/>
      <c r="ZK1" s="10"/>
      <c r="ZL1" s="10"/>
      <c r="ZM1" s="10"/>
      <c r="ZN1" s="10"/>
      <c r="ZO1" s="10"/>
      <c r="ZP1" s="10"/>
      <c r="ZQ1" s="10"/>
      <c r="ZR1" s="10"/>
      <c r="ZS1" s="10"/>
      <c r="ZT1" s="10"/>
      <c r="ZU1" s="10"/>
      <c r="ZV1" s="10"/>
      <c r="ZW1" s="10"/>
      <c r="ZX1" s="10"/>
      <c r="ZY1" s="10"/>
      <c r="ZZ1" s="10"/>
      <c r="AAA1" s="10"/>
      <c r="AAB1" s="10"/>
      <c r="AAC1" s="10"/>
      <c r="AAD1" s="10"/>
      <c r="AAE1" s="10"/>
      <c r="AAF1" s="10"/>
      <c r="AAG1" s="10"/>
      <c r="AAH1" s="10"/>
      <c r="AAI1" s="10"/>
      <c r="AAJ1" s="10"/>
      <c r="AAK1" s="10"/>
      <c r="AAL1" s="10"/>
      <c r="AAM1" s="10"/>
      <c r="AAN1" s="10"/>
      <c r="AAO1" s="10"/>
      <c r="AAP1" s="10"/>
      <c r="AAQ1" s="10"/>
      <c r="AAR1" s="10"/>
      <c r="AAS1" s="10"/>
      <c r="AAT1" s="10"/>
      <c r="AAU1" s="10"/>
      <c r="AAV1" s="10"/>
      <c r="AAW1" s="10"/>
      <c r="AAX1" s="10"/>
      <c r="AAY1" s="10"/>
      <c r="AAZ1" s="10"/>
      <c r="ABA1" s="10"/>
      <c r="ABB1" s="10"/>
      <c r="ABC1" s="10"/>
      <c r="ABD1" s="10"/>
      <c r="ABE1" s="10"/>
      <c r="ABF1" s="10"/>
      <c r="ABG1" s="10"/>
      <c r="ABH1" s="10"/>
      <c r="ABI1" s="10"/>
      <c r="ABJ1" s="10"/>
      <c r="ABK1" s="10"/>
      <c r="ABL1" s="10"/>
      <c r="ABM1" s="10"/>
      <c r="ABN1" s="10"/>
      <c r="ABO1" s="10"/>
      <c r="ABP1" s="10"/>
      <c r="ABQ1" s="10"/>
      <c r="ABR1" s="10"/>
      <c r="ABS1" s="10"/>
      <c r="ABT1" s="10"/>
      <c r="ABU1" s="10"/>
      <c r="ABV1" s="10"/>
      <c r="ABW1" s="10"/>
      <c r="ABX1" s="10"/>
      <c r="ABY1" s="10"/>
      <c r="ABZ1" s="10"/>
      <c r="ACA1" s="10"/>
      <c r="ACB1" s="10"/>
      <c r="ACC1" s="10"/>
      <c r="ACD1" s="10"/>
      <c r="ACE1" s="10"/>
      <c r="ACF1" s="10"/>
      <c r="ACG1" s="10"/>
      <c r="ACH1" s="10"/>
      <c r="ACI1" s="10"/>
      <c r="ACJ1" s="10"/>
      <c r="ACK1" s="10"/>
      <c r="ACL1" s="10"/>
      <c r="ACM1" s="10"/>
      <c r="ACN1" s="10"/>
      <c r="ACO1" s="10"/>
      <c r="ACP1" s="10"/>
      <c r="ACQ1" s="10"/>
      <c r="ACR1" s="10"/>
      <c r="ACS1" s="10"/>
      <c r="ACT1" s="10"/>
      <c r="ACU1" s="10"/>
      <c r="ACV1" s="10"/>
      <c r="ACW1" s="10"/>
      <c r="ACX1" s="10"/>
      <c r="ACY1" s="10"/>
      <c r="ACZ1" s="10"/>
      <c r="ADA1" s="10"/>
      <c r="ADB1" s="10"/>
      <c r="ADC1" s="10"/>
      <c r="ADD1" s="10"/>
      <c r="ADE1" s="10"/>
      <c r="ADF1" s="10"/>
      <c r="ADG1" s="10"/>
      <c r="ADH1" s="10"/>
      <c r="ADI1" s="10"/>
      <c r="ADJ1" s="10"/>
      <c r="ADK1" s="10"/>
      <c r="ADL1" s="10"/>
      <c r="ADM1" s="10"/>
      <c r="ADN1" s="10"/>
      <c r="ADO1" s="10"/>
      <c r="ADP1" s="10"/>
      <c r="ADQ1" s="10"/>
      <c r="ADR1" s="10"/>
      <c r="ADS1" s="10"/>
      <c r="ADT1" s="10"/>
      <c r="ADU1" s="10"/>
      <c r="ADV1" s="10"/>
      <c r="ADW1" s="10"/>
      <c r="ADX1" s="10"/>
      <c r="ADY1" s="10"/>
      <c r="ADZ1" s="10"/>
      <c r="AEA1" s="10"/>
      <c r="AEB1" s="10"/>
      <c r="AEC1" s="10"/>
      <c r="AED1" s="10"/>
      <c r="AEE1" s="10"/>
      <c r="AEF1" s="10"/>
      <c r="AEG1" s="10"/>
      <c r="AEH1" s="10"/>
      <c r="AEI1" s="10"/>
      <c r="AEJ1" s="10"/>
      <c r="AEK1" s="10"/>
      <c r="AEL1" s="10"/>
      <c r="AEM1" s="10"/>
      <c r="AEN1" s="10"/>
      <c r="AEO1" s="10"/>
      <c r="AEP1" s="10"/>
      <c r="AEQ1" s="10"/>
      <c r="AER1" s="10"/>
      <c r="AES1" s="10"/>
      <c r="AET1" s="10"/>
      <c r="AEU1" s="10"/>
      <c r="AEV1" s="10"/>
      <c r="AEW1" s="10"/>
      <c r="AEX1" s="10"/>
      <c r="AEY1" s="10"/>
      <c r="AEZ1" s="10"/>
      <c r="AFA1" s="10"/>
      <c r="AFB1" s="10"/>
      <c r="AFC1" s="10"/>
      <c r="AFD1" s="10"/>
      <c r="AFE1" s="10"/>
      <c r="AFF1" s="10"/>
      <c r="AFG1" s="10"/>
      <c r="AFH1" s="10"/>
      <c r="AFI1" s="10"/>
      <c r="AFJ1" s="10"/>
      <c r="AFK1" s="10"/>
      <c r="AFL1" s="10"/>
      <c r="AFM1" s="10"/>
      <c r="AFN1" s="10"/>
      <c r="AFO1" s="10"/>
      <c r="AFP1" s="10"/>
      <c r="AFQ1" s="10"/>
      <c r="AFR1" s="10"/>
      <c r="AFS1" s="10"/>
      <c r="AFT1" s="10"/>
      <c r="AFU1" s="10"/>
      <c r="AFV1" s="10"/>
      <c r="AFW1" s="10"/>
      <c r="AFX1" s="10"/>
      <c r="AFY1" s="10"/>
      <c r="AFZ1" s="10"/>
      <c r="AGA1" s="10"/>
      <c r="AGB1" s="10"/>
      <c r="AGC1" s="10"/>
      <c r="AGD1" s="10"/>
      <c r="AGE1" s="10"/>
      <c r="AGF1" s="10"/>
      <c r="AGG1" s="10"/>
      <c r="AGH1" s="10"/>
      <c r="AGI1" s="10"/>
      <c r="AGJ1" s="10"/>
      <c r="AGK1" s="10"/>
      <c r="AGL1" s="10"/>
      <c r="AGM1" s="10"/>
      <c r="AGN1" s="10"/>
      <c r="AGO1" s="10"/>
      <c r="AGP1" s="10"/>
      <c r="AGQ1" s="10"/>
      <c r="AGR1" s="10"/>
      <c r="AGS1" s="10"/>
      <c r="AGT1" s="10"/>
      <c r="AGU1" s="10"/>
      <c r="AGV1" s="10"/>
      <c r="AGW1" s="10"/>
      <c r="AGX1" s="10"/>
      <c r="AGY1" s="10"/>
      <c r="AGZ1" s="10"/>
      <c r="AHA1" s="10"/>
      <c r="AHB1" s="10"/>
      <c r="AHC1" s="10"/>
      <c r="AHD1" s="10"/>
      <c r="AHE1" s="10"/>
      <c r="AHF1" s="10"/>
      <c r="AHG1" s="10"/>
      <c r="AHH1" s="10"/>
      <c r="AHI1" s="10"/>
      <c r="AHJ1" s="10"/>
      <c r="AHK1" s="10"/>
      <c r="AHL1" s="10"/>
      <c r="AHM1" s="10"/>
      <c r="AHN1" s="10"/>
      <c r="AHO1" s="10"/>
      <c r="AHP1" s="10"/>
      <c r="AHQ1" s="10"/>
      <c r="AHR1" s="10"/>
      <c r="AHS1" s="10"/>
      <c r="AHT1" s="10"/>
      <c r="AHU1" s="10"/>
      <c r="AHV1" s="10"/>
      <c r="AHW1" s="10"/>
      <c r="AHX1" s="10"/>
      <c r="AHY1" s="10"/>
      <c r="AHZ1" s="10"/>
      <c r="AIA1" s="10"/>
      <c r="AIB1" s="10"/>
      <c r="AIC1" s="10"/>
      <c r="AID1" s="10"/>
      <c r="AIE1" s="10"/>
      <c r="AIF1" s="10"/>
      <c r="AIG1" s="10"/>
      <c r="AIH1" s="10"/>
      <c r="AII1" s="10"/>
      <c r="AIJ1" s="10"/>
      <c r="AIK1" s="10"/>
      <c r="AIL1" s="10"/>
      <c r="AIM1" s="10"/>
      <c r="AIN1" s="10"/>
      <c r="AIO1" s="10"/>
      <c r="AIP1" s="10"/>
      <c r="AIQ1" s="10"/>
      <c r="AIR1" s="10"/>
      <c r="AIS1" s="10"/>
      <c r="AIT1" s="10"/>
      <c r="AIU1" s="10"/>
      <c r="AIV1" s="10"/>
      <c r="AIW1" s="10"/>
      <c r="AIX1" s="10"/>
      <c r="AIY1" s="10"/>
      <c r="AIZ1" s="10"/>
      <c r="AJA1" s="10"/>
      <c r="AJB1" s="10"/>
      <c r="AJC1" s="10"/>
      <c r="AJD1" s="10"/>
      <c r="AJE1" s="10"/>
      <c r="AJF1" s="10"/>
      <c r="AJG1" s="10"/>
      <c r="AJH1" s="10"/>
      <c r="AJI1" s="10"/>
      <c r="AJJ1" s="10"/>
      <c r="AJK1" s="10"/>
      <c r="AJL1" s="10"/>
      <c r="AJM1" s="10"/>
      <c r="AJN1" s="10"/>
      <c r="AJO1" s="10"/>
      <c r="AJP1" s="10"/>
      <c r="AJQ1" s="10"/>
      <c r="AJR1" s="10"/>
      <c r="AJS1" s="10"/>
      <c r="AJT1" s="10"/>
      <c r="AJU1" s="10"/>
      <c r="AJV1" s="10"/>
      <c r="AJW1" s="10"/>
      <c r="AJX1" s="10"/>
      <c r="AJY1" s="10"/>
      <c r="AJZ1" s="10"/>
      <c r="AKA1" s="10"/>
      <c r="AKB1" s="10"/>
      <c r="AKC1" s="10"/>
      <c r="AKD1" s="10"/>
      <c r="AKE1" s="10"/>
      <c r="AKF1" s="10"/>
      <c r="AKG1" s="10"/>
      <c r="AKH1" s="10"/>
      <c r="AKI1" s="10"/>
      <c r="AKJ1" s="10"/>
      <c r="AKK1" s="10"/>
      <c r="AKL1" s="10"/>
      <c r="AKM1" s="10"/>
      <c r="AKN1" s="10"/>
      <c r="AKO1" s="10"/>
      <c r="AKP1" s="10"/>
      <c r="AKQ1" s="10"/>
      <c r="AKR1" s="10"/>
      <c r="AKS1" s="10"/>
      <c r="AKT1" s="10"/>
      <c r="AKU1" s="10"/>
      <c r="AKV1" s="10"/>
      <c r="AKW1" s="10"/>
      <c r="AKX1" s="10"/>
      <c r="AKY1" s="10"/>
      <c r="AKZ1" s="10"/>
      <c r="ALA1" s="10"/>
      <c r="ALB1" s="10"/>
      <c r="ALC1" s="10"/>
      <c r="ALD1" s="10"/>
      <c r="ALE1" s="10"/>
      <c r="ALF1" s="10"/>
      <c r="ALG1" s="10"/>
      <c r="ALH1" s="10"/>
      <c r="ALI1" s="10"/>
      <c r="ALJ1" s="10"/>
      <c r="ALK1" s="10"/>
      <c r="ALL1" s="10"/>
      <c r="ALM1" s="10"/>
      <c r="ALN1" s="10"/>
      <c r="ALO1" s="10"/>
      <c r="ALP1" s="10"/>
      <c r="ALQ1" s="10"/>
      <c r="ALR1" s="10"/>
      <c r="ALS1" s="10"/>
      <c r="ALT1" s="10"/>
      <c r="ALU1" s="10"/>
      <c r="ALV1" s="10"/>
      <c r="ALW1" s="10"/>
      <c r="ALX1" s="10"/>
      <c r="ALY1" s="10"/>
      <c r="ALZ1" s="10"/>
      <c r="AMA1" s="10"/>
      <c r="AMB1" s="10"/>
      <c r="AMC1" s="10"/>
      <c r="AMD1" s="10"/>
      <c r="AME1" s="10"/>
      <c r="AMF1" s="10"/>
      <c r="AMG1" s="10"/>
      <c r="AMH1" s="10"/>
      <c r="AMI1" s="10"/>
      <c r="AMJ1" s="10"/>
      <c r="AMK1" s="10"/>
      <c r="AML1" s="10"/>
      <c r="AMM1" s="10"/>
      <c r="AMN1" s="10"/>
      <c r="AMO1" s="10"/>
      <c r="AMP1" s="10"/>
      <c r="AMQ1" s="10"/>
      <c r="AMR1" s="10"/>
      <c r="AMS1" s="10"/>
      <c r="AMT1" s="10"/>
      <c r="AMU1" s="10"/>
      <c r="AMV1" s="10"/>
      <c r="AMW1" s="10"/>
      <c r="AMX1" s="10"/>
      <c r="AMY1" s="10"/>
      <c r="AMZ1" s="10"/>
      <c r="ANA1" s="10"/>
      <c r="ANB1" s="10"/>
      <c r="ANC1" s="10"/>
      <c r="AND1" s="10"/>
      <c r="ANE1" s="10"/>
      <c r="ANF1" s="10"/>
      <c r="ANG1" s="10"/>
      <c r="ANH1" s="10"/>
      <c r="ANI1" s="10"/>
      <c r="ANJ1" s="10"/>
      <c r="ANK1" s="10"/>
      <c r="ANL1" s="10"/>
      <c r="ANM1" s="10"/>
      <c r="ANN1" s="10"/>
      <c r="ANO1" s="10"/>
      <c r="ANP1" s="10"/>
      <c r="ANQ1" s="10"/>
      <c r="ANR1" s="10"/>
      <c r="ANS1" s="10"/>
      <c r="ANT1" s="10"/>
      <c r="ANU1" s="10"/>
      <c r="ANV1" s="10"/>
      <c r="ANW1" s="10"/>
      <c r="ANX1" s="10"/>
      <c r="ANY1" s="10"/>
      <c r="ANZ1" s="10"/>
      <c r="AOA1" s="10"/>
      <c r="AOB1" s="10"/>
      <c r="AOC1" s="10"/>
      <c r="AOD1" s="10"/>
      <c r="AOE1" s="10"/>
      <c r="AOF1" s="10"/>
      <c r="AOG1" s="10"/>
      <c r="AOH1" s="10"/>
      <c r="AOI1" s="10"/>
      <c r="AOJ1" s="10"/>
      <c r="AOK1" s="10"/>
      <c r="AOL1" s="10"/>
      <c r="AOM1" s="10"/>
      <c r="AON1" s="10"/>
      <c r="AOO1" s="10"/>
      <c r="AOP1" s="10"/>
      <c r="AOQ1" s="10"/>
      <c r="AOR1" s="10"/>
      <c r="AOS1" s="10"/>
      <c r="AOT1" s="10"/>
      <c r="AOU1" s="10"/>
      <c r="AOV1" s="10"/>
      <c r="AOW1" s="10"/>
      <c r="AOX1" s="10"/>
      <c r="AOY1" s="10"/>
      <c r="AOZ1" s="10"/>
      <c r="APA1" s="10"/>
      <c r="APB1" s="10"/>
      <c r="APC1" s="10"/>
      <c r="APD1" s="10"/>
      <c r="APE1" s="10"/>
      <c r="APF1" s="10"/>
      <c r="APG1" s="10"/>
      <c r="APH1" s="10"/>
      <c r="API1" s="10"/>
      <c r="APJ1" s="10"/>
      <c r="APK1" s="10"/>
      <c r="APL1" s="10"/>
      <c r="APM1" s="10"/>
      <c r="APN1" s="10"/>
      <c r="APO1" s="10"/>
      <c r="APP1" s="10"/>
      <c r="APQ1" s="10"/>
      <c r="APR1" s="10"/>
      <c r="APS1" s="10"/>
      <c r="APT1" s="10"/>
      <c r="APU1" s="10"/>
      <c r="APV1" s="10"/>
      <c r="APW1" s="10"/>
      <c r="APX1" s="10"/>
      <c r="APY1" s="10"/>
      <c r="APZ1" s="10"/>
      <c r="AQA1" s="10"/>
      <c r="AQB1" s="10"/>
      <c r="AQC1" s="10"/>
      <c r="AQD1" s="10"/>
      <c r="AQE1" s="10"/>
      <c r="AQF1" s="10"/>
      <c r="AQG1" s="10"/>
      <c r="AQH1" s="10"/>
      <c r="AQI1" s="10"/>
      <c r="AQJ1" s="10"/>
      <c r="AQK1" s="10"/>
      <c r="AQL1" s="10"/>
      <c r="AQM1" s="10"/>
      <c r="AQN1" s="10"/>
      <c r="AQO1" s="10"/>
      <c r="AQP1" s="10"/>
      <c r="AQQ1" s="10"/>
      <c r="AQR1" s="10"/>
      <c r="AQS1" s="10"/>
      <c r="AQT1" s="10"/>
      <c r="AQU1" s="10"/>
      <c r="AQV1" s="10"/>
      <c r="AQW1" s="10"/>
      <c r="AQX1" s="10"/>
      <c r="AQY1" s="10"/>
      <c r="AQZ1" s="10"/>
      <c r="ARA1" s="10"/>
      <c r="ARB1" s="10"/>
      <c r="ARC1" s="10"/>
      <c r="ARD1" s="10"/>
      <c r="ARE1" s="10"/>
      <c r="ARF1" s="10"/>
      <c r="ARG1" s="10"/>
      <c r="ARH1" s="10"/>
      <c r="ARI1" s="10"/>
      <c r="ARJ1" s="10"/>
      <c r="ARK1" s="10"/>
      <c r="ARL1" s="10"/>
      <c r="ARM1" s="10"/>
      <c r="ARN1" s="10"/>
      <c r="ARO1" s="10"/>
      <c r="ARP1" s="10"/>
      <c r="ARQ1" s="10"/>
      <c r="ARR1" s="10"/>
      <c r="ARS1" s="10"/>
      <c r="ART1" s="10"/>
      <c r="ARU1" s="10"/>
      <c r="ARV1" s="10"/>
      <c r="ARW1" s="10"/>
      <c r="ARX1" s="10"/>
      <c r="ARY1" s="10"/>
      <c r="ARZ1" s="10"/>
      <c r="ASA1" s="10"/>
      <c r="ASB1" s="10"/>
      <c r="ASC1" s="10"/>
      <c r="ASD1" s="10"/>
      <c r="ASE1" s="10"/>
      <c r="ASF1" s="10"/>
      <c r="ASG1" s="10"/>
      <c r="ASH1" s="10"/>
      <c r="ASI1" s="10"/>
      <c r="ASJ1" s="10"/>
      <c r="ASK1" s="10"/>
      <c r="ASL1" s="10"/>
      <c r="ASM1" s="10"/>
      <c r="ASN1" s="10"/>
      <c r="ASO1" s="10"/>
      <c r="ASP1" s="10"/>
      <c r="ASQ1" s="10"/>
      <c r="ASR1" s="10"/>
      <c r="ASS1" s="10"/>
      <c r="AST1" s="10"/>
      <c r="ASU1" s="10"/>
      <c r="ASV1" s="10"/>
      <c r="ASW1" s="10"/>
      <c r="ASX1" s="10"/>
      <c r="ASY1" s="10"/>
      <c r="ASZ1" s="10"/>
      <c r="ATA1" s="10"/>
      <c r="ATB1" s="10"/>
      <c r="ATC1" s="10"/>
      <c r="ATD1" s="10"/>
      <c r="ATE1" s="10"/>
      <c r="ATF1" s="10"/>
      <c r="ATG1" s="10"/>
      <c r="ATH1" s="10"/>
      <c r="ATI1" s="10"/>
      <c r="ATJ1" s="10"/>
      <c r="ATK1" s="10"/>
      <c r="ATL1" s="10"/>
      <c r="ATM1" s="10"/>
      <c r="ATN1" s="10"/>
      <c r="ATO1" s="10"/>
      <c r="ATP1" s="10"/>
      <c r="ATQ1" s="10"/>
      <c r="ATR1" s="10"/>
      <c r="ATS1" s="10"/>
      <c r="ATT1" s="10"/>
      <c r="ATU1" s="10"/>
      <c r="ATV1" s="10"/>
      <c r="ATW1" s="10"/>
      <c r="ATX1" s="10"/>
      <c r="ATY1" s="10"/>
      <c r="ATZ1" s="10"/>
      <c r="AUA1" s="10"/>
      <c r="AUB1" s="10"/>
      <c r="AUC1" s="10"/>
      <c r="AUD1" s="10"/>
      <c r="AUE1" s="10"/>
      <c r="AUF1" s="10"/>
      <c r="AUG1" s="10"/>
      <c r="AUH1" s="10"/>
      <c r="AUI1" s="10"/>
      <c r="AUJ1" s="10"/>
      <c r="AUK1" s="10"/>
      <c r="AUL1" s="10"/>
      <c r="AUM1" s="10"/>
      <c r="AUN1" s="10"/>
      <c r="AUO1" s="10"/>
      <c r="AUP1" s="10"/>
      <c r="AUQ1" s="10"/>
      <c r="AUR1" s="10"/>
      <c r="AUS1" s="10"/>
      <c r="AUT1" s="10"/>
      <c r="AUU1" s="10"/>
      <c r="AUV1" s="10"/>
      <c r="AUW1" s="10"/>
      <c r="AUX1" s="10"/>
      <c r="AUY1" s="10"/>
      <c r="AUZ1" s="10"/>
      <c r="AVA1" s="10"/>
      <c r="AVB1" s="10"/>
      <c r="AVC1" s="10"/>
      <c r="AVD1" s="10"/>
      <c r="AVE1" s="10"/>
      <c r="AVF1" s="10"/>
      <c r="AVG1" s="10"/>
      <c r="AVH1" s="10"/>
      <c r="AVI1" s="10"/>
      <c r="AVJ1" s="10"/>
      <c r="AVK1" s="10"/>
      <c r="AVL1" s="10"/>
      <c r="AVM1" s="10"/>
      <c r="AVN1" s="10"/>
      <c r="AVO1" s="10"/>
      <c r="AVP1" s="10"/>
      <c r="AVQ1" s="10"/>
      <c r="AVR1" s="10"/>
      <c r="AVS1" s="10"/>
      <c r="AVT1" s="10"/>
      <c r="AVU1" s="10"/>
      <c r="AVV1" s="10"/>
      <c r="AVW1" s="10"/>
      <c r="AVX1" s="10"/>
      <c r="AVY1" s="10"/>
      <c r="AVZ1" s="10"/>
      <c r="AWA1" s="10"/>
      <c r="AWB1" s="10"/>
      <c r="AWC1" s="10"/>
      <c r="AWD1" s="10"/>
      <c r="AWE1" s="10"/>
      <c r="AWF1" s="10"/>
      <c r="AWG1" s="10"/>
      <c r="AWH1" s="10"/>
      <c r="AWI1" s="10"/>
      <c r="AWJ1" s="10"/>
      <c r="AWK1" s="10"/>
      <c r="AWL1" s="10"/>
      <c r="AWM1" s="10"/>
      <c r="AWN1" s="10"/>
      <c r="AWO1" s="10"/>
      <c r="AWP1" s="10"/>
      <c r="AWQ1" s="10"/>
      <c r="AWR1" s="10"/>
      <c r="AWS1" s="10"/>
      <c r="AWT1" s="10"/>
      <c r="AWU1" s="10"/>
      <c r="AWV1" s="10"/>
      <c r="AWW1" s="10"/>
      <c r="AWX1" s="10"/>
      <c r="AWY1" s="10"/>
      <c r="AWZ1" s="10"/>
      <c r="AXA1" s="10"/>
      <c r="AXB1" s="10"/>
      <c r="AXC1" s="10"/>
      <c r="AXD1" s="10"/>
      <c r="AXE1" s="10"/>
      <c r="AXF1" s="10"/>
      <c r="AXG1" s="10"/>
      <c r="AXH1" s="10"/>
      <c r="AXI1" s="10"/>
      <c r="AXJ1" s="10"/>
      <c r="AXK1" s="10"/>
      <c r="AXL1" s="10"/>
      <c r="AXM1" s="10"/>
      <c r="AXN1" s="10"/>
      <c r="AXO1" s="10"/>
      <c r="AXP1" s="10"/>
      <c r="AXQ1" s="10"/>
      <c r="AXR1" s="10"/>
      <c r="AXS1" s="10"/>
      <c r="AXT1" s="10"/>
      <c r="AXU1" s="10"/>
      <c r="AXV1" s="10"/>
      <c r="AXW1" s="10"/>
      <c r="AXX1" s="10"/>
      <c r="AXY1" s="10"/>
      <c r="AXZ1" s="10"/>
      <c r="AYA1" s="10"/>
      <c r="AYB1" s="10"/>
      <c r="AYC1" s="10"/>
      <c r="AYD1" s="10"/>
      <c r="AYE1" s="10"/>
      <c r="AYF1" s="10"/>
      <c r="AYG1" s="10"/>
      <c r="AYH1" s="10"/>
      <c r="AYI1" s="10"/>
      <c r="AYJ1" s="10"/>
      <c r="AYK1" s="10"/>
      <c r="AYL1" s="10"/>
      <c r="AYM1" s="10"/>
      <c r="AYN1" s="10"/>
      <c r="AYO1" s="10"/>
      <c r="AYP1" s="10"/>
      <c r="AYQ1" s="10"/>
      <c r="AYR1" s="10"/>
      <c r="AYS1" s="10"/>
      <c r="AYT1" s="10"/>
      <c r="AYU1" s="10"/>
      <c r="AYV1" s="10"/>
      <c r="AYW1" s="10"/>
      <c r="AYX1" s="10"/>
      <c r="AYY1" s="10"/>
      <c r="AYZ1" s="10"/>
      <c r="AZA1" s="10"/>
      <c r="AZB1" s="10"/>
      <c r="AZC1" s="10"/>
      <c r="AZD1" s="10"/>
      <c r="AZE1" s="10"/>
      <c r="AZF1" s="10"/>
      <c r="AZG1" s="10"/>
      <c r="AZH1" s="10"/>
      <c r="AZI1" s="10"/>
      <c r="AZJ1" s="10"/>
      <c r="AZK1" s="10"/>
      <c r="AZL1" s="10"/>
      <c r="AZM1" s="10"/>
      <c r="AZN1" s="10"/>
      <c r="AZO1" s="10"/>
      <c r="AZP1" s="10"/>
      <c r="AZQ1" s="10"/>
      <c r="AZR1" s="10"/>
      <c r="AZS1" s="10"/>
      <c r="AZT1" s="10"/>
      <c r="AZU1" s="10"/>
      <c r="AZV1" s="10"/>
      <c r="AZW1" s="10"/>
      <c r="AZX1" s="10"/>
      <c r="AZY1" s="10"/>
      <c r="AZZ1" s="10"/>
      <c r="BAA1" s="10"/>
      <c r="BAB1" s="10"/>
      <c r="BAC1" s="10"/>
      <c r="BAD1" s="10"/>
      <c r="BAE1" s="10"/>
      <c r="BAF1" s="10"/>
      <c r="BAG1" s="10"/>
      <c r="BAH1" s="10"/>
      <c r="BAI1" s="10"/>
      <c r="BAJ1" s="10"/>
      <c r="BAK1" s="10"/>
      <c r="BAL1" s="10"/>
      <c r="BAM1" s="10"/>
      <c r="BAN1" s="10"/>
      <c r="BAO1" s="10"/>
      <c r="BAP1" s="10"/>
      <c r="BAQ1" s="10"/>
      <c r="BAR1" s="10"/>
      <c r="BAS1" s="10"/>
      <c r="BAT1" s="10"/>
      <c r="BAU1" s="10"/>
      <c r="BAV1" s="10"/>
      <c r="BAW1" s="10"/>
      <c r="BAX1" s="10"/>
      <c r="BAY1" s="10"/>
      <c r="BAZ1" s="10"/>
      <c r="BBA1" s="10"/>
      <c r="BBB1" s="10"/>
      <c r="BBC1" s="10"/>
      <c r="BBD1" s="10"/>
      <c r="BBE1" s="10"/>
      <c r="BBF1" s="10"/>
      <c r="BBG1" s="10"/>
      <c r="BBH1" s="10"/>
      <c r="BBI1" s="10"/>
      <c r="BBJ1" s="10"/>
      <c r="BBK1" s="10"/>
      <c r="BBL1" s="10"/>
      <c r="BBM1" s="10"/>
      <c r="BBN1" s="10"/>
      <c r="BBO1" s="10"/>
      <c r="BBP1" s="10"/>
      <c r="BBQ1" s="10"/>
      <c r="BBR1" s="10"/>
      <c r="BBS1" s="10"/>
      <c r="BBT1" s="10"/>
      <c r="BBU1" s="10"/>
      <c r="BBV1" s="10"/>
      <c r="BBW1" s="10"/>
      <c r="BBX1" s="10"/>
      <c r="BBY1" s="10"/>
      <c r="BBZ1" s="10"/>
      <c r="BCA1" s="10"/>
      <c r="BCB1" s="10"/>
      <c r="BCC1" s="10"/>
      <c r="BCD1" s="10"/>
      <c r="BCE1" s="10"/>
      <c r="BCF1" s="10"/>
      <c r="BCG1" s="10"/>
      <c r="BCH1" s="10"/>
      <c r="BCI1" s="10"/>
      <c r="BCJ1" s="10"/>
      <c r="BCK1" s="10"/>
      <c r="BCL1" s="10"/>
      <c r="BCM1" s="10"/>
      <c r="BCN1" s="10"/>
      <c r="BCO1" s="10"/>
      <c r="BCP1" s="10"/>
      <c r="BCQ1" s="10"/>
      <c r="BCR1" s="10"/>
      <c r="BCS1" s="10"/>
      <c r="BCT1" s="10"/>
      <c r="BCU1" s="10"/>
      <c r="BCV1" s="10"/>
      <c r="BCW1" s="10"/>
      <c r="BCX1" s="10"/>
      <c r="BCY1" s="10"/>
      <c r="BCZ1" s="10"/>
      <c r="BDA1" s="10"/>
      <c r="BDB1" s="10"/>
      <c r="BDC1" s="10"/>
      <c r="BDD1" s="10"/>
      <c r="BDE1" s="10"/>
      <c r="BDF1" s="10"/>
      <c r="BDG1" s="10"/>
      <c r="BDH1" s="10"/>
      <c r="BDI1" s="10"/>
      <c r="BDJ1" s="10"/>
      <c r="BDK1" s="10"/>
      <c r="BDL1" s="10"/>
      <c r="BDM1" s="10"/>
      <c r="BDN1" s="10"/>
      <c r="BDO1" s="10"/>
      <c r="BDP1" s="10"/>
      <c r="BDQ1" s="10"/>
      <c r="BDR1" s="10"/>
      <c r="BDS1" s="10"/>
      <c r="BDT1" s="10"/>
      <c r="BDU1" s="10"/>
      <c r="BDV1" s="10"/>
      <c r="BDW1" s="10"/>
      <c r="BDX1" s="10"/>
      <c r="BDY1" s="10"/>
      <c r="BDZ1" s="10"/>
      <c r="BEA1" s="10"/>
      <c r="BEB1" s="10"/>
      <c r="BEC1" s="10"/>
      <c r="BED1" s="10"/>
      <c r="BEE1" s="10"/>
      <c r="BEF1" s="10"/>
      <c r="BEG1" s="10"/>
      <c r="BEH1" s="10"/>
      <c r="BEI1" s="10"/>
      <c r="BEJ1" s="10"/>
      <c r="BEK1" s="10"/>
      <c r="BEL1" s="10"/>
      <c r="BEM1" s="10"/>
      <c r="BEN1" s="10"/>
      <c r="BEO1" s="10"/>
      <c r="BEP1" s="10"/>
      <c r="BEQ1" s="10"/>
      <c r="BER1" s="10"/>
      <c r="BES1" s="10"/>
      <c r="BET1" s="10"/>
      <c r="BEU1" s="10"/>
      <c r="BEV1" s="10"/>
      <c r="BEW1" s="10"/>
      <c r="BEX1" s="10"/>
      <c r="BEY1" s="10"/>
      <c r="BEZ1" s="10"/>
      <c r="BFA1" s="10"/>
      <c r="BFB1" s="10"/>
      <c r="BFC1" s="10"/>
      <c r="BFD1" s="10"/>
      <c r="BFE1" s="10"/>
      <c r="BFF1" s="10"/>
      <c r="BFG1" s="10"/>
      <c r="BFH1" s="10"/>
      <c r="BFI1" s="10"/>
      <c r="BFJ1" s="10"/>
      <c r="BFK1" s="10"/>
      <c r="BFL1" s="10"/>
      <c r="BFM1" s="10"/>
      <c r="BFN1" s="10"/>
      <c r="BFO1" s="10"/>
      <c r="BFP1" s="10"/>
      <c r="BFQ1" s="10"/>
      <c r="BFR1" s="10"/>
      <c r="BFS1" s="10"/>
      <c r="BFT1" s="10"/>
      <c r="BFU1" s="10"/>
      <c r="BFV1" s="10"/>
      <c r="BFW1" s="10"/>
      <c r="BFX1" s="10"/>
      <c r="BFY1" s="10"/>
      <c r="BFZ1" s="10"/>
      <c r="BGA1" s="10"/>
      <c r="BGB1" s="10"/>
      <c r="BGC1" s="10"/>
      <c r="BGD1" s="10"/>
      <c r="BGE1" s="10"/>
      <c r="BGF1" s="10"/>
      <c r="BGG1" s="10"/>
      <c r="BGH1" s="10"/>
      <c r="BGI1" s="10"/>
      <c r="BGJ1" s="10"/>
      <c r="BGK1" s="10"/>
      <c r="BGL1" s="10"/>
      <c r="BGM1" s="10"/>
      <c r="BGN1" s="10"/>
      <c r="BGO1" s="10"/>
      <c r="BGP1" s="10"/>
      <c r="BGQ1" s="10"/>
      <c r="BGR1" s="10"/>
      <c r="BGS1" s="10"/>
      <c r="BGT1" s="10"/>
      <c r="BGU1" s="10"/>
      <c r="BGV1" s="10"/>
      <c r="BGW1" s="10"/>
      <c r="BGX1" s="10"/>
      <c r="BGY1" s="10"/>
      <c r="BGZ1" s="10"/>
      <c r="BHA1" s="10"/>
      <c r="BHB1" s="10"/>
      <c r="BHC1" s="10"/>
      <c r="BHD1" s="10"/>
      <c r="BHE1" s="10"/>
      <c r="BHF1" s="10"/>
      <c r="BHG1" s="10"/>
      <c r="BHH1" s="10"/>
      <c r="BHI1" s="10"/>
      <c r="BHJ1" s="10"/>
      <c r="BHK1" s="10"/>
      <c r="BHL1" s="10"/>
      <c r="BHM1" s="10"/>
      <c r="BHN1" s="10"/>
      <c r="BHO1" s="10"/>
      <c r="BHP1" s="10"/>
      <c r="BHQ1" s="10"/>
      <c r="BHR1" s="10"/>
      <c r="BHS1" s="10"/>
      <c r="BHT1" s="10"/>
      <c r="BHU1" s="10"/>
      <c r="BHV1" s="10"/>
      <c r="BHW1" s="10"/>
      <c r="BHX1" s="10"/>
      <c r="BHY1" s="10"/>
      <c r="BHZ1" s="10"/>
      <c r="BIA1" s="10"/>
      <c r="BIB1" s="10"/>
      <c r="BIC1" s="10"/>
      <c r="BID1" s="10"/>
      <c r="BIE1" s="10"/>
      <c r="BIF1" s="10"/>
      <c r="BIG1" s="10"/>
      <c r="BIH1" s="10"/>
      <c r="BII1" s="10"/>
      <c r="BIJ1" s="10"/>
      <c r="BIK1" s="10"/>
      <c r="BIL1" s="10"/>
      <c r="BIM1" s="10"/>
      <c r="BIN1" s="10"/>
      <c r="BIO1" s="10"/>
      <c r="BIP1" s="10"/>
      <c r="BIQ1" s="10"/>
      <c r="BIR1" s="10"/>
      <c r="BIS1" s="10"/>
      <c r="BIT1" s="10"/>
      <c r="BIU1" s="10"/>
      <c r="BIV1" s="10"/>
      <c r="BIW1" s="10"/>
      <c r="BIX1" s="10"/>
      <c r="BIY1" s="10"/>
      <c r="BIZ1" s="10"/>
      <c r="BJA1" s="10"/>
      <c r="BJB1" s="10"/>
      <c r="BJC1" s="10"/>
      <c r="BJD1" s="10"/>
      <c r="BJE1" s="10"/>
      <c r="BJF1" s="10"/>
      <c r="BJG1" s="10"/>
      <c r="BJH1" s="10"/>
      <c r="BJI1" s="10"/>
      <c r="BJJ1" s="10"/>
      <c r="BJK1" s="10"/>
      <c r="BJL1" s="10"/>
      <c r="BJM1" s="10"/>
      <c r="BJN1" s="10"/>
      <c r="BJO1" s="10"/>
      <c r="BJP1" s="10"/>
      <c r="BJQ1" s="10"/>
      <c r="BJR1" s="10"/>
      <c r="BJS1" s="10"/>
      <c r="BJT1" s="10"/>
      <c r="BJU1" s="10"/>
      <c r="BJV1" s="10"/>
      <c r="BJW1" s="10"/>
      <c r="BJX1" s="10"/>
      <c r="BJY1" s="10"/>
      <c r="BJZ1" s="10"/>
      <c r="BKA1" s="10"/>
      <c r="BKB1" s="10"/>
      <c r="BKC1" s="10"/>
      <c r="BKD1" s="10"/>
      <c r="BKE1" s="10"/>
      <c r="BKF1" s="10"/>
      <c r="BKG1" s="10"/>
      <c r="BKH1" s="10"/>
      <c r="BKI1" s="10"/>
      <c r="BKJ1" s="10"/>
      <c r="BKK1" s="10"/>
      <c r="BKL1" s="10"/>
      <c r="BKM1" s="10"/>
      <c r="BKN1" s="10"/>
      <c r="BKO1" s="10"/>
      <c r="BKP1" s="10"/>
      <c r="BKQ1" s="10"/>
      <c r="BKR1" s="10"/>
      <c r="BKS1" s="10"/>
      <c r="BKT1" s="10"/>
      <c r="BKU1" s="10"/>
      <c r="BKV1" s="10"/>
      <c r="BKW1" s="10"/>
      <c r="BKX1" s="10"/>
      <c r="BKY1" s="10"/>
      <c r="BKZ1" s="10"/>
      <c r="BLA1" s="10"/>
      <c r="BLB1" s="10"/>
      <c r="BLC1" s="10"/>
      <c r="BLD1" s="10"/>
      <c r="BLE1" s="10"/>
      <c r="BLF1" s="10"/>
      <c r="BLG1" s="10"/>
      <c r="BLH1" s="10"/>
      <c r="BLI1" s="10"/>
      <c r="BLJ1" s="10"/>
      <c r="BLK1" s="10"/>
      <c r="BLL1" s="10"/>
      <c r="BLM1" s="10"/>
      <c r="BLN1" s="10"/>
      <c r="BLO1" s="10"/>
      <c r="BLP1" s="10"/>
      <c r="BLQ1" s="10"/>
      <c r="BLR1" s="10"/>
      <c r="BLS1" s="10"/>
      <c r="BLT1" s="10"/>
      <c r="BLU1" s="10"/>
      <c r="BLV1" s="10"/>
      <c r="BLW1" s="10"/>
      <c r="BLX1" s="10"/>
      <c r="BLY1" s="10"/>
      <c r="BLZ1" s="10"/>
      <c r="BMA1" s="10"/>
      <c r="BMB1" s="10"/>
      <c r="BMC1" s="10"/>
      <c r="BMD1" s="10"/>
      <c r="BME1" s="10"/>
      <c r="BMF1" s="10"/>
      <c r="BMG1" s="10"/>
      <c r="BMH1" s="10"/>
      <c r="BMI1" s="10"/>
      <c r="BMJ1" s="10"/>
      <c r="BMK1" s="10"/>
      <c r="BML1" s="10"/>
      <c r="BMM1" s="10"/>
      <c r="BMN1" s="10"/>
      <c r="BMO1" s="10"/>
      <c r="BMP1" s="10"/>
      <c r="BMQ1" s="10"/>
      <c r="BMR1" s="10"/>
      <c r="BMS1" s="10"/>
      <c r="BMT1" s="10"/>
      <c r="BMU1" s="10"/>
      <c r="BMV1" s="10"/>
      <c r="BMW1" s="10"/>
      <c r="BMX1" s="10"/>
      <c r="BMY1" s="10"/>
      <c r="BMZ1" s="10"/>
      <c r="BNA1" s="10"/>
      <c r="BNB1" s="10"/>
      <c r="BNC1" s="10"/>
      <c r="BND1" s="10"/>
      <c r="BNE1" s="10"/>
      <c r="BNF1" s="10"/>
      <c r="BNG1" s="10"/>
      <c r="BNH1" s="10"/>
      <c r="BNI1" s="10"/>
      <c r="BNJ1" s="10"/>
      <c r="BNK1" s="10"/>
      <c r="BNL1" s="10"/>
      <c r="BNM1" s="10"/>
      <c r="BNN1" s="10"/>
      <c r="BNO1" s="10"/>
      <c r="BNP1" s="10"/>
      <c r="BNQ1" s="10"/>
      <c r="BNR1" s="10"/>
      <c r="BNS1" s="10"/>
      <c r="BNT1" s="10"/>
      <c r="BNU1" s="10"/>
      <c r="BNV1" s="10"/>
      <c r="BNW1" s="10"/>
      <c r="BNX1" s="10"/>
      <c r="BNY1" s="10"/>
      <c r="BNZ1" s="10"/>
      <c r="BOA1" s="10"/>
      <c r="BOB1" s="10"/>
      <c r="BOC1" s="10"/>
      <c r="BOD1" s="10"/>
      <c r="BOE1" s="10"/>
      <c r="BOF1" s="10"/>
      <c r="BOG1" s="10"/>
      <c r="BOH1" s="10"/>
      <c r="BOI1" s="10"/>
      <c r="BOJ1" s="10"/>
      <c r="BOK1" s="10"/>
      <c r="BOL1" s="10"/>
      <c r="BOM1" s="10"/>
      <c r="BON1" s="10"/>
      <c r="BOO1" s="10"/>
      <c r="BOP1" s="10"/>
      <c r="BOQ1" s="10"/>
      <c r="BOR1" s="10"/>
      <c r="BOS1" s="10"/>
      <c r="BOT1" s="10"/>
      <c r="BOU1" s="10"/>
      <c r="BOV1" s="10"/>
      <c r="BOW1" s="10"/>
      <c r="BOX1" s="10"/>
      <c r="BOY1" s="10"/>
      <c r="BOZ1" s="10"/>
      <c r="BPA1" s="10"/>
      <c r="BPB1" s="10"/>
      <c r="BPC1" s="10"/>
      <c r="BPD1" s="10"/>
      <c r="BPE1" s="10"/>
      <c r="BPF1" s="10"/>
      <c r="BPG1" s="10"/>
      <c r="BPH1" s="10"/>
      <c r="BPI1" s="10"/>
      <c r="BPJ1" s="10"/>
      <c r="BPK1" s="10"/>
      <c r="BPL1" s="10"/>
      <c r="BPM1" s="10"/>
      <c r="BPN1" s="10"/>
      <c r="BPO1" s="10"/>
      <c r="BPP1" s="10"/>
      <c r="BPQ1" s="10"/>
      <c r="BPR1" s="10"/>
      <c r="BPS1" s="10"/>
      <c r="BPT1" s="10"/>
      <c r="BPU1" s="10"/>
      <c r="BPV1" s="10"/>
      <c r="BPW1" s="10"/>
      <c r="BPX1" s="10"/>
      <c r="BPY1" s="10"/>
      <c r="BPZ1" s="10"/>
      <c r="BQA1" s="10"/>
      <c r="BQB1" s="10"/>
      <c r="BQC1" s="10"/>
      <c r="BQD1" s="10"/>
      <c r="BQE1" s="10"/>
      <c r="BQF1" s="10"/>
      <c r="BQG1" s="10"/>
      <c r="BQH1" s="10"/>
      <c r="BQI1" s="10"/>
      <c r="BQJ1" s="10"/>
      <c r="BQK1" s="10"/>
      <c r="BQL1" s="10"/>
      <c r="BQM1" s="10"/>
      <c r="BQN1" s="10"/>
      <c r="BQO1" s="10"/>
      <c r="BQP1" s="10"/>
      <c r="BQQ1" s="10"/>
      <c r="BQR1" s="10"/>
      <c r="BQS1" s="10"/>
      <c r="BQT1" s="10"/>
      <c r="BQU1" s="10"/>
      <c r="BQV1" s="10"/>
      <c r="BQW1" s="10"/>
      <c r="BQX1" s="10"/>
      <c r="BQY1" s="10"/>
      <c r="BQZ1" s="10"/>
      <c r="BRA1" s="10"/>
      <c r="BRB1" s="10"/>
      <c r="BRC1" s="10"/>
      <c r="BRD1" s="10"/>
      <c r="BRE1" s="10"/>
      <c r="BRF1" s="10"/>
      <c r="BRG1" s="10"/>
      <c r="BRH1" s="10"/>
      <c r="BRI1" s="10"/>
      <c r="BRJ1" s="10"/>
      <c r="BRK1" s="10"/>
      <c r="BRL1" s="10"/>
      <c r="BRM1" s="10"/>
      <c r="BRN1" s="10"/>
      <c r="BRO1" s="10"/>
      <c r="BRP1" s="10"/>
      <c r="BRQ1" s="10"/>
      <c r="BRR1" s="10"/>
      <c r="BRS1" s="10"/>
      <c r="BRT1" s="10"/>
      <c r="BRU1" s="10"/>
      <c r="BRV1" s="10"/>
      <c r="BRW1" s="10"/>
      <c r="BRX1" s="10"/>
      <c r="BRY1" s="10"/>
      <c r="BRZ1" s="10"/>
      <c r="BSA1" s="10"/>
      <c r="BSB1" s="10"/>
      <c r="BSC1" s="10"/>
      <c r="BSD1" s="10"/>
      <c r="BSE1" s="10"/>
      <c r="BSF1" s="10"/>
      <c r="BSG1" s="10"/>
      <c r="BSH1" s="10"/>
      <c r="BSI1" s="10"/>
      <c r="BSJ1" s="10"/>
      <c r="BSK1" s="10"/>
      <c r="BSL1" s="10"/>
      <c r="BSM1" s="10"/>
      <c r="BSN1" s="10"/>
      <c r="BSO1" s="10"/>
      <c r="BSP1" s="10"/>
      <c r="BSQ1" s="10"/>
      <c r="BSR1" s="10"/>
      <c r="BSS1" s="10"/>
      <c r="BST1" s="10"/>
      <c r="BSU1" s="10"/>
      <c r="BSV1" s="10"/>
      <c r="BSW1" s="10"/>
      <c r="BSX1" s="10"/>
      <c r="BSY1" s="10"/>
      <c r="BSZ1" s="10"/>
      <c r="BTA1" s="10"/>
      <c r="BTB1" s="10"/>
      <c r="BTC1" s="10"/>
      <c r="BTD1" s="10"/>
      <c r="BTE1" s="10"/>
      <c r="BTF1" s="10"/>
      <c r="BTG1" s="10"/>
      <c r="BTH1" s="10"/>
      <c r="BTI1" s="10"/>
      <c r="BTJ1" s="10"/>
      <c r="BTK1" s="10"/>
      <c r="BTL1" s="10"/>
      <c r="BTM1" s="10"/>
      <c r="BTN1" s="10"/>
      <c r="BTO1" s="10"/>
      <c r="BTP1" s="10"/>
      <c r="BTQ1" s="10"/>
      <c r="BTR1" s="10"/>
      <c r="BTS1" s="10"/>
      <c r="BTT1" s="10"/>
      <c r="BTU1" s="10"/>
      <c r="BTV1" s="10"/>
      <c r="BTW1" s="10"/>
      <c r="BTX1" s="10"/>
      <c r="BTY1" s="10"/>
      <c r="BTZ1" s="10"/>
      <c r="BUA1" s="10"/>
      <c r="BUB1" s="10"/>
      <c r="BUC1" s="10"/>
      <c r="BUD1" s="10"/>
      <c r="BUE1" s="10"/>
      <c r="BUF1" s="10"/>
      <c r="BUG1" s="10"/>
      <c r="BUH1" s="10"/>
      <c r="BUI1" s="10"/>
      <c r="BUJ1" s="10"/>
      <c r="BUK1" s="10"/>
      <c r="BUL1" s="10"/>
      <c r="BUM1" s="10"/>
      <c r="BUN1" s="10"/>
      <c r="BUO1" s="10"/>
      <c r="BUP1" s="10"/>
      <c r="BUQ1" s="10"/>
      <c r="BUR1" s="10"/>
      <c r="BUS1" s="10"/>
      <c r="BUT1" s="10"/>
      <c r="BUU1" s="10"/>
      <c r="BUV1" s="10"/>
      <c r="BUW1" s="10"/>
      <c r="BUX1" s="10"/>
      <c r="BUY1" s="10"/>
      <c r="BUZ1" s="10"/>
      <c r="BVA1" s="10"/>
      <c r="BVB1" s="10"/>
      <c r="BVC1" s="10"/>
      <c r="BVD1" s="10"/>
      <c r="BVE1" s="10"/>
      <c r="BVF1" s="10"/>
      <c r="BVG1" s="10"/>
      <c r="BVH1" s="10"/>
      <c r="BVI1" s="10"/>
      <c r="BVJ1" s="10"/>
      <c r="BVK1" s="10"/>
      <c r="BVL1" s="10"/>
      <c r="BVM1" s="10"/>
      <c r="BVN1" s="10"/>
      <c r="BVO1" s="10"/>
      <c r="BVP1" s="10"/>
      <c r="BVQ1" s="10"/>
      <c r="BVR1" s="10"/>
      <c r="BVS1" s="10"/>
      <c r="BVT1" s="10"/>
      <c r="BVU1" s="10"/>
      <c r="BVV1" s="10"/>
      <c r="BVW1" s="10"/>
      <c r="BVX1" s="10"/>
      <c r="BVY1" s="10"/>
      <c r="BVZ1" s="10"/>
      <c r="BWA1" s="10"/>
      <c r="BWB1" s="10"/>
      <c r="BWC1" s="10"/>
      <c r="BWD1" s="10"/>
      <c r="BWE1" s="10"/>
      <c r="BWF1" s="10"/>
      <c r="BWG1" s="10"/>
      <c r="BWH1" s="10"/>
      <c r="BWI1" s="10"/>
      <c r="BWJ1" s="10"/>
      <c r="BWK1" s="10"/>
      <c r="BWL1" s="10"/>
      <c r="BWM1" s="10"/>
      <c r="BWN1" s="10"/>
      <c r="BWO1" s="10"/>
      <c r="BWP1" s="10"/>
      <c r="BWQ1" s="10"/>
      <c r="BWR1" s="10"/>
      <c r="BWS1" s="10"/>
      <c r="BWT1" s="10"/>
      <c r="BWU1" s="10"/>
      <c r="BWV1" s="10"/>
      <c r="BWW1" s="10"/>
      <c r="BWX1" s="10"/>
      <c r="BWY1" s="10"/>
      <c r="BWZ1" s="10"/>
      <c r="BXA1" s="10"/>
      <c r="BXB1" s="10"/>
      <c r="BXC1" s="10"/>
      <c r="BXD1" s="10"/>
      <c r="BXE1" s="10"/>
      <c r="BXF1" s="10"/>
      <c r="BXG1" s="10"/>
      <c r="BXH1" s="10"/>
      <c r="BXI1" s="10"/>
      <c r="BXJ1" s="10"/>
      <c r="BXK1" s="10"/>
      <c r="BXL1" s="10"/>
      <c r="BXM1" s="10"/>
      <c r="BXN1" s="10"/>
      <c r="BXO1" s="10"/>
      <c r="BXP1" s="10"/>
      <c r="BXQ1" s="10"/>
      <c r="BXR1" s="10"/>
      <c r="BXS1" s="10"/>
      <c r="BXT1" s="10"/>
      <c r="BXU1" s="10"/>
      <c r="BXV1" s="10"/>
      <c r="BXW1" s="10"/>
      <c r="BXX1" s="10"/>
      <c r="BXY1" s="10"/>
      <c r="BXZ1" s="10"/>
      <c r="BYA1" s="10"/>
      <c r="BYB1" s="10"/>
      <c r="BYC1" s="10"/>
      <c r="BYD1" s="10"/>
      <c r="BYE1" s="10"/>
      <c r="BYF1" s="10"/>
      <c r="BYG1" s="10"/>
      <c r="BYH1" s="10"/>
      <c r="BYI1" s="10"/>
      <c r="BYJ1" s="10"/>
      <c r="BYK1" s="10"/>
      <c r="BYL1" s="10"/>
      <c r="BYM1" s="10"/>
      <c r="BYN1" s="10"/>
      <c r="BYO1" s="10"/>
      <c r="BYP1" s="10"/>
      <c r="BYQ1" s="10"/>
      <c r="BYR1" s="10"/>
      <c r="BYS1" s="10"/>
      <c r="BYT1" s="10"/>
      <c r="BYU1" s="10"/>
      <c r="BYV1" s="10"/>
      <c r="BYW1" s="10"/>
      <c r="BYX1" s="10"/>
      <c r="BYY1" s="10"/>
      <c r="BYZ1" s="10"/>
      <c r="BZA1" s="10"/>
      <c r="BZB1" s="10"/>
      <c r="BZC1" s="10"/>
      <c r="BZD1" s="10"/>
      <c r="BZE1" s="10"/>
      <c r="BZF1" s="10"/>
      <c r="BZG1" s="10"/>
      <c r="BZH1" s="10"/>
      <c r="BZI1" s="10"/>
      <c r="BZJ1" s="10"/>
      <c r="BZK1" s="10"/>
      <c r="BZL1" s="10"/>
      <c r="BZM1" s="10"/>
      <c r="BZN1" s="10"/>
      <c r="BZO1" s="10"/>
      <c r="BZP1" s="10"/>
      <c r="BZQ1" s="10"/>
      <c r="BZR1" s="10"/>
      <c r="BZS1" s="10"/>
      <c r="BZT1" s="10"/>
      <c r="BZU1" s="10"/>
      <c r="BZV1" s="10"/>
      <c r="BZW1" s="10"/>
      <c r="BZX1" s="10"/>
      <c r="BZY1" s="10"/>
      <c r="BZZ1" s="10"/>
      <c r="CAA1" s="10"/>
      <c r="CAB1" s="10"/>
      <c r="CAC1" s="10"/>
      <c r="CAD1" s="10"/>
      <c r="CAE1" s="10"/>
      <c r="CAF1" s="10"/>
      <c r="CAG1" s="10"/>
      <c r="CAH1" s="10"/>
      <c r="CAI1" s="10"/>
      <c r="CAJ1" s="10"/>
      <c r="CAK1" s="10"/>
      <c r="CAL1" s="10"/>
      <c r="CAM1" s="10"/>
      <c r="CAN1" s="10"/>
      <c r="CAO1" s="10"/>
      <c r="CAP1" s="10"/>
      <c r="CAQ1" s="10"/>
      <c r="CAR1" s="10"/>
      <c r="CAS1" s="10"/>
      <c r="CAT1" s="10"/>
      <c r="CAU1" s="10"/>
      <c r="CAV1" s="10"/>
      <c r="CAW1" s="10"/>
      <c r="CAX1" s="10"/>
      <c r="CAY1" s="10"/>
      <c r="CAZ1" s="10"/>
      <c r="CBA1" s="10"/>
      <c r="CBB1" s="10"/>
      <c r="CBC1" s="10"/>
      <c r="CBD1" s="10"/>
      <c r="CBE1" s="10"/>
      <c r="CBF1" s="10"/>
      <c r="CBG1" s="10"/>
      <c r="CBH1" s="10"/>
      <c r="CBI1" s="10"/>
      <c r="CBJ1" s="10"/>
      <c r="CBK1" s="10"/>
      <c r="CBL1" s="10"/>
      <c r="CBM1" s="10"/>
      <c r="CBN1" s="10"/>
      <c r="CBO1" s="10"/>
      <c r="CBP1" s="10"/>
      <c r="CBQ1" s="10"/>
      <c r="CBR1" s="10"/>
      <c r="CBS1" s="10"/>
      <c r="CBT1" s="10"/>
      <c r="CBU1" s="10"/>
      <c r="CBV1" s="10"/>
      <c r="CBW1" s="10"/>
      <c r="CBX1" s="10"/>
      <c r="CBY1" s="10"/>
      <c r="CBZ1" s="10"/>
      <c r="CCA1" s="10"/>
      <c r="CCB1" s="10"/>
      <c r="CCC1" s="10"/>
      <c r="CCD1" s="10"/>
      <c r="CCE1" s="10"/>
      <c r="CCF1" s="10"/>
      <c r="CCG1" s="10"/>
      <c r="CCH1" s="10"/>
      <c r="CCI1" s="10"/>
      <c r="CCJ1" s="10"/>
      <c r="CCK1" s="10"/>
      <c r="CCL1" s="10"/>
      <c r="CCM1" s="10"/>
      <c r="CCN1" s="10"/>
      <c r="CCO1" s="10"/>
      <c r="CCP1" s="10"/>
      <c r="CCQ1" s="10"/>
      <c r="CCR1" s="10"/>
      <c r="CCS1" s="10"/>
      <c r="CCT1" s="10"/>
      <c r="CCU1" s="10"/>
      <c r="CCV1" s="10"/>
      <c r="CCW1" s="10"/>
      <c r="CCX1" s="10"/>
      <c r="CCY1" s="10"/>
      <c r="CCZ1" s="10"/>
      <c r="CDA1" s="10"/>
      <c r="CDB1" s="10"/>
      <c r="CDC1" s="10"/>
      <c r="CDD1" s="10"/>
      <c r="CDE1" s="10"/>
      <c r="CDF1" s="10"/>
      <c r="CDG1" s="10"/>
      <c r="CDH1" s="10"/>
      <c r="CDI1" s="10"/>
      <c r="CDJ1" s="10"/>
      <c r="CDK1" s="10"/>
      <c r="CDL1" s="10"/>
      <c r="CDM1" s="10"/>
      <c r="CDN1" s="10"/>
      <c r="CDO1" s="10"/>
      <c r="CDP1" s="10"/>
      <c r="CDQ1" s="10"/>
      <c r="CDR1" s="10"/>
      <c r="CDS1" s="10"/>
      <c r="CDT1" s="10"/>
      <c r="CDU1" s="10"/>
      <c r="CDV1" s="10"/>
      <c r="CDW1" s="10"/>
      <c r="CDX1" s="10"/>
      <c r="CDY1" s="10"/>
      <c r="CDZ1" s="10"/>
      <c r="CEA1" s="10"/>
      <c r="CEB1" s="10"/>
      <c r="CEC1" s="10"/>
      <c r="CED1" s="10"/>
      <c r="CEE1" s="10"/>
      <c r="CEF1" s="10"/>
      <c r="CEG1" s="10"/>
      <c r="CEH1" s="10"/>
      <c r="CEI1" s="10"/>
      <c r="CEJ1" s="10"/>
      <c r="CEK1" s="10"/>
      <c r="CEL1" s="10"/>
      <c r="CEM1" s="10"/>
      <c r="CEN1" s="10"/>
      <c r="CEO1" s="10"/>
      <c r="CEP1" s="10"/>
      <c r="CEQ1" s="10"/>
      <c r="CER1" s="10"/>
      <c r="CES1" s="10"/>
      <c r="CET1" s="10"/>
      <c r="CEU1" s="10"/>
      <c r="CEV1" s="10"/>
      <c r="CEW1" s="10"/>
      <c r="CEX1" s="10"/>
      <c r="CEY1" s="10"/>
      <c r="CEZ1" s="10"/>
      <c r="CFA1" s="10"/>
      <c r="CFB1" s="10"/>
      <c r="CFC1" s="10"/>
      <c r="CFD1" s="10"/>
      <c r="CFE1" s="10"/>
      <c r="CFF1" s="10"/>
      <c r="CFG1" s="10"/>
      <c r="CFH1" s="10"/>
      <c r="CFI1" s="10"/>
      <c r="CFJ1" s="10"/>
      <c r="CFK1" s="10"/>
      <c r="CFL1" s="10"/>
      <c r="CFM1" s="10"/>
      <c r="CFN1" s="10"/>
      <c r="CFO1" s="10"/>
      <c r="CFP1" s="10"/>
      <c r="CFQ1" s="10"/>
      <c r="CFR1" s="10"/>
      <c r="CFS1" s="10"/>
      <c r="CFT1" s="10"/>
      <c r="CFU1" s="10"/>
      <c r="CFV1" s="10"/>
      <c r="CFW1" s="10"/>
      <c r="CFX1" s="10"/>
      <c r="CFY1" s="10"/>
      <c r="CFZ1" s="10"/>
      <c r="CGA1" s="10"/>
      <c r="CGB1" s="10"/>
      <c r="CGC1" s="10"/>
      <c r="CGD1" s="10"/>
      <c r="CGE1" s="10"/>
      <c r="CGF1" s="10"/>
      <c r="CGG1" s="10"/>
      <c r="CGH1" s="10"/>
      <c r="CGI1" s="10"/>
      <c r="CGJ1" s="10"/>
      <c r="CGK1" s="10"/>
      <c r="CGL1" s="10"/>
      <c r="CGM1" s="10"/>
      <c r="CGN1" s="10"/>
      <c r="CGO1" s="10"/>
      <c r="CGP1" s="10"/>
      <c r="CGQ1" s="10"/>
      <c r="CGR1" s="10"/>
      <c r="CGS1" s="10"/>
      <c r="CGT1" s="10"/>
      <c r="CGU1" s="10"/>
      <c r="CGV1" s="10"/>
      <c r="CGW1" s="10"/>
      <c r="CGX1" s="10"/>
      <c r="CGY1" s="10"/>
      <c r="CGZ1" s="10"/>
      <c r="CHA1" s="10"/>
      <c r="CHB1" s="10"/>
      <c r="CHC1" s="10"/>
      <c r="CHD1" s="10"/>
      <c r="CHE1" s="10"/>
      <c r="CHF1" s="10"/>
      <c r="CHG1" s="10"/>
      <c r="CHH1" s="10"/>
      <c r="CHI1" s="10"/>
      <c r="CHJ1" s="10"/>
      <c r="CHK1" s="10"/>
      <c r="CHL1" s="10"/>
      <c r="CHM1" s="10"/>
      <c r="CHN1" s="10"/>
      <c r="CHO1" s="10"/>
      <c r="CHP1" s="10"/>
      <c r="CHQ1" s="10"/>
      <c r="CHR1" s="10"/>
      <c r="CHS1" s="10"/>
      <c r="CHT1" s="10"/>
      <c r="CHU1" s="10"/>
      <c r="CHV1" s="10"/>
      <c r="CHW1" s="10"/>
      <c r="CHX1" s="10"/>
      <c r="CHY1" s="10"/>
      <c r="CHZ1" s="10"/>
      <c r="CIA1" s="10"/>
      <c r="CIB1" s="10"/>
      <c r="CIC1" s="10"/>
      <c r="CID1" s="10"/>
      <c r="CIE1" s="10"/>
      <c r="CIF1" s="10"/>
      <c r="CIG1" s="10"/>
      <c r="CIH1" s="10"/>
      <c r="CII1" s="10"/>
      <c r="CIJ1" s="10"/>
      <c r="CIK1" s="10"/>
      <c r="CIL1" s="10"/>
      <c r="CIM1" s="10"/>
      <c r="CIN1" s="10"/>
      <c r="CIO1" s="10"/>
      <c r="CIP1" s="10"/>
      <c r="CIQ1" s="10"/>
      <c r="CIR1" s="10"/>
      <c r="CIS1" s="10"/>
      <c r="CIT1" s="10"/>
      <c r="CIU1" s="10"/>
      <c r="CIV1" s="10"/>
      <c r="CIW1" s="10"/>
      <c r="CIX1" s="10"/>
      <c r="CIY1" s="10"/>
      <c r="CIZ1" s="10"/>
      <c r="CJA1" s="10"/>
      <c r="CJB1" s="10"/>
      <c r="CJC1" s="10"/>
      <c r="CJD1" s="10"/>
      <c r="CJE1" s="10"/>
      <c r="CJF1" s="10"/>
      <c r="CJG1" s="10"/>
      <c r="CJH1" s="10"/>
      <c r="CJI1" s="10"/>
      <c r="CJJ1" s="10"/>
      <c r="CJK1" s="10"/>
      <c r="CJL1" s="10"/>
      <c r="CJM1" s="10"/>
      <c r="CJN1" s="10"/>
      <c r="CJO1" s="10"/>
      <c r="CJP1" s="10"/>
      <c r="CJQ1" s="10"/>
      <c r="CJR1" s="10"/>
      <c r="CJS1" s="10"/>
      <c r="CJT1" s="10"/>
      <c r="CJU1" s="10"/>
      <c r="CJV1" s="10"/>
      <c r="CJW1" s="10"/>
      <c r="CJX1" s="10"/>
      <c r="CJY1" s="10"/>
      <c r="CJZ1" s="10"/>
      <c r="CKA1" s="10"/>
      <c r="CKB1" s="10"/>
      <c r="CKC1" s="10"/>
      <c r="CKD1" s="10"/>
      <c r="CKE1" s="10"/>
      <c r="CKF1" s="10"/>
      <c r="CKG1" s="10"/>
      <c r="CKH1" s="10"/>
      <c r="CKI1" s="10"/>
      <c r="CKJ1" s="10"/>
      <c r="CKK1" s="10"/>
      <c r="CKL1" s="10"/>
      <c r="CKM1" s="10"/>
      <c r="CKN1" s="10"/>
      <c r="CKO1" s="10"/>
      <c r="CKP1" s="10"/>
      <c r="CKQ1" s="10"/>
      <c r="CKR1" s="10"/>
      <c r="CKS1" s="10"/>
      <c r="CKT1" s="10"/>
      <c r="CKU1" s="10"/>
      <c r="CKV1" s="10"/>
      <c r="CKW1" s="10"/>
      <c r="CKX1" s="10"/>
      <c r="CKY1" s="10"/>
      <c r="CKZ1" s="10"/>
      <c r="CLA1" s="10"/>
      <c r="CLB1" s="10"/>
      <c r="CLC1" s="10"/>
      <c r="CLD1" s="10"/>
      <c r="CLE1" s="10"/>
      <c r="CLF1" s="10"/>
      <c r="CLG1" s="10"/>
      <c r="CLH1" s="10"/>
      <c r="CLI1" s="10"/>
      <c r="CLJ1" s="10"/>
      <c r="CLK1" s="10"/>
      <c r="CLL1" s="10"/>
      <c r="CLM1" s="10"/>
      <c r="CLN1" s="10"/>
      <c r="CLO1" s="10"/>
      <c r="CLP1" s="10"/>
      <c r="CLQ1" s="10"/>
      <c r="CLR1" s="10"/>
      <c r="CLS1" s="10"/>
      <c r="CLT1" s="10"/>
      <c r="CLU1" s="10"/>
      <c r="CLV1" s="10"/>
      <c r="CLW1" s="10"/>
      <c r="CLX1" s="10"/>
      <c r="CLY1" s="10"/>
      <c r="CLZ1" s="10"/>
      <c r="CMA1" s="10"/>
      <c r="CMB1" s="10"/>
      <c r="CMC1" s="10"/>
      <c r="CMD1" s="10"/>
      <c r="CME1" s="10"/>
      <c r="CMF1" s="10"/>
      <c r="CMG1" s="10"/>
      <c r="CMH1" s="10"/>
      <c r="CMI1" s="10"/>
      <c r="CMJ1" s="10"/>
      <c r="CMK1" s="10"/>
      <c r="CML1" s="10"/>
      <c r="CMM1" s="10"/>
      <c r="CMN1" s="10"/>
      <c r="CMO1" s="10"/>
      <c r="CMP1" s="10"/>
      <c r="CMQ1" s="10"/>
      <c r="CMR1" s="10"/>
      <c r="CMS1" s="10"/>
      <c r="CMT1" s="10"/>
      <c r="CMU1" s="10"/>
      <c r="CMV1" s="10"/>
      <c r="CMW1" s="10"/>
      <c r="CMX1" s="10"/>
      <c r="CMY1" s="10"/>
      <c r="CMZ1" s="10"/>
      <c r="CNA1" s="10"/>
      <c r="CNB1" s="10"/>
      <c r="CNC1" s="10"/>
      <c r="CND1" s="10"/>
      <c r="CNE1" s="10"/>
      <c r="CNF1" s="10"/>
      <c r="CNG1" s="10"/>
      <c r="CNH1" s="10"/>
      <c r="CNI1" s="10"/>
      <c r="CNJ1" s="10"/>
      <c r="CNK1" s="10"/>
      <c r="CNL1" s="10"/>
      <c r="CNM1" s="10"/>
      <c r="CNN1" s="10"/>
      <c r="CNO1" s="10"/>
      <c r="CNP1" s="10"/>
      <c r="CNQ1" s="10"/>
      <c r="CNR1" s="10"/>
      <c r="CNS1" s="10"/>
      <c r="CNT1" s="10"/>
      <c r="CNU1" s="10"/>
      <c r="CNV1" s="10"/>
      <c r="CNW1" s="10"/>
      <c r="CNX1" s="10"/>
      <c r="CNY1" s="10"/>
      <c r="CNZ1" s="10"/>
      <c r="COA1" s="10"/>
      <c r="COB1" s="10"/>
      <c r="COC1" s="10"/>
      <c r="COD1" s="10"/>
      <c r="COE1" s="10"/>
      <c r="COF1" s="10"/>
      <c r="COG1" s="10"/>
      <c r="COH1" s="10"/>
      <c r="COI1" s="10"/>
      <c r="COJ1" s="10"/>
      <c r="COK1" s="10"/>
      <c r="COL1" s="10"/>
      <c r="COM1" s="10"/>
      <c r="CON1" s="10"/>
      <c r="COO1" s="10"/>
      <c r="COP1" s="10"/>
      <c r="COQ1" s="10"/>
      <c r="COR1" s="10"/>
      <c r="COS1" s="10"/>
      <c r="COT1" s="10"/>
      <c r="COU1" s="10"/>
      <c r="COV1" s="10"/>
      <c r="COW1" s="10"/>
      <c r="COX1" s="10"/>
      <c r="COY1" s="10"/>
      <c r="COZ1" s="10"/>
      <c r="CPA1" s="10"/>
      <c r="CPB1" s="10"/>
      <c r="CPC1" s="10"/>
      <c r="CPD1" s="10"/>
      <c r="CPE1" s="10"/>
      <c r="CPF1" s="10"/>
      <c r="CPG1" s="10"/>
      <c r="CPH1" s="10"/>
      <c r="CPI1" s="10"/>
      <c r="CPJ1" s="10"/>
      <c r="CPK1" s="10"/>
      <c r="CPL1" s="10"/>
      <c r="CPM1" s="10"/>
      <c r="CPN1" s="10"/>
      <c r="CPO1" s="10"/>
      <c r="CPP1" s="10"/>
      <c r="CPQ1" s="10"/>
      <c r="CPR1" s="10"/>
      <c r="CPS1" s="10"/>
      <c r="CPT1" s="10"/>
      <c r="CPU1" s="10"/>
      <c r="CPV1" s="10"/>
      <c r="CPW1" s="10"/>
      <c r="CPX1" s="10"/>
      <c r="CPY1" s="10"/>
      <c r="CPZ1" s="10"/>
      <c r="CQA1" s="10"/>
      <c r="CQB1" s="10"/>
      <c r="CQC1" s="10"/>
      <c r="CQD1" s="10"/>
      <c r="CQE1" s="10"/>
      <c r="CQF1" s="10"/>
      <c r="CQG1" s="10"/>
      <c r="CQH1" s="10"/>
      <c r="CQI1" s="10"/>
      <c r="CQJ1" s="10"/>
      <c r="CQK1" s="10"/>
      <c r="CQL1" s="10"/>
      <c r="CQM1" s="10"/>
      <c r="CQN1" s="10"/>
      <c r="CQO1" s="10"/>
      <c r="CQP1" s="10"/>
      <c r="CQQ1" s="10"/>
      <c r="CQR1" s="10"/>
      <c r="CQS1" s="10"/>
      <c r="CQT1" s="10"/>
      <c r="CQU1" s="10"/>
      <c r="CQV1" s="10"/>
      <c r="CQW1" s="10"/>
      <c r="CQX1" s="10"/>
      <c r="CQY1" s="10"/>
      <c r="CQZ1" s="10"/>
      <c r="CRA1" s="10"/>
      <c r="CRB1" s="10"/>
      <c r="CRC1" s="10"/>
      <c r="CRD1" s="10"/>
      <c r="CRE1" s="10"/>
      <c r="CRF1" s="10"/>
      <c r="CRG1" s="10"/>
      <c r="CRH1" s="10"/>
      <c r="CRI1" s="10"/>
      <c r="CRJ1" s="10"/>
      <c r="CRK1" s="10"/>
      <c r="CRL1" s="10"/>
      <c r="CRM1" s="10"/>
      <c r="CRN1" s="10"/>
      <c r="CRO1" s="10"/>
      <c r="CRP1" s="10"/>
      <c r="CRQ1" s="10"/>
      <c r="CRR1" s="10"/>
      <c r="CRS1" s="10"/>
      <c r="CRT1" s="10"/>
      <c r="CRU1" s="10"/>
      <c r="CRV1" s="10"/>
      <c r="CRW1" s="10"/>
      <c r="CRX1" s="10"/>
      <c r="CRY1" s="10"/>
      <c r="CRZ1" s="10"/>
      <c r="CSA1" s="10"/>
      <c r="CSB1" s="10"/>
      <c r="CSC1" s="10"/>
      <c r="CSD1" s="10"/>
      <c r="CSE1" s="10"/>
      <c r="CSF1" s="10"/>
      <c r="CSG1" s="10"/>
      <c r="CSH1" s="10"/>
      <c r="CSI1" s="10"/>
      <c r="CSJ1" s="10"/>
      <c r="CSK1" s="10"/>
      <c r="CSL1" s="10"/>
      <c r="CSM1" s="10"/>
      <c r="CSN1" s="10"/>
      <c r="CSO1" s="10"/>
      <c r="CSP1" s="10"/>
      <c r="CSQ1" s="10"/>
      <c r="CSR1" s="10"/>
      <c r="CSS1" s="10"/>
      <c r="CST1" s="10"/>
      <c r="CSU1" s="10"/>
      <c r="CSV1" s="10"/>
      <c r="CSW1" s="10"/>
      <c r="CSX1" s="10"/>
      <c r="CSY1" s="10"/>
      <c r="CSZ1" s="10"/>
      <c r="CTA1" s="10"/>
      <c r="CTB1" s="10"/>
      <c r="CTC1" s="10"/>
      <c r="CTD1" s="10"/>
      <c r="CTE1" s="10"/>
      <c r="CTF1" s="10"/>
      <c r="CTG1" s="10"/>
      <c r="CTH1" s="10"/>
      <c r="CTI1" s="10"/>
      <c r="CTJ1" s="10"/>
      <c r="CTK1" s="10"/>
      <c r="CTL1" s="10"/>
      <c r="CTM1" s="10"/>
      <c r="CTN1" s="10"/>
      <c r="CTO1" s="10"/>
      <c r="CTP1" s="10"/>
      <c r="CTQ1" s="10"/>
      <c r="CTR1" s="10"/>
      <c r="CTS1" s="10"/>
      <c r="CTT1" s="10"/>
      <c r="CTU1" s="10"/>
      <c r="CTV1" s="10"/>
      <c r="CTW1" s="10"/>
      <c r="CTX1" s="10"/>
      <c r="CTY1" s="10"/>
      <c r="CTZ1" s="10"/>
      <c r="CUA1" s="10"/>
      <c r="CUB1" s="10"/>
      <c r="CUC1" s="10"/>
      <c r="CUD1" s="10"/>
      <c r="CUE1" s="10"/>
      <c r="CUF1" s="10"/>
      <c r="CUG1" s="10"/>
      <c r="CUH1" s="10"/>
      <c r="CUI1" s="10"/>
      <c r="CUJ1" s="10"/>
      <c r="CUK1" s="10"/>
      <c r="CUL1" s="10"/>
      <c r="CUM1" s="10"/>
      <c r="CUN1" s="10"/>
      <c r="CUO1" s="10"/>
      <c r="CUP1" s="10"/>
      <c r="CUQ1" s="10"/>
      <c r="CUR1" s="10"/>
      <c r="CUS1" s="10"/>
      <c r="CUT1" s="10"/>
      <c r="CUU1" s="10"/>
      <c r="CUV1" s="10"/>
      <c r="CUW1" s="10"/>
      <c r="CUX1" s="10"/>
      <c r="CUY1" s="10"/>
      <c r="CUZ1" s="10"/>
      <c r="CVA1" s="10"/>
      <c r="CVB1" s="10"/>
      <c r="CVC1" s="10"/>
      <c r="CVD1" s="10"/>
      <c r="CVE1" s="10"/>
      <c r="CVF1" s="10"/>
      <c r="CVG1" s="10"/>
      <c r="CVH1" s="10"/>
      <c r="CVI1" s="10"/>
      <c r="CVJ1" s="10"/>
      <c r="CVK1" s="10"/>
      <c r="CVL1" s="10"/>
      <c r="CVM1" s="10"/>
      <c r="CVN1" s="10"/>
      <c r="CVO1" s="10"/>
      <c r="CVP1" s="10"/>
      <c r="CVQ1" s="10"/>
      <c r="CVR1" s="10"/>
      <c r="CVS1" s="10"/>
      <c r="CVT1" s="10"/>
      <c r="CVU1" s="10"/>
      <c r="CVV1" s="10"/>
      <c r="CVW1" s="10"/>
      <c r="CVX1" s="10"/>
      <c r="CVY1" s="10"/>
      <c r="CVZ1" s="10"/>
      <c r="CWA1" s="10"/>
      <c r="CWB1" s="10"/>
      <c r="CWC1" s="10"/>
      <c r="CWD1" s="10"/>
      <c r="CWE1" s="10"/>
      <c r="CWF1" s="10"/>
      <c r="CWG1" s="10"/>
      <c r="CWH1" s="10"/>
      <c r="CWI1" s="10"/>
      <c r="CWJ1" s="10"/>
      <c r="CWK1" s="10"/>
      <c r="CWL1" s="10"/>
      <c r="CWM1" s="10"/>
      <c r="CWN1" s="10"/>
      <c r="CWO1" s="10"/>
      <c r="CWP1" s="10"/>
      <c r="CWQ1" s="10"/>
      <c r="CWR1" s="10"/>
      <c r="CWS1" s="10"/>
      <c r="CWT1" s="10"/>
      <c r="CWU1" s="10"/>
      <c r="CWV1" s="10"/>
      <c r="CWW1" s="10"/>
      <c r="CWX1" s="10"/>
      <c r="CWY1" s="10"/>
      <c r="CWZ1" s="10"/>
      <c r="CXA1" s="10"/>
      <c r="CXB1" s="10"/>
      <c r="CXC1" s="10"/>
      <c r="CXD1" s="10"/>
      <c r="CXE1" s="10"/>
      <c r="CXF1" s="10"/>
      <c r="CXG1" s="10"/>
      <c r="CXH1" s="10"/>
      <c r="CXI1" s="10"/>
      <c r="CXJ1" s="10"/>
      <c r="CXK1" s="10"/>
      <c r="CXL1" s="10"/>
      <c r="CXM1" s="10"/>
      <c r="CXN1" s="10"/>
      <c r="CXO1" s="10"/>
      <c r="CXP1" s="10"/>
      <c r="CXQ1" s="10"/>
      <c r="CXR1" s="10"/>
      <c r="CXS1" s="10"/>
      <c r="CXT1" s="10"/>
      <c r="CXU1" s="10"/>
      <c r="CXV1" s="10"/>
      <c r="CXW1" s="10"/>
      <c r="CXX1" s="10"/>
      <c r="CXY1" s="10"/>
      <c r="CXZ1" s="10"/>
      <c r="CYA1" s="10"/>
      <c r="CYB1" s="10"/>
      <c r="CYC1" s="10"/>
      <c r="CYD1" s="10"/>
      <c r="CYE1" s="10"/>
      <c r="CYF1" s="10"/>
      <c r="CYG1" s="10"/>
      <c r="CYH1" s="10"/>
      <c r="CYI1" s="10"/>
      <c r="CYJ1" s="10"/>
      <c r="CYK1" s="10"/>
      <c r="CYL1" s="10"/>
      <c r="CYM1" s="10"/>
      <c r="CYN1" s="10"/>
      <c r="CYO1" s="10"/>
      <c r="CYP1" s="10"/>
      <c r="CYQ1" s="10"/>
      <c r="CYR1" s="10"/>
      <c r="CYS1" s="10"/>
      <c r="CYT1" s="10"/>
      <c r="CYU1" s="10"/>
      <c r="CYV1" s="10"/>
      <c r="CYW1" s="10"/>
      <c r="CYX1" s="10"/>
      <c r="CYY1" s="10"/>
      <c r="CYZ1" s="10"/>
      <c r="CZA1" s="10"/>
      <c r="CZB1" s="10"/>
      <c r="CZC1" s="10"/>
      <c r="CZD1" s="10"/>
      <c r="CZE1" s="10"/>
      <c r="CZF1" s="10"/>
      <c r="CZG1" s="10"/>
      <c r="CZH1" s="10"/>
      <c r="CZI1" s="10"/>
      <c r="CZJ1" s="10"/>
      <c r="CZK1" s="10"/>
      <c r="CZL1" s="10"/>
      <c r="CZM1" s="10"/>
      <c r="CZN1" s="10"/>
      <c r="CZO1" s="10"/>
      <c r="CZP1" s="10"/>
      <c r="CZQ1" s="10"/>
      <c r="CZR1" s="10"/>
      <c r="CZS1" s="10"/>
      <c r="CZT1" s="10"/>
      <c r="CZU1" s="10"/>
      <c r="CZV1" s="10"/>
      <c r="CZW1" s="10"/>
      <c r="CZX1" s="10"/>
      <c r="CZY1" s="10"/>
      <c r="CZZ1" s="10"/>
      <c r="DAA1" s="10"/>
      <c r="DAB1" s="10"/>
      <c r="DAC1" s="10"/>
      <c r="DAD1" s="10"/>
      <c r="DAE1" s="10"/>
      <c r="DAF1" s="10"/>
      <c r="DAG1" s="10"/>
      <c r="DAH1" s="10"/>
      <c r="DAI1" s="10"/>
      <c r="DAJ1" s="10"/>
      <c r="DAK1" s="10"/>
      <c r="DAL1" s="10"/>
      <c r="DAM1" s="10"/>
      <c r="DAN1" s="10"/>
      <c r="DAO1" s="10"/>
      <c r="DAP1" s="10"/>
      <c r="DAQ1" s="10"/>
      <c r="DAR1" s="10"/>
      <c r="DAS1" s="10"/>
      <c r="DAT1" s="10"/>
      <c r="DAU1" s="10"/>
      <c r="DAV1" s="10"/>
      <c r="DAW1" s="10"/>
      <c r="DAX1" s="10"/>
      <c r="DAY1" s="10"/>
      <c r="DAZ1" s="10"/>
      <c r="DBA1" s="10"/>
      <c r="DBB1" s="10"/>
      <c r="DBC1" s="10"/>
      <c r="DBD1" s="10"/>
      <c r="DBE1" s="10"/>
      <c r="DBF1" s="10"/>
      <c r="DBG1" s="10"/>
      <c r="DBH1" s="10"/>
      <c r="DBI1" s="10"/>
      <c r="DBJ1" s="10"/>
      <c r="DBK1" s="10"/>
      <c r="DBL1" s="10"/>
      <c r="DBM1" s="10"/>
      <c r="DBN1" s="10"/>
      <c r="DBO1" s="10"/>
      <c r="DBP1" s="10"/>
      <c r="DBQ1" s="10"/>
      <c r="DBR1" s="10"/>
      <c r="DBS1" s="10"/>
      <c r="DBT1" s="10"/>
      <c r="DBU1" s="10"/>
      <c r="DBV1" s="10"/>
      <c r="DBW1" s="10"/>
      <c r="DBX1" s="10"/>
      <c r="DBY1" s="10"/>
      <c r="DBZ1" s="10"/>
      <c r="DCA1" s="10"/>
      <c r="DCB1" s="10"/>
      <c r="DCC1" s="10"/>
      <c r="DCD1" s="10"/>
      <c r="DCE1" s="10"/>
      <c r="DCF1" s="10"/>
      <c r="DCG1" s="10"/>
      <c r="DCH1" s="10"/>
      <c r="DCI1" s="10"/>
      <c r="DCJ1" s="10"/>
      <c r="DCK1" s="10"/>
      <c r="DCL1" s="10"/>
      <c r="DCM1" s="10"/>
      <c r="DCN1" s="10"/>
      <c r="DCO1" s="10"/>
      <c r="DCP1" s="10"/>
      <c r="DCQ1" s="10"/>
      <c r="DCR1" s="10"/>
      <c r="DCS1" s="10"/>
      <c r="DCT1" s="10"/>
      <c r="DCU1" s="10"/>
      <c r="DCV1" s="10"/>
      <c r="DCW1" s="10"/>
      <c r="DCX1" s="10"/>
      <c r="DCY1" s="10"/>
      <c r="DCZ1" s="10"/>
      <c r="DDA1" s="10"/>
      <c r="DDB1" s="10"/>
      <c r="DDC1" s="10"/>
      <c r="DDD1" s="10"/>
      <c r="DDE1" s="10"/>
      <c r="DDF1" s="10"/>
      <c r="DDG1" s="10"/>
      <c r="DDH1" s="10"/>
      <c r="DDI1" s="10"/>
      <c r="DDJ1" s="10"/>
      <c r="DDK1" s="10"/>
      <c r="DDL1" s="10"/>
      <c r="DDM1" s="10"/>
      <c r="DDN1" s="10"/>
      <c r="DDO1" s="10"/>
      <c r="DDP1" s="10"/>
      <c r="DDQ1" s="10"/>
      <c r="DDR1" s="10"/>
      <c r="DDS1" s="10"/>
      <c r="DDT1" s="10"/>
      <c r="DDU1" s="10"/>
      <c r="DDV1" s="10"/>
      <c r="DDW1" s="10"/>
      <c r="DDX1" s="10"/>
      <c r="DDY1" s="10"/>
      <c r="DDZ1" s="10"/>
      <c r="DEA1" s="10"/>
      <c r="DEB1" s="10"/>
      <c r="DEC1" s="10"/>
      <c r="DED1" s="10"/>
      <c r="DEE1" s="10"/>
      <c r="DEF1" s="10"/>
      <c r="DEG1" s="10"/>
      <c r="DEH1" s="10"/>
      <c r="DEI1" s="10"/>
      <c r="DEJ1" s="10"/>
      <c r="DEK1" s="10"/>
      <c r="DEL1" s="10"/>
      <c r="DEM1" s="10"/>
      <c r="DEN1" s="10"/>
      <c r="DEO1" s="10"/>
      <c r="DEP1" s="10"/>
      <c r="DEQ1" s="10"/>
      <c r="DER1" s="10"/>
      <c r="DES1" s="10"/>
      <c r="DET1" s="10"/>
      <c r="DEU1" s="10"/>
      <c r="DEV1" s="10"/>
      <c r="DEW1" s="10"/>
      <c r="DEX1" s="10"/>
      <c r="DEY1" s="10"/>
      <c r="DEZ1" s="10"/>
      <c r="DFA1" s="10"/>
      <c r="DFB1" s="10"/>
      <c r="DFC1" s="10"/>
      <c r="DFD1" s="10"/>
      <c r="DFE1" s="10"/>
      <c r="DFF1" s="10"/>
      <c r="DFG1" s="10"/>
      <c r="DFH1" s="10"/>
      <c r="DFI1" s="10"/>
      <c r="DFJ1" s="10"/>
      <c r="DFK1" s="10"/>
      <c r="DFL1" s="10"/>
      <c r="DFM1" s="10"/>
      <c r="DFN1" s="10"/>
      <c r="DFO1" s="10"/>
      <c r="DFP1" s="10"/>
      <c r="DFQ1" s="10"/>
      <c r="DFR1" s="10"/>
      <c r="DFS1" s="10"/>
      <c r="DFT1" s="10"/>
      <c r="DFU1" s="10"/>
      <c r="DFV1" s="10"/>
      <c r="DFW1" s="10"/>
      <c r="DFX1" s="10"/>
      <c r="DFY1" s="10"/>
      <c r="DFZ1" s="10"/>
      <c r="DGA1" s="10"/>
      <c r="DGB1" s="10"/>
      <c r="DGC1" s="10"/>
      <c r="DGD1" s="10"/>
      <c r="DGE1" s="10"/>
      <c r="DGF1" s="10"/>
      <c r="DGG1" s="10"/>
      <c r="DGH1" s="10"/>
      <c r="DGI1" s="10"/>
      <c r="DGJ1" s="10"/>
      <c r="DGK1" s="10"/>
      <c r="DGL1" s="10"/>
      <c r="DGM1" s="10"/>
      <c r="DGN1" s="10"/>
      <c r="DGO1" s="10"/>
      <c r="DGP1" s="10"/>
      <c r="DGQ1" s="10"/>
      <c r="DGR1" s="10"/>
      <c r="DGS1" s="10"/>
      <c r="DGT1" s="10"/>
      <c r="DGU1" s="10"/>
      <c r="DGV1" s="10"/>
      <c r="DGW1" s="10"/>
      <c r="DGX1" s="10"/>
      <c r="DGY1" s="10"/>
      <c r="DGZ1" s="10"/>
      <c r="DHA1" s="10"/>
      <c r="DHB1" s="10"/>
      <c r="DHC1" s="10"/>
      <c r="DHD1" s="10"/>
      <c r="DHE1" s="10"/>
      <c r="DHF1" s="10"/>
      <c r="DHG1" s="10"/>
      <c r="DHH1" s="10"/>
      <c r="DHI1" s="10"/>
      <c r="DHJ1" s="10"/>
      <c r="DHK1" s="10"/>
      <c r="DHL1" s="10"/>
      <c r="DHM1" s="10"/>
      <c r="DHN1" s="10"/>
      <c r="DHO1" s="10"/>
      <c r="DHP1" s="10"/>
      <c r="DHQ1" s="10"/>
      <c r="DHR1" s="10"/>
      <c r="DHS1" s="10"/>
      <c r="DHT1" s="10"/>
      <c r="DHU1" s="10"/>
      <c r="DHV1" s="10"/>
      <c r="DHW1" s="10"/>
      <c r="DHX1" s="10"/>
      <c r="DHY1" s="10"/>
      <c r="DHZ1" s="10"/>
      <c r="DIA1" s="10"/>
      <c r="DIB1" s="10"/>
      <c r="DIC1" s="10"/>
      <c r="DID1" s="10"/>
      <c r="DIE1" s="10"/>
      <c r="DIF1" s="10"/>
      <c r="DIG1" s="10"/>
      <c r="DIH1" s="10"/>
      <c r="DII1" s="10"/>
      <c r="DIJ1" s="10"/>
      <c r="DIK1" s="10"/>
      <c r="DIL1" s="10"/>
      <c r="DIM1" s="10"/>
      <c r="DIN1" s="10"/>
      <c r="DIO1" s="10"/>
      <c r="DIP1" s="10"/>
      <c r="DIQ1" s="10"/>
      <c r="DIR1" s="10"/>
      <c r="DIS1" s="10"/>
      <c r="DIT1" s="10"/>
      <c r="DIU1" s="10"/>
      <c r="DIV1" s="10"/>
      <c r="DIW1" s="10"/>
      <c r="DIX1" s="10"/>
      <c r="DIY1" s="10"/>
      <c r="DIZ1" s="10"/>
      <c r="DJA1" s="10"/>
      <c r="DJB1" s="10"/>
      <c r="DJC1" s="10"/>
      <c r="DJD1" s="10"/>
      <c r="DJE1" s="10"/>
      <c r="DJF1" s="10"/>
      <c r="DJG1" s="10"/>
      <c r="DJH1" s="10"/>
      <c r="DJI1" s="10"/>
      <c r="DJJ1" s="10"/>
      <c r="DJK1" s="10"/>
      <c r="DJL1" s="10"/>
      <c r="DJM1" s="10"/>
      <c r="DJN1" s="10"/>
      <c r="DJO1" s="10"/>
      <c r="DJP1" s="10"/>
      <c r="DJQ1" s="10"/>
      <c r="DJR1" s="10"/>
      <c r="DJS1" s="10"/>
      <c r="DJT1" s="10"/>
      <c r="DJU1" s="10"/>
      <c r="DJV1" s="10"/>
      <c r="DJW1" s="10"/>
      <c r="DJX1" s="10"/>
      <c r="DJY1" s="10"/>
      <c r="DJZ1" s="10"/>
      <c r="DKA1" s="10"/>
      <c r="DKB1" s="10"/>
      <c r="DKC1" s="10"/>
      <c r="DKD1" s="10"/>
      <c r="DKE1" s="10"/>
      <c r="DKF1" s="10"/>
      <c r="DKG1" s="10"/>
      <c r="DKH1" s="10"/>
      <c r="DKI1" s="10"/>
      <c r="DKJ1" s="10"/>
      <c r="DKK1" s="10"/>
      <c r="DKL1" s="10"/>
      <c r="DKM1" s="10"/>
      <c r="DKN1" s="10"/>
      <c r="DKO1" s="10"/>
      <c r="DKP1" s="10"/>
      <c r="DKQ1" s="10"/>
      <c r="DKR1" s="10"/>
      <c r="DKS1" s="10"/>
      <c r="DKT1" s="10"/>
      <c r="DKU1" s="10"/>
      <c r="DKV1" s="10"/>
      <c r="DKW1" s="10"/>
      <c r="DKX1" s="10"/>
      <c r="DKY1" s="10"/>
      <c r="DKZ1" s="10"/>
      <c r="DLA1" s="10"/>
      <c r="DLB1" s="10"/>
      <c r="DLC1" s="10"/>
      <c r="DLD1" s="10"/>
      <c r="DLE1" s="10"/>
      <c r="DLF1" s="10"/>
      <c r="DLG1" s="10"/>
      <c r="DLH1" s="10"/>
      <c r="DLI1" s="10"/>
      <c r="DLJ1" s="10"/>
      <c r="DLK1" s="10"/>
      <c r="DLL1" s="10"/>
      <c r="DLM1" s="10"/>
      <c r="DLN1" s="10"/>
      <c r="DLO1" s="10"/>
      <c r="DLP1" s="10"/>
      <c r="DLQ1" s="10"/>
      <c r="DLR1" s="10"/>
      <c r="DLS1" s="10"/>
      <c r="DLT1" s="10"/>
      <c r="DLU1" s="10"/>
      <c r="DLV1" s="10"/>
      <c r="DLW1" s="10"/>
      <c r="DLX1" s="10"/>
      <c r="DLY1" s="10"/>
      <c r="DLZ1" s="10"/>
      <c r="DMA1" s="10"/>
      <c r="DMB1" s="10"/>
      <c r="DMC1" s="10"/>
      <c r="DMD1" s="10"/>
      <c r="DME1" s="10"/>
      <c r="DMF1" s="10"/>
      <c r="DMG1" s="10"/>
      <c r="DMH1" s="10"/>
      <c r="DMI1" s="10"/>
      <c r="DMJ1" s="10"/>
      <c r="DMK1" s="10"/>
      <c r="DML1" s="10"/>
      <c r="DMM1" s="10"/>
      <c r="DMN1" s="10"/>
      <c r="DMO1" s="10"/>
      <c r="DMP1" s="10"/>
      <c r="DMQ1" s="10"/>
      <c r="DMR1" s="10"/>
      <c r="DMS1" s="10"/>
      <c r="DMT1" s="10"/>
      <c r="DMU1" s="10"/>
      <c r="DMV1" s="10"/>
      <c r="DMW1" s="10"/>
      <c r="DMX1" s="10"/>
      <c r="DMY1" s="10"/>
      <c r="DMZ1" s="10"/>
      <c r="DNA1" s="10"/>
      <c r="DNB1" s="10"/>
      <c r="DNC1" s="10"/>
      <c r="DND1" s="10"/>
      <c r="DNE1" s="10"/>
      <c r="DNF1" s="10"/>
      <c r="DNG1" s="10"/>
      <c r="DNH1" s="10"/>
      <c r="DNI1" s="10"/>
      <c r="DNJ1" s="10"/>
      <c r="DNK1" s="10"/>
      <c r="DNL1" s="10"/>
      <c r="DNM1" s="10"/>
      <c r="DNN1" s="10"/>
      <c r="DNO1" s="10"/>
      <c r="DNP1" s="10"/>
      <c r="DNQ1" s="10"/>
      <c r="DNR1" s="10"/>
      <c r="DNS1" s="10"/>
      <c r="DNT1" s="10"/>
      <c r="DNU1" s="10"/>
      <c r="DNV1" s="10"/>
      <c r="DNW1" s="10"/>
      <c r="DNX1" s="10"/>
      <c r="DNY1" s="10"/>
      <c r="DNZ1" s="10"/>
      <c r="DOA1" s="10"/>
      <c r="DOB1" s="10"/>
      <c r="DOC1" s="10"/>
      <c r="DOD1" s="10"/>
      <c r="DOE1" s="10"/>
      <c r="DOF1" s="10"/>
      <c r="DOG1" s="10"/>
      <c r="DOH1" s="10"/>
      <c r="DOI1" s="10"/>
      <c r="DOJ1" s="10"/>
      <c r="DOK1" s="10"/>
      <c r="DOL1" s="10"/>
      <c r="DOM1" s="10"/>
      <c r="DON1" s="10"/>
      <c r="DOO1" s="10"/>
      <c r="DOP1" s="10"/>
      <c r="DOQ1" s="10"/>
      <c r="DOR1" s="10"/>
      <c r="DOS1" s="10"/>
      <c r="DOT1" s="10"/>
      <c r="DOU1" s="10"/>
      <c r="DOV1" s="10"/>
      <c r="DOW1" s="10"/>
      <c r="DOX1" s="10"/>
      <c r="DOY1" s="10"/>
      <c r="DOZ1" s="10"/>
      <c r="DPA1" s="10"/>
      <c r="DPB1" s="10"/>
      <c r="DPC1" s="10"/>
      <c r="DPD1" s="10"/>
      <c r="DPE1" s="10"/>
      <c r="DPF1" s="10"/>
      <c r="DPG1" s="10"/>
      <c r="DPH1" s="10"/>
      <c r="DPI1" s="10"/>
      <c r="DPJ1" s="10"/>
      <c r="DPK1" s="10"/>
      <c r="DPL1" s="10"/>
      <c r="DPM1" s="10"/>
      <c r="DPN1" s="10"/>
      <c r="DPO1" s="10"/>
      <c r="DPP1" s="10"/>
      <c r="DPQ1" s="10"/>
      <c r="DPR1" s="10"/>
      <c r="DPS1" s="10"/>
      <c r="DPT1" s="10"/>
      <c r="DPU1" s="10"/>
      <c r="DPV1" s="10"/>
      <c r="DPW1" s="10"/>
      <c r="DPX1" s="10"/>
      <c r="DPY1" s="10"/>
      <c r="DPZ1" s="10"/>
      <c r="DQA1" s="10"/>
      <c r="DQB1" s="10"/>
      <c r="DQC1" s="10"/>
      <c r="DQD1" s="10"/>
      <c r="DQE1" s="10"/>
      <c r="DQF1" s="10"/>
      <c r="DQG1" s="10"/>
      <c r="DQH1" s="10"/>
      <c r="DQI1" s="10"/>
      <c r="DQJ1" s="10"/>
      <c r="DQK1" s="10"/>
      <c r="DQL1" s="10"/>
      <c r="DQM1" s="10"/>
      <c r="DQN1" s="10"/>
      <c r="DQO1" s="10"/>
      <c r="DQP1" s="10"/>
      <c r="DQQ1" s="10"/>
      <c r="DQR1" s="10"/>
      <c r="DQS1" s="10"/>
      <c r="DQT1" s="10"/>
      <c r="DQU1" s="10"/>
      <c r="DQV1" s="10"/>
      <c r="DQW1" s="10"/>
      <c r="DQX1" s="10"/>
      <c r="DQY1" s="10"/>
      <c r="DQZ1" s="10"/>
      <c r="DRA1" s="10"/>
      <c r="DRB1" s="10"/>
      <c r="DRC1" s="10"/>
      <c r="DRD1" s="10"/>
      <c r="DRE1" s="10"/>
      <c r="DRF1" s="10"/>
      <c r="DRG1" s="10"/>
      <c r="DRH1" s="10"/>
      <c r="DRI1" s="10"/>
      <c r="DRJ1" s="10"/>
      <c r="DRK1" s="10"/>
      <c r="DRL1" s="10"/>
      <c r="DRM1" s="10"/>
      <c r="DRN1" s="10"/>
      <c r="DRO1" s="10"/>
      <c r="DRP1" s="10"/>
      <c r="DRQ1" s="10"/>
      <c r="DRR1" s="10"/>
      <c r="DRS1" s="10"/>
      <c r="DRT1" s="10"/>
      <c r="DRU1" s="10"/>
      <c r="DRV1" s="10"/>
      <c r="DRW1" s="10"/>
      <c r="DRX1" s="10"/>
      <c r="DRY1" s="10"/>
      <c r="DRZ1" s="10"/>
      <c r="DSA1" s="10"/>
      <c r="DSB1" s="10"/>
      <c r="DSC1" s="10"/>
      <c r="DSD1" s="10"/>
      <c r="DSE1" s="10"/>
      <c r="DSF1" s="10"/>
      <c r="DSG1" s="10"/>
      <c r="DSH1" s="10"/>
      <c r="DSI1" s="10"/>
      <c r="DSJ1" s="10"/>
      <c r="DSK1" s="10"/>
      <c r="DSL1" s="10"/>
      <c r="DSM1" s="10"/>
      <c r="DSN1" s="10"/>
      <c r="DSO1" s="10"/>
      <c r="DSP1" s="10"/>
      <c r="DSQ1" s="10"/>
      <c r="DSR1" s="10"/>
      <c r="DSS1" s="10"/>
      <c r="DST1" s="10"/>
      <c r="DSU1" s="10"/>
      <c r="DSV1" s="10"/>
      <c r="DSW1" s="10"/>
      <c r="DSX1" s="10"/>
      <c r="DSY1" s="10"/>
      <c r="DSZ1" s="10"/>
      <c r="DTA1" s="10"/>
      <c r="DTB1" s="10"/>
      <c r="DTC1" s="10"/>
      <c r="DTD1" s="10"/>
      <c r="DTE1" s="10"/>
      <c r="DTF1" s="10"/>
      <c r="DTG1" s="10"/>
      <c r="DTH1" s="10"/>
      <c r="DTI1" s="10"/>
      <c r="DTJ1" s="10"/>
      <c r="DTK1" s="10"/>
      <c r="DTL1" s="10"/>
      <c r="DTM1" s="10"/>
      <c r="DTN1" s="10"/>
      <c r="DTO1" s="10"/>
      <c r="DTP1" s="10"/>
      <c r="DTQ1" s="10"/>
      <c r="DTR1" s="10"/>
      <c r="DTS1" s="10"/>
      <c r="DTT1" s="10"/>
      <c r="DTU1" s="10"/>
      <c r="DTV1" s="10"/>
      <c r="DTW1" s="10"/>
      <c r="DTX1" s="10"/>
      <c r="DTY1" s="10"/>
      <c r="DTZ1" s="10"/>
      <c r="DUA1" s="10"/>
      <c r="DUB1" s="10"/>
      <c r="DUC1" s="10"/>
      <c r="DUD1" s="10"/>
      <c r="DUE1" s="10"/>
      <c r="DUF1" s="10"/>
      <c r="DUG1" s="10"/>
      <c r="DUH1" s="10"/>
      <c r="DUI1" s="10"/>
      <c r="DUJ1" s="10"/>
      <c r="DUK1" s="10"/>
      <c r="DUL1" s="10"/>
      <c r="DUM1" s="10"/>
      <c r="DUN1" s="10"/>
      <c r="DUO1" s="10"/>
      <c r="DUP1" s="10"/>
      <c r="DUQ1" s="10"/>
      <c r="DUR1" s="10"/>
      <c r="DUS1" s="10"/>
      <c r="DUT1" s="10"/>
      <c r="DUU1" s="10"/>
      <c r="DUV1" s="10"/>
      <c r="DUW1" s="10"/>
      <c r="DUX1" s="10"/>
      <c r="DUY1" s="10"/>
      <c r="DUZ1" s="10"/>
      <c r="DVA1" s="10"/>
      <c r="DVB1" s="10"/>
      <c r="DVC1" s="10"/>
      <c r="DVD1" s="10"/>
      <c r="DVE1" s="10"/>
      <c r="DVF1" s="10"/>
      <c r="DVG1" s="10"/>
      <c r="DVH1" s="10"/>
      <c r="DVI1" s="10"/>
      <c r="DVJ1" s="10"/>
      <c r="DVK1" s="10"/>
      <c r="DVL1" s="10"/>
      <c r="DVM1" s="10"/>
      <c r="DVN1" s="10"/>
      <c r="DVO1" s="10"/>
      <c r="DVP1" s="10"/>
      <c r="DVQ1" s="10"/>
      <c r="DVR1" s="10"/>
      <c r="DVS1" s="10"/>
      <c r="DVT1" s="10"/>
      <c r="DVU1" s="10"/>
      <c r="DVV1" s="10"/>
      <c r="DVW1" s="10"/>
      <c r="DVX1" s="10"/>
      <c r="DVY1" s="10"/>
      <c r="DVZ1" s="10"/>
      <c r="DWA1" s="10"/>
      <c r="DWB1" s="10"/>
      <c r="DWC1" s="10"/>
      <c r="DWD1" s="10"/>
      <c r="DWE1" s="10"/>
      <c r="DWF1" s="10"/>
      <c r="DWG1" s="10"/>
      <c r="DWH1" s="10"/>
      <c r="DWI1" s="10"/>
      <c r="DWJ1" s="10"/>
      <c r="DWK1" s="10"/>
      <c r="DWL1" s="10"/>
      <c r="DWM1" s="10"/>
      <c r="DWN1" s="10"/>
      <c r="DWO1" s="10"/>
      <c r="DWP1" s="10"/>
      <c r="DWQ1" s="10"/>
      <c r="DWR1" s="10"/>
      <c r="DWS1" s="10"/>
      <c r="DWT1" s="10"/>
      <c r="DWU1" s="10"/>
      <c r="DWV1" s="10"/>
      <c r="DWW1" s="10"/>
      <c r="DWX1" s="10"/>
      <c r="DWY1" s="10"/>
      <c r="DWZ1" s="10"/>
      <c r="DXA1" s="10"/>
      <c r="DXB1" s="10"/>
      <c r="DXC1" s="10"/>
      <c r="DXD1" s="10"/>
      <c r="DXE1" s="10"/>
      <c r="DXF1" s="10"/>
      <c r="DXG1" s="10"/>
      <c r="DXH1" s="10"/>
      <c r="DXI1" s="10"/>
      <c r="DXJ1" s="10"/>
      <c r="DXK1" s="10"/>
      <c r="DXL1" s="10"/>
      <c r="DXM1" s="10"/>
      <c r="DXN1" s="10"/>
      <c r="DXO1" s="10"/>
      <c r="DXP1" s="10"/>
      <c r="DXQ1" s="10"/>
      <c r="DXR1" s="10"/>
      <c r="DXS1" s="10"/>
      <c r="DXT1" s="10"/>
      <c r="DXU1" s="10"/>
      <c r="DXV1" s="10"/>
      <c r="DXW1" s="10"/>
      <c r="DXX1" s="10"/>
      <c r="DXY1" s="10"/>
      <c r="DXZ1" s="10"/>
      <c r="DYA1" s="10"/>
      <c r="DYB1" s="10"/>
      <c r="DYC1" s="10"/>
      <c r="DYD1" s="10"/>
      <c r="DYE1" s="10"/>
      <c r="DYF1" s="10"/>
      <c r="DYG1" s="10"/>
      <c r="DYH1" s="10"/>
      <c r="DYI1" s="10"/>
      <c r="DYJ1" s="10"/>
      <c r="DYK1" s="10"/>
      <c r="DYL1" s="10"/>
      <c r="DYM1" s="10"/>
      <c r="DYN1" s="10"/>
      <c r="DYO1" s="10"/>
      <c r="DYP1" s="10"/>
      <c r="DYQ1" s="10"/>
      <c r="DYR1" s="10"/>
      <c r="DYS1" s="10"/>
      <c r="DYT1" s="10"/>
      <c r="DYU1" s="10"/>
      <c r="DYV1" s="10"/>
      <c r="DYW1" s="10"/>
      <c r="DYX1" s="10"/>
      <c r="DYY1" s="10"/>
      <c r="DYZ1" s="10"/>
      <c r="DZA1" s="10"/>
      <c r="DZB1" s="10"/>
      <c r="DZC1" s="10"/>
      <c r="DZD1" s="10"/>
      <c r="DZE1" s="10"/>
      <c r="DZF1" s="10"/>
      <c r="DZG1" s="10"/>
      <c r="DZH1" s="10"/>
      <c r="DZI1" s="10"/>
      <c r="DZJ1" s="10"/>
      <c r="DZK1" s="10"/>
      <c r="DZL1" s="10"/>
      <c r="DZM1" s="10"/>
      <c r="DZN1" s="10"/>
      <c r="DZO1" s="10"/>
      <c r="DZP1" s="10"/>
      <c r="DZQ1" s="10"/>
      <c r="DZR1" s="10"/>
      <c r="DZS1" s="10"/>
      <c r="DZT1" s="10"/>
      <c r="DZU1" s="10"/>
      <c r="DZV1" s="10"/>
      <c r="DZW1" s="10"/>
      <c r="DZX1" s="10"/>
      <c r="DZY1" s="10"/>
      <c r="DZZ1" s="10"/>
      <c r="EAA1" s="10"/>
      <c r="EAB1" s="10"/>
      <c r="EAC1" s="10"/>
      <c r="EAD1" s="10"/>
      <c r="EAE1" s="10"/>
      <c r="EAF1" s="10"/>
      <c r="EAG1" s="10"/>
      <c r="EAH1" s="10"/>
      <c r="EAI1" s="10"/>
      <c r="EAJ1" s="10"/>
      <c r="EAK1" s="10"/>
      <c r="EAL1" s="10"/>
      <c r="EAM1" s="10"/>
      <c r="EAN1" s="10"/>
      <c r="EAO1" s="10"/>
      <c r="EAP1" s="10"/>
      <c r="EAQ1" s="10"/>
      <c r="EAR1" s="10"/>
      <c r="EAS1" s="10"/>
      <c r="EAT1" s="10"/>
      <c r="EAU1" s="10"/>
      <c r="EAV1" s="10"/>
      <c r="EAW1" s="10"/>
      <c r="EAX1" s="10"/>
      <c r="EAY1" s="10"/>
      <c r="EAZ1" s="10"/>
      <c r="EBA1" s="10"/>
      <c r="EBB1" s="10"/>
      <c r="EBC1" s="10"/>
      <c r="EBD1" s="10"/>
      <c r="EBE1" s="10"/>
      <c r="EBF1" s="10"/>
      <c r="EBG1" s="10"/>
      <c r="EBH1" s="10"/>
      <c r="EBI1" s="10"/>
      <c r="EBJ1" s="10"/>
      <c r="EBK1" s="10"/>
      <c r="EBL1" s="10"/>
      <c r="EBM1" s="10"/>
      <c r="EBN1" s="10"/>
      <c r="EBO1" s="10"/>
      <c r="EBP1" s="10"/>
      <c r="EBQ1" s="10"/>
      <c r="EBR1" s="10"/>
      <c r="EBS1" s="10"/>
      <c r="EBT1" s="10"/>
      <c r="EBU1" s="10"/>
      <c r="EBV1" s="10"/>
      <c r="EBW1" s="10"/>
      <c r="EBX1" s="10"/>
      <c r="EBY1" s="10"/>
      <c r="EBZ1" s="10"/>
      <c r="ECA1" s="10"/>
      <c r="ECB1" s="10"/>
      <c r="ECC1" s="10"/>
      <c r="ECD1" s="10"/>
      <c r="ECE1" s="10"/>
      <c r="ECF1" s="10"/>
      <c r="ECG1" s="10"/>
      <c r="ECH1" s="10"/>
      <c r="ECI1" s="10"/>
      <c r="ECJ1" s="10"/>
      <c r="ECK1" s="10"/>
      <c r="ECL1" s="10"/>
      <c r="ECM1" s="10"/>
      <c r="ECN1" s="10"/>
      <c r="ECO1" s="10"/>
      <c r="ECP1" s="10"/>
      <c r="ECQ1" s="10"/>
      <c r="ECR1" s="10"/>
      <c r="ECS1" s="10"/>
      <c r="ECT1" s="10"/>
      <c r="ECU1" s="10"/>
      <c r="ECV1" s="10"/>
      <c r="ECW1" s="10"/>
      <c r="ECX1" s="10"/>
      <c r="ECY1" s="10"/>
      <c r="ECZ1" s="10"/>
      <c r="EDA1" s="10"/>
      <c r="EDB1" s="10"/>
      <c r="EDC1" s="10"/>
      <c r="EDD1" s="10"/>
      <c r="EDE1" s="10"/>
      <c r="EDF1" s="10"/>
      <c r="EDG1" s="10"/>
      <c r="EDH1" s="10"/>
      <c r="EDI1" s="10"/>
      <c r="EDJ1" s="10"/>
      <c r="EDK1" s="10"/>
      <c r="EDL1" s="10"/>
      <c r="EDM1" s="10"/>
      <c r="EDN1" s="10"/>
      <c r="EDO1" s="10"/>
      <c r="EDP1" s="10"/>
      <c r="EDQ1" s="10"/>
      <c r="EDR1" s="10"/>
      <c r="EDS1" s="10"/>
      <c r="EDT1" s="10"/>
      <c r="EDU1" s="10"/>
      <c r="EDV1" s="10"/>
      <c r="EDW1" s="10"/>
      <c r="EDX1" s="10"/>
      <c r="EDY1" s="10"/>
      <c r="EDZ1" s="10"/>
      <c r="EEA1" s="10"/>
      <c r="EEB1" s="10"/>
      <c r="EEC1" s="10"/>
      <c r="EED1" s="10"/>
      <c r="EEE1" s="10"/>
      <c r="EEF1" s="10"/>
      <c r="EEG1" s="10"/>
      <c r="EEH1" s="10"/>
      <c r="EEI1" s="10"/>
      <c r="EEJ1" s="10"/>
      <c r="EEK1" s="10"/>
      <c r="EEL1" s="10"/>
      <c r="EEM1" s="10"/>
      <c r="EEN1" s="10"/>
      <c r="EEO1" s="10"/>
      <c r="EEP1" s="10"/>
      <c r="EEQ1" s="10"/>
      <c r="EER1" s="10"/>
      <c r="EES1" s="10"/>
      <c r="EET1" s="10"/>
      <c r="EEU1" s="10"/>
      <c r="EEV1" s="10"/>
      <c r="EEW1" s="10"/>
      <c r="EEX1" s="10"/>
      <c r="EEY1" s="10"/>
      <c r="EEZ1" s="10"/>
      <c r="EFA1" s="10"/>
      <c r="EFB1" s="10"/>
      <c r="EFC1" s="10"/>
      <c r="EFD1" s="10"/>
      <c r="EFE1" s="10"/>
      <c r="EFF1" s="10"/>
      <c r="EFG1" s="10"/>
      <c r="EFH1" s="10"/>
      <c r="EFI1" s="10"/>
      <c r="EFJ1" s="10"/>
      <c r="EFK1" s="10"/>
      <c r="EFL1" s="10"/>
      <c r="EFM1" s="10"/>
      <c r="EFN1" s="10"/>
      <c r="EFO1" s="10"/>
      <c r="EFP1" s="10"/>
      <c r="EFQ1" s="10"/>
      <c r="EFR1" s="10"/>
      <c r="EFS1" s="10"/>
      <c r="EFT1" s="10"/>
      <c r="EFU1" s="10"/>
      <c r="EFV1" s="10"/>
      <c r="EFW1" s="10"/>
      <c r="EFX1" s="10"/>
      <c r="EFY1" s="10"/>
      <c r="EFZ1" s="10"/>
      <c r="EGA1" s="10"/>
      <c r="EGB1" s="10"/>
      <c r="EGC1" s="10"/>
      <c r="EGD1" s="10"/>
      <c r="EGE1" s="10"/>
      <c r="EGF1" s="10"/>
      <c r="EGG1" s="10"/>
      <c r="EGH1" s="10"/>
      <c r="EGI1" s="10"/>
      <c r="EGJ1" s="10"/>
      <c r="EGK1" s="10"/>
      <c r="EGL1" s="10"/>
      <c r="EGM1" s="10"/>
      <c r="EGN1" s="10"/>
      <c r="EGO1" s="10"/>
      <c r="EGP1" s="10"/>
      <c r="EGQ1" s="10"/>
      <c r="EGR1" s="10"/>
      <c r="EGS1" s="10"/>
      <c r="EGT1" s="10"/>
      <c r="EGU1" s="10"/>
      <c r="EGV1" s="10"/>
      <c r="EGW1" s="10"/>
      <c r="EGX1" s="10"/>
      <c r="EGY1" s="10"/>
      <c r="EGZ1" s="10"/>
      <c r="EHA1" s="10"/>
      <c r="EHB1" s="10"/>
      <c r="EHC1" s="10"/>
      <c r="EHD1" s="10"/>
      <c r="EHE1" s="10"/>
      <c r="EHF1" s="10"/>
      <c r="EHG1" s="10"/>
      <c r="EHH1" s="10"/>
      <c r="EHI1" s="10"/>
      <c r="EHJ1" s="10"/>
      <c r="EHK1" s="10"/>
      <c r="EHL1" s="10"/>
      <c r="EHM1" s="10"/>
      <c r="EHN1" s="10"/>
      <c r="EHO1" s="10"/>
      <c r="EHP1" s="10"/>
      <c r="EHQ1" s="10"/>
      <c r="EHR1" s="10"/>
      <c r="EHS1" s="10"/>
      <c r="EHT1" s="10"/>
      <c r="EHU1" s="10"/>
      <c r="EHV1" s="10"/>
      <c r="EHW1" s="10"/>
      <c r="EHX1" s="10"/>
      <c r="EHY1" s="10"/>
      <c r="EHZ1" s="10"/>
      <c r="EIA1" s="10"/>
      <c r="EIB1" s="10"/>
      <c r="EIC1" s="10"/>
      <c r="EID1" s="10"/>
      <c r="EIE1" s="10"/>
      <c r="EIF1" s="10"/>
      <c r="EIG1" s="10"/>
      <c r="EIH1" s="10"/>
      <c r="EII1" s="10"/>
      <c r="EIJ1" s="10"/>
      <c r="EIK1" s="10"/>
      <c r="EIL1" s="10"/>
      <c r="EIM1" s="10"/>
      <c r="EIN1" s="10"/>
      <c r="EIO1" s="10"/>
      <c r="EIP1" s="10"/>
      <c r="EIQ1" s="10"/>
      <c r="EIR1" s="10"/>
      <c r="EIS1" s="10"/>
      <c r="EIT1" s="10"/>
      <c r="EIU1" s="10"/>
      <c r="EIV1" s="10"/>
      <c r="EIW1" s="10"/>
      <c r="EIX1" s="10"/>
      <c r="EIY1" s="10"/>
      <c r="EIZ1" s="10"/>
      <c r="EJA1" s="10"/>
      <c r="EJB1" s="10"/>
      <c r="EJC1" s="10"/>
      <c r="EJD1" s="10"/>
      <c r="EJE1" s="10"/>
      <c r="EJF1" s="10"/>
      <c r="EJG1" s="10"/>
      <c r="EJH1" s="10"/>
      <c r="EJI1" s="10"/>
      <c r="EJJ1" s="10"/>
      <c r="EJK1" s="10"/>
      <c r="EJL1" s="10"/>
      <c r="EJM1" s="10"/>
      <c r="EJN1" s="10"/>
      <c r="EJO1" s="10"/>
      <c r="EJP1" s="10"/>
      <c r="EJQ1" s="10"/>
      <c r="EJR1" s="10"/>
      <c r="EJS1" s="10"/>
      <c r="EJT1" s="10"/>
      <c r="EJU1" s="10"/>
      <c r="EJV1" s="10"/>
      <c r="EJW1" s="10"/>
      <c r="EJX1" s="10"/>
      <c r="EJY1" s="10"/>
      <c r="EJZ1" s="10"/>
      <c r="EKA1" s="10"/>
      <c r="EKB1" s="10"/>
      <c r="EKC1" s="10"/>
      <c r="EKD1" s="10"/>
      <c r="EKE1" s="10"/>
      <c r="EKF1" s="10"/>
      <c r="EKG1" s="10"/>
      <c r="EKH1" s="10"/>
      <c r="EKI1" s="10"/>
      <c r="EKJ1" s="10"/>
      <c r="EKK1" s="10"/>
      <c r="EKL1" s="10"/>
      <c r="EKM1" s="10"/>
      <c r="EKN1" s="10"/>
      <c r="EKO1" s="10"/>
      <c r="EKP1" s="10"/>
      <c r="EKQ1" s="10"/>
      <c r="EKR1" s="10"/>
      <c r="EKS1" s="10"/>
      <c r="EKT1" s="10"/>
      <c r="EKU1" s="10"/>
      <c r="EKV1" s="10"/>
      <c r="EKW1" s="10"/>
      <c r="EKX1" s="10"/>
      <c r="EKY1" s="10"/>
      <c r="EKZ1" s="10"/>
      <c r="ELA1" s="10"/>
      <c r="ELB1" s="10"/>
      <c r="ELC1" s="10"/>
      <c r="ELD1" s="10"/>
      <c r="ELE1" s="10"/>
      <c r="ELF1" s="10"/>
      <c r="ELG1" s="10"/>
      <c r="ELH1" s="10"/>
      <c r="ELI1" s="10"/>
      <c r="ELJ1" s="10"/>
      <c r="ELK1" s="10"/>
      <c r="ELL1" s="10"/>
      <c r="ELM1" s="10"/>
      <c r="ELN1" s="10"/>
      <c r="ELO1" s="10"/>
      <c r="ELP1" s="10"/>
      <c r="ELQ1" s="10"/>
      <c r="ELR1" s="10"/>
      <c r="ELS1" s="10"/>
      <c r="ELT1" s="10"/>
      <c r="ELU1" s="10"/>
      <c r="ELV1" s="10"/>
      <c r="ELW1" s="10"/>
      <c r="ELX1" s="10"/>
      <c r="ELY1" s="10"/>
      <c r="ELZ1" s="10"/>
      <c r="EMA1" s="10"/>
      <c r="EMB1" s="10"/>
      <c r="EMC1" s="10"/>
      <c r="EMD1" s="10"/>
      <c r="EME1" s="10"/>
      <c r="EMF1" s="10"/>
      <c r="EMG1" s="10"/>
      <c r="EMH1" s="10"/>
      <c r="EMI1" s="10"/>
      <c r="EMJ1" s="10"/>
      <c r="EMK1" s="10"/>
      <c r="EML1" s="10"/>
      <c r="EMM1" s="10"/>
      <c r="EMN1" s="10"/>
      <c r="EMO1" s="10"/>
      <c r="EMP1" s="10"/>
      <c r="EMQ1" s="10"/>
      <c r="EMR1" s="10"/>
      <c r="EMS1" s="10"/>
      <c r="EMT1" s="10"/>
      <c r="EMU1" s="10"/>
      <c r="EMV1" s="10"/>
      <c r="EMW1" s="10"/>
      <c r="EMX1" s="10"/>
      <c r="EMY1" s="10"/>
      <c r="EMZ1" s="10"/>
      <c r="ENA1" s="10"/>
      <c r="ENB1" s="10"/>
      <c r="ENC1" s="10"/>
      <c r="END1" s="10"/>
      <c r="ENE1" s="10"/>
      <c r="ENF1" s="10"/>
      <c r="ENG1" s="10"/>
      <c r="ENH1" s="10"/>
      <c r="ENI1" s="10"/>
      <c r="ENJ1" s="10"/>
      <c r="ENK1" s="10"/>
      <c r="ENL1" s="10"/>
      <c r="ENM1" s="10"/>
      <c r="ENN1" s="10"/>
      <c r="ENO1" s="10"/>
      <c r="ENP1" s="10"/>
      <c r="ENQ1" s="10"/>
      <c r="ENR1" s="10"/>
      <c r="ENS1" s="10"/>
      <c r="ENT1" s="10"/>
      <c r="ENU1" s="10"/>
      <c r="ENV1" s="10"/>
      <c r="ENW1" s="10"/>
      <c r="ENX1" s="10"/>
      <c r="ENY1" s="10"/>
      <c r="ENZ1" s="10"/>
      <c r="EOA1" s="10"/>
      <c r="EOB1" s="10"/>
      <c r="EOC1" s="10"/>
      <c r="EOD1" s="10"/>
      <c r="EOE1" s="10"/>
      <c r="EOF1" s="10"/>
      <c r="EOG1" s="10"/>
      <c r="EOH1" s="10"/>
      <c r="EOI1" s="10"/>
      <c r="EOJ1" s="10"/>
      <c r="EOK1" s="10"/>
      <c r="EOL1" s="10"/>
      <c r="EOM1" s="10"/>
      <c r="EON1" s="10"/>
      <c r="EOO1" s="10"/>
      <c r="EOP1" s="10"/>
      <c r="EOQ1" s="10"/>
      <c r="EOR1" s="10"/>
      <c r="EOS1" s="10"/>
      <c r="EOT1" s="10"/>
      <c r="EOU1" s="10"/>
      <c r="EOV1" s="10"/>
      <c r="EOW1" s="10"/>
      <c r="EOX1" s="10"/>
      <c r="EOY1" s="10"/>
      <c r="EOZ1" s="10"/>
      <c r="EPA1" s="10"/>
      <c r="EPB1" s="10"/>
      <c r="EPC1" s="10"/>
      <c r="EPD1" s="10"/>
      <c r="EPE1" s="10"/>
      <c r="EPF1" s="10"/>
      <c r="EPG1" s="10"/>
      <c r="EPH1" s="10"/>
      <c r="EPI1" s="10"/>
      <c r="EPJ1" s="10"/>
      <c r="EPK1" s="10"/>
      <c r="EPL1" s="10"/>
      <c r="EPM1" s="10"/>
      <c r="EPN1" s="10"/>
      <c r="EPO1" s="10"/>
      <c r="EPP1" s="10"/>
      <c r="EPQ1" s="10"/>
      <c r="EPR1" s="10"/>
      <c r="EPS1" s="10"/>
      <c r="EPT1" s="10"/>
      <c r="EPU1" s="10"/>
      <c r="EPV1" s="10"/>
      <c r="EPW1" s="10"/>
      <c r="EPX1" s="10"/>
      <c r="EPY1" s="10"/>
      <c r="EPZ1" s="10"/>
      <c r="EQA1" s="10"/>
      <c r="EQB1" s="10"/>
      <c r="EQC1" s="10"/>
      <c r="EQD1" s="10"/>
      <c r="EQE1" s="10"/>
      <c r="EQF1" s="10"/>
      <c r="EQG1" s="10"/>
      <c r="EQH1" s="10"/>
      <c r="EQI1" s="10"/>
      <c r="EQJ1" s="10"/>
      <c r="EQK1" s="10"/>
      <c r="EQL1" s="10"/>
      <c r="EQM1" s="10"/>
      <c r="EQN1" s="10"/>
      <c r="EQO1" s="10"/>
      <c r="EQP1" s="10"/>
      <c r="EQQ1" s="10"/>
      <c r="EQR1" s="10"/>
      <c r="EQS1" s="10"/>
      <c r="EQT1" s="10"/>
      <c r="EQU1" s="10"/>
      <c r="EQV1" s="10"/>
      <c r="EQW1" s="10"/>
      <c r="EQX1" s="10"/>
      <c r="EQY1" s="10"/>
      <c r="EQZ1" s="10"/>
      <c r="ERA1" s="10"/>
      <c r="ERB1" s="10"/>
      <c r="ERC1" s="10"/>
      <c r="ERD1" s="10"/>
      <c r="ERE1" s="10"/>
      <c r="ERF1" s="10"/>
      <c r="ERG1" s="10"/>
      <c r="ERH1" s="10"/>
      <c r="ERI1" s="10"/>
      <c r="ERJ1" s="10"/>
      <c r="ERK1" s="10"/>
      <c r="ERL1" s="10"/>
      <c r="ERM1" s="10"/>
      <c r="ERN1" s="10"/>
      <c r="ERO1" s="10"/>
      <c r="ERP1" s="10"/>
      <c r="ERQ1" s="10"/>
      <c r="ERR1" s="10"/>
      <c r="ERS1" s="10"/>
      <c r="ERT1" s="10"/>
      <c r="ERU1" s="10"/>
      <c r="ERV1" s="10"/>
      <c r="ERW1" s="10"/>
      <c r="ERX1" s="10"/>
      <c r="ERY1" s="10"/>
      <c r="ERZ1" s="10"/>
      <c r="ESA1" s="10"/>
      <c r="ESB1" s="10"/>
      <c r="ESC1" s="10"/>
      <c r="ESD1" s="10"/>
      <c r="ESE1" s="10"/>
      <c r="ESF1" s="10"/>
      <c r="ESG1" s="10"/>
      <c r="ESH1" s="10"/>
      <c r="ESI1" s="10"/>
      <c r="ESJ1" s="10"/>
      <c r="ESK1" s="10"/>
      <c r="ESL1" s="10"/>
      <c r="ESM1" s="10"/>
      <c r="ESN1" s="10"/>
      <c r="ESO1" s="10"/>
      <c r="ESP1" s="10"/>
      <c r="ESQ1" s="10"/>
      <c r="ESR1" s="10"/>
      <c r="ESS1" s="10"/>
      <c r="EST1" s="10"/>
      <c r="ESU1" s="10"/>
      <c r="ESV1" s="10"/>
      <c r="ESW1" s="10"/>
      <c r="ESX1" s="10"/>
      <c r="ESY1" s="10"/>
      <c r="ESZ1" s="10"/>
      <c r="ETA1" s="10"/>
      <c r="ETB1" s="10"/>
      <c r="ETC1" s="10"/>
      <c r="ETD1" s="10"/>
      <c r="ETE1" s="10"/>
      <c r="ETF1" s="10"/>
      <c r="ETG1" s="10"/>
      <c r="ETH1" s="10"/>
      <c r="ETI1" s="10"/>
      <c r="ETJ1" s="10"/>
      <c r="ETK1" s="10"/>
      <c r="ETL1" s="10"/>
      <c r="ETM1" s="10"/>
      <c r="ETN1" s="10"/>
      <c r="ETO1" s="10"/>
      <c r="ETP1" s="10"/>
      <c r="ETQ1" s="10"/>
      <c r="ETR1" s="10"/>
      <c r="ETS1" s="10"/>
      <c r="ETT1" s="10"/>
      <c r="ETU1" s="10"/>
      <c r="ETV1" s="10"/>
      <c r="ETW1" s="10"/>
      <c r="ETX1" s="10"/>
      <c r="ETY1" s="10"/>
      <c r="ETZ1" s="10"/>
      <c r="EUA1" s="10"/>
      <c r="EUB1" s="10"/>
      <c r="EUC1" s="10"/>
      <c r="EUD1" s="10"/>
      <c r="EUE1" s="10"/>
      <c r="EUF1" s="10"/>
      <c r="EUG1" s="10"/>
      <c r="EUH1" s="10"/>
      <c r="EUI1" s="10"/>
      <c r="EUJ1" s="10"/>
      <c r="EUK1" s="10"/>
      <c r="EUL1" s="10"/>
      <c r="EUM1" s="10"/>
      <c r="EUN1" s="10"/>
      <c r="EUO1" s="10"/>
      <c r="EUP1" s="10"/>
      <c r="EUQ1" s="10"/>
      <c r="EUR1" s="10"/>
      <c r="EUS1" s="10"/>
      <c r="EUT1" s="10"/>
      <c r="EUU1" s="10"/>
      <c r="EUV1" s="10"/>
      <c r="EUW1" s="10"/>
      <c r="EUX1" s="10"/>
      <c r="EUY1" s="10"/>
      <c r="EUZ1" s="10"/>
      <c r="EVA1" s="10"/>
      <c r="EVB1" s="10"/>
      <c r="EVC1" s="10"/>
      <c r="EVD1" s="10"/>
      <c r="EVE1" s="10"/>
      <c r="EVF1" s="10"/>
      <c r="EVG1" s="10"/>
      <c r="EVH1" s="10"/>
      <c r="EVI1" s="10"/>
      <c r="EVJ1" s="10"/>
      <c r="EVK1" s="10"/>
      <c r="EVL1" s="10"/>
      <c r="EVM1" s="10"/>
      <c r="EVN1" s="10"/>
      <c r="EVO1" s="10"/>
      <c r="EVP1" s="10"/>
      <c r="EVQ1" s="10"/>
      <c r="EVR1" s="10"/>
      <c r="EVS1" s="10"/>
      <c r="EVT1" s="10"/>
      <c r="EVU1" s="10"/>
      <c r="EVV1" s="10"/>
      <c r="EVW1" s="10"/>
      <c r="EVX1" s="10"/>
      <c r="EVY1" s="10"/>
      <c r="EVZ1" s="10"/>
      <c r="EWA1" s="10"/>
      <c r="EWB1" s="10"/>
      <c r="EWC1" s="10"/>
      <c r="EWD1" s="10"/>
      <c r="EWE1" s="10"/>
      <c r="EWF1" s="10"/>
      <c r="EWG1" s="10"/>
      <c r="EWH1" s="10"/>
      <c r="EWI1" s="10"/>
      <c r="EWJ1" s="10"/>
      <c r="EWK1" s="10"/>
      <c r="EWL1" s="10"/>
      <c r="EWM1" s="10"/>
      <c r="EWN1" s="10"/>
      <c r="EWO1" s="10"/>
      <c r="EWP1" s="10"/>
      <c r="EWQ1" s="10"/>
      <c r="EWR1" s="10"/>
      <c r="EWS1" s="10"/>
      <c r="EWT1" s="10"/>
      <c r="EWU1" s="10"/>
      <c r="EWV1" s="10"/>
      <c r="EWW1" s="10"/>
      <c r="EWX1" s="10"/>
      <c r="EWY1" s="10"/>
      <c r="EWZ1" s="10"/>
      <c r="EXA1" s="10"/>
      <c r="EXB1" s="10"/>
      <c r="EXC1" s="10"/>
      <c r="EXD1" s="10"/>
      <c r="EXE1" s="10"/>
      <c r="EXF1" s="10"/>
      <c r="EXG1" s="10"/>
      <c r="EXH1" s="10"/>
      <c r="EXI1" s="10"/>
      <c r="EXJ1" s="10"/>
      <c r="EXK1" s="10"/>
      <c r="EXL1" s="10"/>
      <c r="EXM1" s="10"/>
      <c r="EXN1" s="10"/>
      <c r="EXO1" s="10"/>
      <c r="EXP1" s="10"/>
      <c r="EXQ1" s="10"/>
      <c r="EXR1" s="10"/>
      <c r="EXS1" s="10"/>
      <c r="EXT1" s="10"/>
      <c r="EXU1" s="10"/>
      <c r="EXV1" s="10"/>
      <c r="EXW1" s="10"/>
      <c r="EXX1" s="10"/>
      <c r="EXY1" s="10"/>
      <c r="EXZ1" s="10"/>
      <c r="EYA1" s="10"/>
      <c r="EYB1" s="10"/>
      <c r="EYC1" s="10"/>
      <c r="EYD1" s="10"/>
      <c r="EYE1" s="10"/>
      <c r="EYF1" s="10"/>
      <c r="EYG1" s="10"/>
      <c r="EYH1" s="10"/>
      <c r="EYI1" s="10"/>
      <c r="EYJ1" s="10"/>
      <c r="EYK1" s="10"/>
      <c r="EYL1" s="10"/>
      <c r="EYM1" s="10"/>
      <c r="EYN1" s="10"/>
      <c r="EYO1" s="10"/>
      <c r="EYP1" s="10"/>
      <c r="EYQ1" s="10"/>
      <c r="EYR1" s="10"/>
      <c r="EYS1" s="10"/>
      <c r="EYT1" s="10"/>
      <c r="EYU1" s="10"/>
      <c r="EYV1" s="10"/>
      <c r="EYW1" s="10"/>
      <c r="EYX1" s="10"/>
      <c r="EYY1" s="10"/>
      <c r="EYZ1" s="10"/>
      <c r="EZA1" s="10"/>
      <c r="EZB1" s="10"/>
      <c r="EZC1" s="10"/>
      <c r="EZD1" s="10"/>
      <c r="EZE1" s="10"/>
      <c r="EZF1" s="10"/>
      <c r="EZG1" s="10"/>
      <c r="EZH1" s="10"/>
      <c r="EZI1" s="10"/>
      <c r="EZJ1" s="10"/>
      <c r="EZK1" s="10"/>
      <c r="EZL1" s="10"/>
      <c r="EZM1" s="10"/>
      <c r="EZN1" s="10"/>
      <c r="EZO1" s="10"/>
      <c r="EZP1" s="10"/>
      <c r="EZQ1" s="10"/>
      <c r="EZR1" s="10"/>
      <c r="EZS1" s="10"/>
      <c r="EZT1" s="10"/>
      <c r="EZU1" s="10"/>
      <c r="EZV1" s="10"/>
      <c r="EZW1" s="10"/>
      <c r="EZX1" s="10"/>
      <c r="EZY1" s="10"/>
      <c r="EZZ1" s="10"/>
      <c r="FAA1" s="10"/>
      <c r="FAB1" s="10"/>
      <c r="FAC1" s="10"/>
      <c r="FAD1" s="10"/>
      <c r="FAE1" s="10"/>
      <c r="FAF1" s="10"/>
      <c r="FAG1" s="10"/>
      <c r="FAH1" s="10"/>
      <c r="FAI1" s="10"/>
      <c r="FAJ1" s="10"/>
      <c r="FAK1" s="10"/>
      <c r="FAL1" s="10"/>
      <c r="FAM1" s="10"/>
      <c r="FAN1" s="10"/>
      <c r="FAO1" s="10"/>
      <c r="FAP1" s="10"/>
      <c r="FAQ1" s="10"/>
      <c r="FAR1" s="10"/>
      <c r="FAS1" s="10"/>
      <c r="FAT1" s="10"/>
      <c r="FAU1" s="10"/>
      <c r="FAV1" s="10"/>
      <c r="FAW1" s="10"/>
      <c r="FAX1" s="10"/>
      <c r="FAY1" s="10"/>
      <c r="FAZ1" s="10"/>
      <c r="FBA1" s="10"/>
      <c r="FBB1" s="10"/>
      <c r="FBC1" s="10"/>
      <c r="FBD1" s="10"/>
      <c r="FBE1" s="10"/>
      <c r="FBF1" s="10"/>
      <c r="FBG1" s="10"/>
      <c r="FBH1" s="10"/>
      <c r="FBI1" s="10"/>
      <c r="FBJ1" s="10"/>
      <c r="FBK1" s="10"/>
      <c r="FBL1" s="10"/>
      <c r="FBM1" s="10"/>
      <c r="FBN1" s="10"/>
      <c r="FBO1" s="10"/>
      <c r="FBP1" s="10"/>
      <c r="FBQ1" s="10"/>
      <c r="FBR1" s="10"/>
      <c r="FBS1" s="10"/>
      <c r="FBT1" s="10"/>
      <c r="FBU1" s="10"/>
      <c r="FBV1" s="10"/>
      <c r="FBW1" s="10"/>
      <c r="FBX1" s="10"/>
      <c r="FBY1" s="10"/>
      <c r="FBZ1" s="10"/>
      <c r="FCA1" s="10"/>
      <c r="FCB1" s="10"/>
      <c r="FCC1" s="10"/>
      <c r="FCD1" s="10"/>
      <c r="FCE1" s="10"/>
      <c r="FCF1" s="10"/>
      <c r="FCG1" s="10"/>
      <c r="FCH1" s="10"/>
      <c r="FCI1" s="10"/>
      <c r="FCJ1" s="10"/>
      <c r="FCK1" s="10"/>
      <c r="FCL1" s="10"/>
      <c r="FCM1" s="10"/>
      <c r="FCN1" s="10"/>
      <c r="FCO1" s="10"/>
      <c r="FCP1" s="10"/>
      <c r="FCQ1" s="10"/>
      <c r="FCR1" s="10"/>
      <c r="FCS1" s="10"/>
      <c r="FCT1" s="10"/>
      <c r="FCU1" s="10"/>
      <c r="FCV1" s="10"/>
      <c r="FCW1" s="10"/>
      <c r="FCX1" s="10"/>
      <c r="FCY1" s="10"/>
      <c r="FCZ1" s="10"/>
      <c r="FDA1" s="10"/>
      <c r="FDB1" s="10"/>
      <c r="FDC1" s="10"/>
      <c r="FDD1" s="10"/>
      <c r="FDE1" s="10"/>
      <c r="FDF1" s="10"/>
      <c r="FDG1" s="10"/>
      <c r="FDH1" s="10"/>
      <c r="FDI1" s="10"/>
      <c r="FDJ1" s="10"/>
      <c r="FDK1" s="10"/>
      <c r="FDL1" s="10"/>
      <c r="FDM1" s="10"/>
      <c r="FDN1" s="10"/>
      <c r="FDO1" s="10"/>
      <c r="FDP1" s="10"/>
      <c r="FDQ1" s="10"/>
      <c r="FDR1" s="10"/>
      <c r="FDS1" s="10"/>
      <c r="FDT1" s="10"/>
      <c r="FDU1" s="10"/>
      <c r="FDV1" s="10"/>
      <c r="FDW1" s="10"/>
      <c r="FDX1" s="10"/>
      <c r="FDY1" s="10"/>
      <c r="FDZ1" s="10"/>
      <c r="FEA1" s="10"/>
      <c r="FEB1" s="10"/>
      <c r="FEC1" s="10"/>
      <c r="FED1" s="10"/>
      <c r="FEE1" s="10"/>
      <c r="FEF1" s="10"/>
      <c r="FEG1" s="10"/>
      <c r="FEH1" s="10"/>
      <c r="FEI1" s="10"/>
      <c r="FEJ1" s="10"/>
      <c r="FEK1" s="10"/>
      <c r="FEL1" s="10"/>
      <c r="FEM1" s="10"/>
      <c r="FEN1" s="10"/>
      <c r="FEO1" s="10"/>
      <c r="FEP1" s="10"/>
      <c r="FEQ1" s="10"/>
      <c r="FER1" s="10"/>
      <c r="FES1" s="10"/>
      <c r="FET1" s="10"/>
      <c r="FEU1" s="10"/>
      <c r="FEV1" s="10"/>
      <c r="FEW1" s="10"/>
      <c r="FEX1" s="10"/>
      <c r="FEY1" s="10"/>
      <c r="FEZ1" s="10"/>
      <c r="FFA1" s="10"/>
      <c r="FFB1" s="10"/>
      <c r="FFC1" s="10"/>
      <c r="FFD1" s="10"/>
      <c r="FFE1" s="10"/>
      <c r="FFF1" s="10"/>
      <c r="FFG1" s="10"/>
      <c r="FFH1" s="10"/>
      <c r="FFI1" s="10"/>
      <c r="FFJ1" s="10"/>
      <c r="FFK1" s="10"/>
      <c r="FFL1" s="10"/>
      <c r="FFM1" s="10"/>
      <c r="FFN1" s="10"/>
      <c r="FFO1" s="10"/>
      <c r="FFP1" s="10"/>
      <c r="FFQ1" s="10"/>
      <c r="FFR1" s="10"/>
      <c r="FFS1" s="10"/>
      <c r="FFT1" s="10"/>
      <c r="FFU1" s="10"/>
      <c r="FFV1" s="10"/>
      <c r="FFW1" s="10"/>
      <c r="FFX1" s="10"/>
      <c r="FFY1" s="10"/>
      <c r="FFZ1" s="10"/>
      <c r="FGA1" s="10"/>
      <c r="FGB1" s="10"/>
      <c r="FGC1" s="10"/>
      <c r="FGD1" s="10"/>
      <c r="FGE1" s="10"/>
      <c r="FGF1" s="10"/>
      <c r="FGG1" s="10"/>
      <c r="FGH1" s="10"/>
      <c r="FGI1" s="10"/>
      <c r="FGJ1" s="10"/>
      <c r="FGK1" s="10"/>
      <c r="FGL1" s="10"/>
      <c r="FGM1" s="10"/>
      <c r="FGN1" s="10"/>
      <c r="FGO1" s="10"/>
      <c r="FGP1" s="10"/>
      <c r="FGQ1" s="10"/>
      <c r="FGR1" s="10"/>
      <c r="FGS1" s="10"/>
      <c r="FGT1" s="10"/>
      <c r="FGU1" s="10"/>
      <c r="FGV1" s="10"/>
      <c r="FGW1" s="10"/>
      <c r="FGX1" s="10"/>
      <c r="FGY1" s="10"/>
      <c r="FGZ1" s="10"/>
      <c r="FHA1" s="10"/>
      <c r="FHB1" s="10"/>
      <c r="FHC1" s="10"/>
      <c r="FHD1" s="10"/>
      <c r="FHE1" s="10"/>
      <c r="FHF1" s="10"/>
      <c r="FHG1" s="10"/>
      <c r="FHH1" s="10"/>
      <c r="FHI1" s="10"/>
      <c r="FHJ1" s="10"/>
      <c r="FHK1" s="10"/>
      <c r="FHL1" s="10"/>
      <c r="FHM1" s="10"/>
      <c r="FHN1" s="10"/>
      <c r="FHO1" s="10"/>
      <c r="FHP1" s="10"/>
      <c r="FHQ1" s="10"/>
      <c r="FHR1" s="10"/>
      <c r="FHS1" s="10"/>
      <c r="FHT1" s="10"/>
      <c r="FHU1" s="10"/>
      <c r="FHV1" s="10"/>
      <c r="FHW1" s="10"/>
      <c r="FHX1" s="10"/>
      <c r="FHY1" s="10"/>
      <c r="FHZ1" s="10"/>
      <c r="FIA1" s="10"/>
      <c r="FIB1" s="10"/>
      <c r="FIC1" s="10"/>
      <c r="FID1" s="10"/>
      <c r="FIE1" s="10"/>
      <c r="FIF1" s="10"/>
      <c r="FIG1" s="10"/>
      <c r="FIH1" s="10"/>
      <c r="FII1" s="10"/>
      <c r="FIJ1" s="10"/>
      <c r="FIK1" s="10"/>
      <c r="FIL1" s="10"/>
      <c r="FIM1" s="10"/>
      <c r="FIN1" s="10"/>
      <c r="FIO1" s="10"/>
      <c r="FIP1" s="10"/>
      <c r="FIQ1" s="10"/>
      <c r="FIR1" s="10"/>
      <c r="FIS1" s="10"/>
      <c r="FIT1" s="10"/>
      <c r="FIU1" s="10"/>
      <c r="FIV1" s="10"/>
      <c r="FIW1" s="10"/>
      <c r="FIX1" s="10"/>
      <c r="FIY1" s="10"/>
      <c r="FIZ1" s="10"/>
      <c r="FJA1" s="10"/>
      <c r="FJB1" s="10"/>
      <c r="FJC1" s="10"/>
      <c r="FJD1" s="10"/>
      <c r="FJE1" s="10"/>
      <c r="FJF1" s="10"/>
      <c r="FJG1" s="10"/>
      <c r="FJH1" s="10"/>
      <c r="FJI1" s="10"/>
      <c r="FJJ1" s="10"/>
      <c r="FJK1" s="10"/>
      <c r="FJL1" s="10"/>
      <c r="FJM1" s="10"/>
      <c r="FJN1" s="10"/>
      <c r="FJO1" s="10"/>
      <c r="FJP1" s="10"/>
      <c r="FJQ1" s="10"/>
      <c r="FJR1" s="10"/>
      <c r="FJS1" s="10"/>
      <c r="FJT1" s="10"/>
      <c r="FJU1" s="10"/>
      <c r="FJV1" s="10"/>
      <c r="FJW1" s="10"/>
      <c r="FJX1" s="10"/>
      <c r="FJY1" s="10"/>
      <c r="FJZ1" s="10"/>
      <c r="FKA1" s="10"/>
      <c r="FKB1" s="10"/>
      <c r="FKC1" s="10"/>
      <c r="FKD1" s="10"/>
      <c r="FKE1" s="10"/>
      <c r="FKF1" s="10"/>
      <c r="FKG1" s="10"/>
      <c r="FKH1" s="10"/>
      <c r="FKI1" s="10"/>
      <c r="FKJ1" s="10"/>
      <c r="FKK1" s="10"/>
      <c r="FKL1" s="10"/>
      <c r="FKM1" s="10"/>
      <c r="FKN1" s="10"/>
      <c r="FKO1" s="10"/>
      <c r="FKP1" s="10"/>
      <c r="FKQ1" s="10"/>
      <c r="FKR1" s="10"/>
      <c r="FKS1" s="10"/>
      <c r="FKT1" s="10"/>
      <c r="FKU1" s="10"/>
      <c r="FKV1" s="10"/>
      <c r="FKW1" s="10"/>
      <c r="FKX1" s="10"/>
      <c r="FKY1" s="10"/>
      <c r="FKZ1" s="10"/>
      <c r="FLA1" s="10"/>
      <c r="FLB1" s="10"/>
      <c r="FLC1" s="10"/>
      <c r="FLD1" s="10"/>
      <c r="FLE1" s="10"/>
      <c r="FLF1" s="10"/>
      <c r="FLG1" s="10"/>
      <c r="FLH1" s="10"/>
      <c r="FLI1" s="10"/>
      <c r="FLJ1" s="10"/>
      <c r="FLK1" s="10"/>
      <c r="FLL1" s="10"/>
      <c r="FLM1" s="10"/>
      <c r="FLN1" s="10"/>
      <c r="FLO1" s="10"/>
      <c r="FLP1" s="10"/>
      <c r="FLQ1" s="10"/>
      <c r="FLR1" s="10"/>
      <c r="FLS1" s="10"/>
      <c r="FLT1" s="10"/>
      <c r="FLU1" s="10"/>
      <c r="FLV1" s="10"/>
      <c r="FLW1" s="10"/>
      <c r="FLX1" s="10"/>
      <c r="FLY1" s="10"/>
      <c r="FLZ1" s="10"/>
      <c r="FMA1" s="10"/>
      <c r="FMB1" s="10"/>
      <c r="FMC1" s="10"/>
      <c r="FMD1" s="10"/>
      <c r="FME1" s="10"/>
      <c r="FMF1" s="10"/>
      <c r="FMG1" s="10"/>
      <c r="FMH1" s="10"/>
      <c r="FMI1" s="10"/>
      <c r="FMJ1" s="10"/>
      <c r="FMK1" s="10"/>
      <c r="FML1" s="10"/>
      <c r="FMM1" s="10"/>
      <c r="FMN1" s="10"/>
      <c r="FMO1" s="10"/>
      <c r="FMP1" s="10"/>
      <c r="FMQ1" s="10"/>
      <c r="FMR1" s="10"/>
      <c r="FMS1" s="10"/>
      <c r="FMT1" s="10"/>
      <c r="FMU1" s="10"/>
      <c r="FMV1" s="10"/>
      <c r="FMW1" s="10"/>
      <c r="FMX1" s="10"/>
      <c r="FMY1" s="10"/>
      <c r="FMZ1" s="10"/>
      <c r="FNA1" s="10"/>
      <c r="FNB1" s="10"/>
      <c r="FNC1" s="10"/>
      <c r="FND1" s="10"/>
      <c r="FNE1" s="10"/>
      <c r="FNF1" s="10"/>
      <c r="FNG1" s="10"/>
      <c r="FNH1" s="10"/>
      <c r="FNI1" s="10"/>
      <c r="FNJ1" s="10"/>
      <c r="FNK1" s="10"/>
      <c r="FNL1" s="10"/>
      <c r="FNM1" s="10"/>
      <c r="FNN1" s="10"/>
      <c r="FNO1" s="10"/>
      <c r="FNP1" s="10"/>
      <c r="FNQ1" s="10"/>
      <c r="FNR1" s="10"/>
      <c r="FNS1" s="10"/>
      <c r="FNT1" s="10"/>
      <c r="FNU1" s="10"/>
      <c r="FNV1" s="10"/>
      <c r="FNW1" s="10"/>
      <c r="FNX1" s="10"/>
      <c r="FNY1" s="10"/>
      <c r="FNZ1" s="10"/>
      <c r="FOA1" s="10"/>
      <c r="FOB1" s="10"/>
      <c r="FOC1" s="10"/>
      <c r="FOD1" s="10"/>
      <c r="FOE1" s="10"/>
      <c r="FOF1" s="10"/>
      <c r="FOG1" s="10"/>
      <c r="FOH1" s="10"/>
      <c r="FOI1" s="10"/>
      <c r="FOJ1" s="10"/>
      <c r="FOK1" s="10"/>
      <c r="FOL1" s="10"/>
      <c r="FOM1" s="10"/>
      <c r="FON1" s="10"/>
      <c r="FOO1" s="10"/>
      <c r="FOP1" s="10"/>
      <c r="FOQ1" s="10"/>
      <c r="FOR1" s="10"/>
      <c r="FOS1" s="10"/>
      <c r="FOT1" s="10"/>
      <c r="FOU1" s="10"/>
      <c r="FOV1" s="10"/>
      <c r="FOW1" s="10"/>
      <c r="FOX1" s="10"/>
      <c r="FOY1" s="10"/>
      <c r="FOZ1" s="10"/>
      <c r="FPA1" s="10"/>
      <c r="FPB1" s="10"/>
      <c r="FPC1" s="10"/>
      <c r="FPD1" s="10"/>
      <c r="FPE1" s="10"/>
      <c r="FPF1" s="10"/>
      <c r="FPG1" s="10"/>
      <c r="FPH1" s="10"/>
      <c r="FPI1" s="10"/>
      <c r="FPJ1" s="10"/>
      <c r="FPK1" s="10"/>
      <c r="FPL1" s="10"/>
      <c r="FPM1" s="10"/>
      <c r="FPN1" s="10"/>
      <c r="FPO1" s="10"/>
      <c r="FPP1" s="10"/>
      <c r="FPQ1" s="10"/>
      <c r="FPR1" s="10"/>
      <c r="FPS1" s="10"/>
      <c r="FPT1" s="10"/>
      <c r="FPU1" s="10"/>
      <c r="FPV1" s="10"/>
      <c r="FPW1" s="10"/>
      <c r="FPX1" s="10"/>
      <c r="FPY1" s="10"/>
      <c r="FPZ1" s="10"/>
      <c r="FQA1" s="10"/>
      <c r="FQB1" s="10"/>
      <c r="FQC1" s="10"/>
      <c r="FQD1" s="10"/>
      <c r="FQE1" s="10"/>
      <c r="FQF1" s="10"/>
      <c r="FQG1" s="10"/>
      <c r="FQH1" s="10"/>
      <c r="FQI1" s="10"/>
      <c r="FQJ1" s="10"/>
      <c r="FQK1" s="10"/>
      <c r="FQL1" s="10"/>
      <c r="FQM1" s="10"/>
      <c r="FQN1" s="10"/>
      <c r="FQO1" s="10"/>
      <c r="FQP1" s="10"/>
      <c r="FQQ1" s="10"/>
      <c r="FQR1" s="10"/>
      <c r="FQS1" s="10"/>
      <c r="FQT1" s="10"/>
      <c r="FQU1" s="10"/>
      <c r="FQV1" s="10"/>
      <c r="FQW1" s="10"/>
      <c r="FQX1" s="10"/>
      <c r="FQY1" s="10"/>
      <c r="FQZ1" s="10"/>
      <c r="FRA1" s="10"/>
      <c r="FRB1" s="10"/>
      <c r="FRC1" s="10"/>
      <c r="FRD1" s="10"/>
      <c r="FRE1" s="10"/>
      <c r="FRF1" s="10"/>
      <c r="FRG1" s="10"/>
      <c r="FRH1" s="10"/>
      <c r="FRI1" s="10"/>
      <c r="FRJ1" s="10"/>
      <c r="FRK1" s="10"/>
      <c r="FRL1" s="10"/>
      <c r="FRM1" s="10"/>
      <c r="FRN1" s="10"/>
      <c r="FRO1" s="10"/>
      <c r="FRP1" s="10"/>
      <c r="FRQ1" s="10"/>
      <c r="FRR1" s="10"/>
      <c r="FRS1" s="10"/>
      <c r="FRT1" s="10"/>
      <c r="FRU1" s="10"/>
      <c r="FRV1" s="10"/>
      <c r="FRW1" s="10"/>
      <c r="FRX1" s="10"/>
      <c r="FRY1" s="10"/>
      <c r="FRZ1" s="10"/>
      <c r="FSA1" s="10"/>
      <c r="FSB1" s="10"/>
      <c r="FSC1" s="10"/>
      <c r="FSD1" s="10"/>
      <c r="FSE1" s="10"/>
      <c r="FSF1" s="10"/>
      <c r="FSG1" s="10"/>
      <c r="FSH1" s="10"/>
      <c r="FSI1" s="10"/>
      <c r="FSJ1" s="10"/>
      <c r="FSK1" s="10"/>
      <c r="FSL1" s="10"/>
      <c r="FSM1" s="10"/>
      <c r="FSN1" s="10"/>
      <c r="FSO1" s="10"/>
      <c r="FSP1" s="10"/>
      <c r="FSQ1" s="10"/>
      <c r="FSR1" s="10"/>
      <c r="FSS1" s="10"/>
      <c r="FST1" s="10"/>
      <c r="FSU1" s="10"/>
      <c r="FSV1" s="10"/>
      <c r="FSW1" s="10"/>
      <c r="FSX1" s="10"/>
      <c r="FSY1" s="10"/>
      <c r="FSZ1" s="10"/>
      <c r="FTA1" s="10"/>
      <c r="FTB1" s="10"/>
      <c r="FTC1" s="10"/>
      <c r="FTD1" s="10"/>
      <c r="FTE1" s="10"/>
      <c r="FTF1" s="10"/>
      <c r="FTG1" s="10"/>
      <c r="FTH1" s="10"/>
      <c r="FTI1" s="10"/>
      <c r="FTJ1" s="10"/>
      <c r="FTK1" s="10"/>
      <c r="FTL1" s="10"/>
      <c r="FTM1" s="10"/>
      <c r="FTN1" s="10"/>
      <c r="FTO1" s="10"/>
      <c r="FTP1" s="10"/>
      <c r="FTQ1" s="10"/>
      <c r="FTR1" s="10"/>
      <c r="FTS1" s="10"/>
      <c r="FTT1" s="10"/>
      <c r="FTU1" s="10"/>
      <c r="FTV1" s="10"/>
      <c r="FTW1" s="10"/>
      <c r="FTX1" s="10"/>
      <c r="FTY1" s="10"/>
      <c r="FTZ1" s="10"/>
      <c r="FUA1" s="10"/>
      <c r="FUB1" s="10"/>
      <c r="FUC1" s="10"/>
      <c r="FUD1" s="10"/>
      <c r="FUE1" s="10"/>
      <c r="FUF1" s="10"/>
      <c r="FUG1" s="10"/>
      <c r="FUH1" s="10"/>
      <c r="FUI1" s="10"/>
      <c r="FUJ1" s="10"/>
      <c r="FUK1" s="10"/>
      <c r="FUL1" s="10"/>
      <c r="FUM1" s="10"/>
      <c r="FUN1" s="10"/>
      <c r="FUO1" s="10"/>
      <c r="FUP1" s="10"/>
      <c r="FUQ1" s="10"/>
      <c r="FUR1" s="10"/>
      <c r="FUS1" s="10"/>
      <c r="FUT1" s="10"/>
      <c r="FUU1" s="10"/>
      <c r="FUV1" s="10"/>
      <c r="FUW1" s="10"/>
      <c r="FUX1" s="10"/>
      <c r="FUY1" s="10"/>
      <c r="FUZ1" s="10"/>
      <c r="FVA1" s="10"/>
      <c r="FVB1" s="10"/>
      <c r="FVC1" s="10"/>
      <c r="FVD1" s="10"/>
      <c r="FVE1" s="10"/>
      <c r="FVF1" s="10"/>
      <c r="FVG1" s="10"/>
      <c r="FVH1" s="10"/>
      <c r="FVI1" s="10"/>
      <c r="FVJ1" s="10"/>
      <c r="FVK1" s="10"/>
      <c r="FVL1" s="10"/>
      <c r="FVM1" s="10"/>
      <c r="FVN1" s="10"/>
      <c r="FVO1" s="10"/>
      <c r="FVP1" s="10"/>
      <c r="FVQ1" s="10"/>
      <c r="FVR1" s="10"/>
      <c r="FVS1" s="10"/>
      <c r="FVT1" s="10"/>
      <c r="FVU1" s="10"/>
      <c r="FVV1" s="10"/>
      <c r="FVW1" s="10"/>
      <c r="FVX1" s="10"/>
      <c r="FVY1" s="10"/>
      <c r="FVZ1" s="10"/>
      <c r="FWA1" s="10"/>
      <c r="FWB1" s="10"/>
      <c r="FWC1" s="10"/>
      <c r="FWD1" s="10"/>
      <c r="FWE1" s="10"/>
      <c r="FWF1" s="10"/>
      <c r="FWG1" s="10"/>
      <c r="FWH1" s="10"/>
      <c r="FWI1" s="10"/>
      <c r="FWJ1" s="10"/>
      <c r="FWK1" s="10"/>
      <c r="FWL1" s="10"/>
      <c r="FWM1" s="10"/>
      <c r="FWN1" s="10"/>
      <c r="FWO1" s="10"/>
      <c r="FWP1" s="10"/>
      <c r="FWQ1" s="10"/>
      <c r="FWR1" s="10"/>
      <c r="FWS1" s="10"/>
      <c r="FWT1" s="10"/>
      <c r="FWU1" s="10"/>
      <c r="FWV1" s="10"/>
      <c r="FWW1" s="10"/>
      <c r="FWX1" s="10"/>
      <c r="FWY1" s="10"/>
      <c r="FWZ1" s="10"/>
      <c r="FXA1" s="10"/>
      <c r="FXB1" s="10"/>
      <c r="FXC1" s="10"/>
      <c r="FXD1" s="10"/>
      <c r="FXE1" s="10"/>
      <c r="FXF1" s="10"/>
      <c r="FXG1" s="10"/>
      <c r="FXH1" s="10"/>
      <c r="FXI1" s="10"/>
      <c r="FXJ1" s="10"/>
      <c r="FXK1" s="10"/>
      <c r="FXL1" s="10"/>
      <c r="FXM1" s="10"/>
      <c r="FXN1" s="10"/>
      <c r="FXO1" s="10"/>
      <c r="FXP1" s="10"/>
      <c r="FXQ1" s="10"/>
      <c r="FXR1" s="10"/>
      <c r="FXS1" s="10"/>
      <c r="FXT1" s="10"/>
      <c r="FXU1" s="10"/>
      <c r="FXV1" s="10"/>
      <c r="FXW1" s="10"/>
      <c r="FXX1" s="10"/>
      <c r="FXY1" s="10"/>
      <c r="FXZ1" s="10"/>
      <c r="FYA1" s="10"/>
      <c r="FYB1" s="10"/>
      <c r="FYC1" s="10"/>
      <c r="FYD1" s="10"/>
      <c r="FYE1" s="10"/>
      <c r="FYF1" s="10"/>
      <c r="FYG1" s="10"/>
      <c r="FYH1" s="10"/>
      <c r="FYI1" s="10"/>
      <c r="FYJ1" s="10"/>
      <c r="FYK1" s="10"/>
      <c r="FYL1" s="10"/>
      <c r="FYM1" s="10"/>
      <c r="FYN1" s="10"/>
      <c r="FYO1" s="10"/>
      <c r="FYP1" s="10"/>
      <c r="FYQ1" s="10"/>
      <c r="FYR1" s="10"/>
      <c r="FYS1" s="10"/>
      <c r="FYT1" s="10"/>
      <c r="FYU1" s="10"/>
      <c r="FYV1" s="10"/>
      <c r="FYW1" s="10"/>
      <c r="FYX1" s="10"/>
      <c r="FYY1" s="10"/>
      <c r="FYZ1" s="10"/>
      <c r="FZA1" s="10"/>
      <c r="FZB1" s="10"/>
      <c r="FZC1" s="10"/>
      <c r="FZD1" s="10"/>
      <c r="FZE1" s="10"/>
      <c r="FZF1" s="10"/>
      <c r="FZG1" s="10"/>
      <c r="FZH1" s="10"/>
      <c r="FZI1" s="10"/>
      <c r="FZJ1" s="10"/>
      <c r="FZK1" s="10"/>
      <c r="FZL1" s="10"/>
      <c r="FZM1" s="10"/>
      <c r="FZN1" s="10"/>
      <c r="FZO1" s="10"/>
      <c r="FZP1" s="10"/>
      <c r="FZQ1" s="10"/>
      <c r="FZR1" s="10"/>
      <c r="FZS1" s="10"/>
      <c r="FZT1" s="10"/>
      <c r="FZU1" s="10"/>
      <c r="FZV1" s="10"/>
      <c r="FZW1" s="10"/>
      <c r="FZX1" s="10"/>
      <c r="FZY1" s="10"/>
      <c r="FZZ1" s="10"/>
      <c r="GAA1" s="10"/>
      <c r="GAB1" s="10"/>
      <c r="GAC1" s="10"/>
      <c r="GAD1" s="10"/>
      <c r="GAE1" s="10"/>
      <c r="GAF1" s="10"/>
      <c r="GAG1" s="10"/>
      <c r="GAH1" s="10"/>
      <c r="GAI1" s="10"/>
      <c r="GAJ1" s="10"/>
      <c r="GAK1" s="10"/>
      <c r="GAL1" s="10"/>
      <c r="GAM1" s="10"/>
      <c r="GAN1" s="10"/>
      <c r="GAO1" s="10"/>
      <c r="GAP1" s="10"/>
      <c r="GAQ1" s="10"/>
      <c r="GAR1" s="10"/>
      <c r="GAS1" s="10"/>
      <c r="GAT1" s="10"/>
      <c r="GAU1" s="10"/>
      <c r="GAV1" s="10"/>
      <c r="GAW1" s="10"/>
      <c r="GAX1" s="10"/>
      <c r="GAY1" s="10"/>
      <c r="GAZ1" s="10"/>
      <c r="GBA1" s="10"/>
      <c r="GBB1" s="10"/>
      <c r="GBC1" s="10"/>
      <c r="GBD1" s="10"/>
      <c r="GBE1" s="10"/>
      <c r="GBF1" s="10"/>
      <c r="GBG1" s="10"/>
      <c r="GBH1" s="10"/>
      <c r="GBI1" s="10"/>
      <c r="GBJ1" s="10"/>
      <c r="GBK1" s="10"/>
      <c r="GBL1" s="10"/>
      <c r="GBM1" s="10"/>
      <c r="GBN1" s="10"/>
      <c r="GBO1" s="10"/>
      <c r="GBP1" s="10"/>
      <c r="GBQ1" s="10"/>
      <c r="GBR1" s="10"/>
      <c r="GBS1" s="10"/>
      <c r="GBT1" s="10"/>
      <c r="GBU1" s="10"/>
      <c r="GBV1" s="10"/>
      <c r="GBW1" s="10"/>
      <c r="GBX1" s="10"/>
      <c r="GBY1" s="10"/>
      <c r="GBZ1" s="10"/>
      <c r="GCA1" s="10"/>
      <c r="GCB1" s="10"/>
      <c r="GCC1" s="10"/>
      <c r="GCD1" s="10"/>
      <c r="GCE1" s="10"/>
      <c r="GCF1" s="10"/>
      <c r="GCG1" s="10"/>
      <c r="GCH1" s="10"/>
      <c r="GCI1" s="10"/>
      <c r="GCJ1" s="10"/>
      <c r="GCK1" s="10"/>
      <c r="GCL1" s="10"/>
      <c r="GCM1" s="10"/>
      <c r="GCN1" s="10"/>
      <c r="GCO1" s="10"/>
      <c r="GCP1" s="10"/>
      <c r="GCQ1" s="10"/>
      <c r="GCR1" s="10"/>
      <c r="GCS1" s="10"/>
      <c r="GCT1" s="10"/>
      <c r="GCU1" s="10"/>
      <c r="GCV1" s="10"/>
      <c r="GCW1" s="10"/>
      <c r="GCX1" s="10"/>
      <c r="GCY1" s="10"/>
      <c r="GCZ1" s="10"/>
      <c r="GDA1" s="10"/>
      <c r="GDB1" s="10"/>
      <c r="GDC1" s="10"/>
      <c r="GDD1" s="10"/>
      <c r="GDE1" s="10"/>
      <c r="GDF1" s="10"/>
      <c r="GDG1" s="10"/>
      <c r="GDH1" s="10"/>
      <c r="GDI1" s="10"/>
      <c r="GDJ1" s="10"/>
      <c r="GDK1" s="10"/>
      <c r="GDL1" s="10"/>
      <c r="GDM1" s="10"/>
      <c r="GDN1" s="10"/>
      <c r="GDO1" s="10"/>
      <c r="GDP1" s="10"/>
      <c r="GDQ1" s="10"/>
      <c r="GDR1" s="10"/>
      <c r="GDS1" s="10"/>
      <c r="GDT1" s="10"/>
      <c r="GDU1" s="10"/>
      <c r="GDV1" s="10"/>
      <c r="GDW1" s="10"/>
      <c r="GDX1" s="10"/>
      <c r="GDY1" s="10"/>
      <c r="GDZ1" s="10"/>
      <c r="GEA1" s="10"/>
      <c r="GEB1" s="10"/>
      <c r="GEC1" s="10"/>
      <c r="GED1" s="10"/>
      <c r="GEE1" s="10"/>
      <c r="GEF1" s="10"/>
      <c r="GEG1" s="10"/>
      <c r="GEH1" s="10"/>
      <c r="GEI1" s="10"/>
      <c r="GEJ1" s="10"/>
      <c r="GEK1" s="10"/>
      <c r="GEL1" s="10"/>
      <c r="GEM1" s="10"/>
      <c r="GEN1" s="10"/>
      <c r="GEO1" s="10"/>
      <c r="GEP1" s="10"/>
      <c r="GEQ1" s="10"/>
      <c r="GER1" s="10"/>
      <c r="GES1" s="10"/>
      <c r="GET1" s="10"/>
      <c r="GEU1" s="10"/>
      <c r="GEV1" s="10"/>
      <c r="GEW1" s="10"/>
      <c r="GEX1" s="10"/>
      <c r="GEY1" s="10"/>
      <c r="GEZ1" s="10"/>
      <c r="GFA1" s="10"/>
      <c r="GFB1" s="10"/>
      <c r="GFC1" s="10"/>
      <c r="GFD1" s="10"/>
      <c r="GFE1" s="10"/>
      <c r="GFF1" s="10"/>
      <c r="GFG1" s="10"/>
      <c r="GFH1" s="10"/>
      <c r="GFI1" s="10"/>
      <c r="GFJ1" s="10"/>
      <c r="GFK1" s="10"/>
      <c r="GFL1" s="10"/>
      <c r="GFM1" s="10"/>
      <c r="GFN1" s="10"/>
      <c r="GFO1" s="10"/>
      <c r="GFP1" s="10"/>
      <c r="GFQ1" s="10"/>
      <c r="GFR1" s="10"/>
      <c r="GFS1" s="10"/>
      <c r="GFT1" s="10"/>
      <c r="GFU1" s="10"/>
      <c r="GFV1" s="10"/>
      <c r="GFW1" s="10"/>
      <c r="GFX1" s="10"/>
      <c r="GFY1" s="10"/>
      <c r="GFZ1" s="10"/>
      <c r="GGA1" s="10"/>
      <c r="GGB1" s="10"/>
      <c r="GGC1" s="10"/>
      <c r="GGD1" s="10"/>
      <c r="GGE1" s="10"/>
      <c r="GGF1" s="10"/>
      <c r="GGG1" s="10"/>
      <c r="GGH1" s="10"/>
      <c r="GGI1" s="10"/>
      <c r="GGJ1" s="10"/>
      <c r="GGK1" s="10"/>
      <c r="GGL1" s="10"/>
      <c r="GGM1" s="10"/>
      <c r="GGN1" s="10"/>
      <c r="GGO1" s="10"/>
      <c r="GGP1" s="10"/>
      <c r="GGQ1" s="10"/>
      <c r="GGR1" s="10"/>
      <c r="GGS1" s="10"/>
      <c r="GGT1" s="10"/>
      <c r="GGU1" s="10"/>
      <c r="GGV1" s="10"/>
      <c r="GGW1" s="10"/>
      <c r="GGX1" s="10"/>
      <c r="GGY1" s="10"/>
      <c r="GGZ1" s="10"/>
      <c r="GHA1" s="10"/>
      <c r="GHB1" s="10"/>
      <c r="GHC1" s="10"/>
      <c r="GHD1" s="10"/>
      <c r="GHE1" s="10"/>
      <c r="GHF1" s="10"/>
      <c r="GHG1" s="10"/>
      <c r="GHH1" s="10"/>
      <c r="GHI1" s="10"/>
      <c r="GHJ1" s="10"/>
      <c r="GHK1" s="10"/>
      <c r="GHL1" s="10"/>
      <c r="GHM1" s="10"/>
      <c r="GHN1" s="10"/>
      <c r="GHO1" s="10"/>
      <c r="GHP1" s="10"/>
      <c r="GHQ1" s="10"/>
      <c r="GHR1" s="10"/>
      <c r="GHS1" s="10"/>
      <c r="GHT1" s="10"/>
      <c r="GHU1" s="10"/>
      <c r="GHV1" s="10"/>
      <c r="GHW1" s="10"/>
      <c r="GHX1" s="10"/>
      <c r="GHY1" s="10"/>
      <c r="GHZ1" s="10"/>
      <c r="GIA1" s="10"/>
      <c r="GIB1" s="10"/>
      <c r="GIC1" s="10"/>
      <c r="GID1" s="10"/>
      <c r="GIE1" s="10"/>
      <c r="GIF1" s="10"/>
      <c r="GIG1" s="10"/>
      <c r="GIH1" s="10"/>
      <c r="GII1" s="10"/>
      <c r="GIJ1" s="10"/>
      <c r="GIK1" s="10"/>
      <c r="GIL1" s="10"/>
      <c r="GIM1" s="10"/>
      <c r="GIN1" s="10"/>
      <c r="GIO1" s="10"/>
      <c r="GIP1" s="10"/>
      <c r="GIQ1" s="10"/>
      <c r="GIR1" s="10"/>
      <c r="GIS1" s="10"/>
      <c r="GIT1" s="10"/>
      <c r="GIU1" s="10"/>
      <c r="GIV1" s="10"/>
      <c r="GIW1" s="10"/>
      <c r="GIX1" s="10"/>
      <c r="GIY1" s="10"/>
      <c r="GIZ1" s="10"/>
      <c r="GJA1" s="10"/>
      <c r="GJB1" s="10"/>
      <c r="GJC1" s="10"/>
      <c r="GJD1" s="10"/>
      <c r="GJE1" s="10"/>
      <c r="GJF1" s="10"/>
      <c r="GJG1" s="10"/>
      <c r="GJH1" s="10"/>
      <c r="GJI1" s="10"/>
      <c r="GJJ1" s="10"/>
      <c r="GJK1" s="10"/>
      <c r="GJL1" s="10"/>
      <c r="GJM1" s="10"/>
      <c r="GJN1" s="10"/>
      <c r="GJO1" s="10"/>
      <c r="GJP1" s="10"/>
      <c r="GJQ1" s="10"/>
      <c r="GJR1" s="10"/>
      <c r="GJS1" s="10"/>
      <c r="GJT1" s="10"/>
      <c r="GJU1" s="10"/>
      <c r="GJV1" s="10"/>
      <c r="GJW1" s="10"/>
      <c r="GJX1" s="10"/>
      <c r="GJY1" s="10"/>
      <c r="GJZ1" s="10"/>
      <c r="GKA1" s="10"/>
      <c r="GKB1" s="10"/>
      <c r="GKC1" s="10"/>
      <c r="GKD1" s="10"/>
      <c r="GKE1" s="10"/>
      <c r="GKF1" s="10"/>
      <c r="GKG1" s="10"/>
      <c r="GKH1" s="10"/>
      <c r="GKI1" s="10"/>
      <c r="GKJ1" s="10"/>
      <c r="GKK1" s="10"/>
      <c r="GKL1" s="10"/>
      <c r="GKM1" s="10"/>
      <c r="GKN1" s="10"/>
      <c r="GKO1" s="10"/>
      <c r="GKP1" s="10"/>
      <c r="GKQ1" s="10"/>
      <c r="GKR1" s="10"/>
      <c r="GKS1" s="10"/>
      <c r="GKT1" s="10"/>
      <c r="GKU1" s="10"/>
      <c r="GKV1" s="10"/>
      <c r="GKW1" s="10"/>
      <c r="GKX1" s="10"/>
      <c r="GKY1" s="10"/>
      <c r="GKZ1" s="10"/>
      <c r="GLA1" s="10"/>
      <c r="GLB1" s="10"/>
      <c r="GLC1" s="10"/>
      <c r="GLD1" s="10"/>
      <c r="GLE1" s="10"/>
      <c r="GLF1" s="10"/>
      <c r="GLG1" s="10"/>
      <c r="GLH1" s="10"/>
      <c r="GLI1" s="10"/>
      <c r="GLJ1" s="10"/>
      <c r="GLK1" s="10"/>
      <c r="GLL1" s="10"/>
      <c r="GLM1" s="10"/>
      <c r="GLN1" s="10"/>
      <c r="GLO1" s="10"/>
      <c r="GLP1" s="10"/>
      <c r="GLQ1" s="10"/>
      <c r="GLR1" s="10"/>
      <c r="GLS1" s="10"/>
      <c r="GLT1" s="10"/>
      <c r="GLU1" s="10"/>
      <c r="GLV1" s="10"/>
      <c r="GLW1" s="10"/>
      <c r="GLX1" s="10"/>
      <c r="GLY1" s="10"/>
      <c r="GLZ1" s="10"/>
      <c r="GMA1" s="10"/>
      <c r="GMB1" s="10"/>
      <c r="GMC1" s="10"/>
      <c r="GMD1" s="10"/>
      <c r="GME1" s="10"/>
      <c r="GMF1" s="10"/>
      <c r="GMG1" s="10"/>
      <c r="GMH1" s="10"/>
      <c r="GMI1" s="10"/>
      <c r="GMJ1" s="10"/>
      <c r="GMK1" s="10"/>
      <c r="GML1" s="10"/>
      <c r="GMM1" s="10"/>
      <c r="GMN1" s="10"/>
      <c r="GMO1" s="10"/>
      <c r="GMP1" s="10"/>
      <c r="GMQ1" s="10"/>
      <c r="GMR1" s="10"/>
      <c r="GMS1" s="10"/>
      <c r="GMT1" s="10"/>
      <c r="GMU1" s="10"/>
      <c r="GMV1" s="10"/>
      <c r="GMW1" s="10"/>
      <c r="GMX1" s="10"/>
      <c r="GMY1" s="10"/>
      <c r="GMZ1" s="10"/>
      <c r="GNA1" s="10"/>
      <c r="GNB1" s="10"/>
      <c r="GNC1" s="10"/>
      <c r="GND1" s="10"/>
      <c r="GNE1" s="10"/>
      <c r="GNF1" s="10"/>
      <c r="GNG1" s="10"/>
      <c r="GNH1" s="10"/>
      <c r="GNI1" s="10"/>
      <c r="GNJ1" s="10"/>
      <c r="GNK1" s="10"/>
      <c r="GNL1" s="10"/>
      <c r="GNM1" s="10"/>
      <c r="GNN1" s="10"/>
      <c r="GNO1" s="10"/>
      <c r="GNP1" s="10"/>
      <c r="GNQ1" s="10"/>
      <c r="GNR1" s="10"/>
      <c r="GNS1" s="10"/>
      <c r="GNT1" s="10"/>
      <c r="GNU1" s="10"/>
      <c r="GNV1" s="10"/>
      <c r="GNW1" s="10"/>
      <c r="GNX1" s="10"/>
      <c r="GNY1" s="10"/>
      <c r="GNZ1" s="10"/>
      <c r="GOA1" s="10"/>
      <c r="GOB1" s="10"/>
      <c r="GOC1" s="10"/>
      <c r="GOD1" s="10"/>
      <c r="GOE1" s="10"/>
      <c r="GOF1" s="10"/>
      <c r="GOG1" s="10"/>
      <c r="GOH1" s="10"/>
      <c r="GOI1" s="10"/>
      <c r="GOJ1" s="10"/>
      <c r="GOK1" s="10"/>
      <c r="GOL1" s="10"/>
      <c r="GOM1" s="10"/>
      <c r="GON1" s="10"/>
      <c r="GOO1" s="10"/>
      <c r="GOP1" s="10"/>
      <c r="GOQ1" s="10"/>
      <c r="GOR1" s="10"/>
      <c r="GOS1" s="10"/>
      <c r="GOT1" s="10"/>
      <c r="GOU1" s="10"/>
      <c r="GOV1" s="10"/>
      <c r="GOW1" s="10"/>
      <c r="GOX1" s="10"/>
      <c r="GOY1" s="10"/>
      <c r="GOZ1" s="10"/>
      <c r="GPA1" s="10"/>
      <c r="GPB1" s="10"/>
      <c r="GPC1" s="10"/>
      <c r="GPD1" s="10"/>
      <c r="GPE1" s="10"/>
      <c r="GPF1" s="10"/>
      <c r="GPG1" s="10"/>
      <c r="GPH1" s="10"/>
      <c r="GPI1" s="10"/>
      <c r="GPJ1" s="10"/>
      <c r="GPK1" s="10"/>
      <c r="GPL1" s="10"/>
      <c r="GPM1" s="10"/>
      <c r="GPN1" s="10"/>
      <c r="GPO1" s="10"/>
      <c r="GPP1" s="10"/>
      <c r="GPQ1" s="10"/>
      <c r="GPR1" s="10"/>
      <c r="GPS1" s="10"/>
      <c r="GPT1" s="10"/>
      <c r="GPU1" s="10"/>
      <c r="GPV1" s="10"/>
      <c r="GPW1" s="10"/>
      <c r="GPX1" s="10"/>
      <c r="GPY1" s="10"/>
      <c r="GPZ1" s="10"/>
      <c r="GQA1" s="10"/>
      <c r="GQB1" s="10"/>
      <c r="GQC1" s="10"/>
      <c r="GQD1" s="10"/>
      <c r="GQE1" s="10"/>
      <c r="GQF1" s="10"/>
      <c r="GQG1" s="10"/>
      <c r="GQH1" s="10"/>
      <c r="GQI1" s="10"/>
      <c r="GQJ1" s="10"/>
      <c r="GQK1" s="10"/>
      <c r="GQL1" s="10"/>
      <c r="GQM1" s="10"/>
      <c r="GQN1" s="10"/>
      <c r="GQO1" s="10"/>
      <c r="GQP1" s="10"/>
      <c r="GQQ1" s="10"/>
      <c r="GQR1" s="10"/>
      <c r="GQS1" s="10"/>
      <c r="GQT1" s="10"/>
      <c r="GQU1" s="10"/>
      <c r="GQV1" s="10"/>
      <c r="GQW1" s="10"/>
      <c r="GQX1" s="10"/>
      <c r="GQY1" s="10"/>
      <c r="GQZ1" s="10"/>
      <c r="GRA1" s="10"/>
      <c r="GRB1" s="10"/>
      <c r="GRC1" s="10"/>
      <c r="GRD1" s="10"/>
      <c r="GRE1" s="10"/>
      <c r="GRF1" s="10"/>
      <c r="GRG1" s="10"/>
      <c r="GRH1" s="10"/>
      <c r="GRI1" s="10"/>
      <c r="GRJ1" s="10"/>
      <c r="GRK1" s="10"/>
      <c r="GRL1" s="10"/>
      <c r="GRM1" s="10"/>
      <c r="GRN1" s="10"/>
      <c r="GRO1" s="10"/>
      <c r="GRP1" s="10"/>
      <c r="GRQ1" s="10"/>
      <c r="GRR1" s="10"/>
      <c r="GRS1" s="10"/>
      <c r="GRT1" s="10"/>
      <c r="GRU1" s="10"/>
      <c r="GRV1" s="10"/>
      <c r="GRW1" s="10"/>
      <c r="GRX1" s="10"/>
      <c r="GRY1" s="10"/>
      <c r="GRZ1" s="10"/>
      <c r="GSA1" s="10"/>
      <c r="GSB1" s="10"/>
      <c r="GSC1" s="10"/>
      <c r="GSD1" s="10"/>
      <c r="GSE1" s="10"/>
      <c r="GSF1" s="10"/>
      <c r="GSG1" s="10"/>
      <c r="GSH1" s="10"/>
      <c r="GSI1" s="10"/>
      <c r="GSJ1" s="10"/>
      <c r="GSK1" s="10"/>
      <c r="GSL1" s="10"/>
      <c r="GSM1" s="10"/>
      <c r="GSN1" s="10"/>
      <c r="GSO1" s="10"/>
      <c r="GSP1" s="10"/>
      <c r="GSQ1" s="10"/>
      <c r="GSR1" s="10"/>
      <c r="GSS1" s="10"/>
      <c r="GST1" s="10"/>
      <c r="GSU1" s="10"/>
      <c r="GSV1" s="10"/>
      <c r="GSW1" s="10"/>
      <c r="GSX1" s="10"/>
      <c r="GSY1" s="10"/>
      <c r="GSZ1" s="10"/>
      <c r="GTA1" s="10"/>
      <c r="GTB1" s="10"/>
      <c r="GTC1" s="10"/>
      <c r="GTD1" s="10"/>
      <c r="GTE1" s="10"/>
      <c r="GTF1" s="10"/>
      <c r="GTG1" s="10"/>
      <c r="GTH1" s="10"/>
      <c r="GTI1" s="10"/>
      <c r="GTJ1" s="10"/>
      <c r="GTK1" s="10"/>
      <c r="GTL1" s="10"/>
      <c r="GTM1" s="10"/>
      <c r="GTN1" s="10"/>
      <c r="GTO1" s="10"/>
      <c r="GTP1" s="10"/>
      <c r="GTQ1" s="10"/>
      <c r="GTR1" s="10"/>
      <c r="GTS1" s="10"/>
      <c r="GTT1" s="10"/>
      <c r="GTU1" s="10"/>
      <c r="GTV1" s="10"/>
      <c r="GTW1" s="10"/>
      <c r="GTX1" s="10"/>
      <c r="GTY1" s="10"/>
      <c r="GTZ1" s="10"/>
      <c r="GUA1" s="10"/>
      <c r="GUB1" s="10"/>
      <c r="GUC1" s="10"/>
      <c r="GUD1" s="10"/>
      <c r="GUE1" s="10"/>
      <c r="GUF1" s="10"/>
      <c r="GUG1" s="10"/>
      <c r="GUH1" s="10"/>
      <c r="GUI1" s="10"/>
      <c r="GUJ1" s="10"/>
      <c r="GUK1" s="10"/>
      <c r="GUL1" s="10"/>
      <c r="GUM1" s="10"/>
      <c r="GUN1" s="10"/>
      <c r="GUO1" s="10"/>
      <c r="GUP1" s="10"/>
      <c r="GUQ1" s="10"/>
      <c r="GUR1" s="10"/>
      <c r="GUS1" s="10"/>
      <c r="GUT1" s="10"/>
      <c r="GUU1" s="10"/>
      <c r="GUV1" s="10"/>
      <c r="GUW1" s="10"/>
      <c r="GUX1" s="10"/>
      <c r="GUY1" s="10"/>
      <c r="GUZ1" s="10"/>
      <c r="GVA1" s="10"/>
      <c r="GVB1" s="10"/>
      <c r="GVC1" s="10"/>
      <c r="GVD1" s="10"/>
      <c r="GVE1" s="10"/>
      <c r="GVF1" s="10"/>
      <c r="GVG1" s="10"/>
      <c r="GVH1" s="10"/>
      <c r="GVI1" s="10"/>
      <c r="GVJ1" s="10"/>
      <c r="GVK1" s="10"/>
      <c r="GVL1" s="10"/>
      <c r="GVM1" s="10"/>
      <c r="GVN1" s="10"/>
      <c r="GVO1" s="10"/>
      <c r="GVP1" s="10"/>
      <c r="GVQ1" s="10"/>
      <c r="GVR1" s="10"/>
      <c r="GVS1" s="10"/>
      <c r="GVT1" s="10"/>
      <c r="GVU1" s="10"/>
      <c r="GVV1" s="10"/>
      <c r="GVW1" s="10"/>
      <c r="GVX1" s="10"/>
      <c r="GVY1" s="10"/>
      <c r="GVZ1" s="10"/>
      <c r="GWA1" s="10"/>
      <c r="GWB1" s="10"/>
      <c r="GWC1" s="10"/>
      <c r="GWD1" s="10"/>
      <c r="GWE1" s="10"/>
      <c r="GWF1" s="10"/>
      <c r="GWG1" s="10"/>
      <c r="GWH1" s="10"/>
      <c r="GWI1" s="10"/>
      <c r="GWJ1" s="10"/>
      <c r="GWK1" s="10"/>
      <c r="GWL1" s="10"/>
      <c r="GWM1" s="10"/>
      <c r="GWN1" s="10"/>
      <c r="GWO1" s="10"/>
      <c r="GWP1" s="10"/>
      <c r="GWQ1" s="10"/>
      <c r="GWR1" s="10"/>
      <c r="GWS1" s="10"/>
      <c r="GWT1" s="10"/>
      <c r="GWU1" s="10"/>
      <c r="GWV1" s="10"/>
      <c r="GWW1" s="10"/>
      <c r="GWX1" s="10"/>
      <c r="GWY1" s="10"/>
      <c r="GWZ1" s="10"/>
      <c r="GXA1" s="10"/>
      <c r="GXB1" s="10"/>
      <c r="GXC1" s="10"/>
      <c r="GXD1" s="10"/>
      <c r="GXE1" s="10"/>
      <c r="GXF1" s="10"/>
      <c r="GXG1" s="10"/>
      <c r="GXH1" s="10"/>
      <c r="GXI1" s="10"/>
      <c r="GXJ1" s="10"/>
      <c r="GXK1" s="10"/>
      <c r="GXL1" s="10"/>
      <c r="GXM1" s="10"/>
      <c r="GXN1" s="10"/>
      <c r="GXO1" s="10"/>
      <c r="GXP1" s="10"/>
      <c r="GXQ1" s="10"/>
      <c r="GXR1" s="10"/>
      <c r="GXS1" s="10"/>
      <c r="GXT1" s="10"/>
      <c r="GXU1" s="10"/>
      <c r="GXV1" s="10"/>
      <c r="GXW1" s="10"/>
      <c r="GXX1" s="10"/>
      <c r="GXY1" s="10"/>
      <c r="GXZ1" s="10"/>
      <c r="GYA1" s="10"/>
      <c r="GYB1" s="10"/>
      <c r="GYC1" s="10"/>
      <c r="GYD1" s="10"/>
      <c r="GYE1" s="10"/>
      <c r="GYF1" s="10"/>
      <c r="GYG1" s="10"/>
      <c r="GYH1" s="10"/>
      <c r="GYI1" s="10"/>
      <c r="GYJ1" s="10"/>
      <c r="GYK1" s="10"/>
      <c r="GYL1" s="10"/>
      <c r="GYM1" s="10"/>
      <c r="GYN1" s="10"/>
      <c r="GYO1" s="10"/>
      <c r="GYP1" s="10"/>
      <c r="GYQ1" s="10"/>
      <c r="GYR1" s="10"/>
      <c r="GYS1" s="10"/>
      <c r="GYT1" s="10"/>
      <c r="GYU1" s="10"/>
      <c r="GYV1" s="10"/>
      <c r="GYW1" s="10"/>
      <c r="GYX1" s="10"/>
      <c r="GYY1" s="10"/>
      <c r="GYZ1" s="10"/>
      <c r="GZA1" s="10"/>
      <c r="GZB1" s="10"/>
      <c r="GZC1" s="10"/>
      <c r="GZD1" s="10"/>
      <c r="GZE1" s="10"/>
      <c r="GZF1" s="10"/>
      <c r="GZG1" s="10"/>
      <c r="GZH1" s="10"/>
      <c r="GZI1" s="10"/>
      <c r="GZJ1" s="10"/>
      <c r="GZK1" s="10"/>
      <c r="GZL1" s="10"/>
      <c r="GZM1" s="10"/>
      <c r="GZN1" s="10"/>
      <c r="GZO1" s="10"/>
      <c r="GZP1" s="10"/>
      <c r="GZQ1" s="10"/>
      <c r="GZR1" s="10"/>
      <c r="GZS1" s="10"/>
      <c r="GZT1" s="10"/>
      <c r="GZU1" s="10"/>
      <c r="GZV1" s="10"/>
      <c r="GZW1" s="10"/>
      <c r="GZX1" s="10"/>
      <c r="GZY1" s="10"/>
      <c r="GZZ1" s="10"/>
      <c r="HAA1" s="10"/>
      <c r="HAB1" s="10"/>
      <c r="HAC1" s="10"/>
      <c r="HAD1" s="10"/>
      <c r="HAE1" s="10"/>
      <c r="HAF1" s="10"/>
      <c r="HAG1" s="10"/>
      <c r="HAH1" s="10"/>
      <c r="HAI1" s="10"/>
      <c r="HAJ1" s="10"/>
      <c r="HAK1" s="10"/>
      <c r="HAL1" s="10"/>
      <c r="HAM1" s="10"/>
      <c r="HAN1" s="10"/>
      <c r="HAO1" s="10"/>
      <c r="HAP1" s="10"/>
      <c r="HAQ1" s="10"/>
      <c r="HAR1" s="10"/>
      <c r="HAS1" s="10"/>
      <c r="HAT1" s="10"/>
      <c r="HAU1" s="10"/>
      <c r="HAV1" s="10"/>
      <c r="HAW1" s="10"/>
      <c r="HAX1" s="10"/>
      <c r="HAY1" s="10"/>
      <c r="HAZ1" s="10"/>
      <c r="HBA1" s="10"/>
      <c r="HBB1" s="10"/>
      <c r="HBC1" s="10"/>
      <c r="HBD1" s="10"/>
      <c r="HBE1" s="10"/>
      <c r="HBF1" s="10"/>
      <c r="HBG1" s="10"/>
      <c r="HBH1" s="10"/>
      <c r="HBI1" s="10"/>
      <c r="HBJ1" s="10"/>
      <c r="HBK1" s="10"/>
      <c r="HBL1" s="10"/>
      <c r="HBM1" s="10"/>
      <c r="HBN1" s="10"/>
      <c r="HBO1" s="10"/>
      <c r="HBP1" s="10"/>
      <c r="HBQ1" s="10"/>
      <c r="HBR1" s="10"/>
      <c r="HBS1" s="10"/>
      <c r="HBT1" s="10"/>
      <c r="HBU1" s="10"/>
      <c r="HBV1" s="10"/>
      <c r="HBW1" s="10"/>
      <c r="HBX1" s="10"/>
      <c r="HBY1" s="10"/>
      <c r="HBZ1" s="10"/>
      <c r="HCA1" s="10"/>
      <c r="HCB1" s="10"/>
      <c r="HCC1" s="10"/>
      <c r="HCD1" s="10"/>
      <c r="HCE1" s="10"/>
      <c r="HCF1" s="10"/>
      <c r="HCG1" s="10"/>
      <c r="HCH1" s="10"/>
      <c r="HCI1" s="10"/>
      <c r="HCJ1" s="10"/>
      <c r="HCK1" s="10"/>
      <c r="HCL1" s="10"/>
      <c r="HCM1" s="10"/>
      <c r="HCN1" s="10"/>
      <c r="HCO1" s="10"/>
      <c r="HCP1" s="10"/>
      <c r="HCQ1" s="10"/>
      <c r="HCR1" s="10"/>
      <c r="HCS1" s="10"/>
      <c r="HCT1" s="10"/>
      <c r="HCU1" s="10"/>
      <c r="HCV1" s="10"/>
      <c r="HCW1" s="10"/>
      <c r="HCX1" s="10"/>
      <c r="HCY1" s="10"/>
      <c r="HCZ1" s="10"/>
      <c r="HDA1" s="10"/>
      <c r="HDB1" s="10"/>
      <c r="HDC1" s="10"/>
      <c r="HDD1" s="10"/>
      <c r="HDE1" s="10"/>
      <c r="HDF1" s="10"/>
      <c r="HDG1" s="10"/>
      <c r="HDH1" s="10"/>
      <c r="HDI1" s="10"/>
      <c r="HDJ1" s="10"/>
      <c r="HDK1" s="10"/>
      <c r="HDL1" s="10"/>
      <c r="HDM1" s="10"/>
      <c r="HDN1" s="10"/>
      <c r="HDO1" s="10"/>
      <c r="HDP1" s="10"/>
      <c r="HDQ1" s="10"/>
      <c r="HDR1" s="10"/>
      <c r="HDS1" s="10"/>
      <c r="HDT1" s="10"/>
      <c r="HDU1" s="10"/>
      <c r="HDV1" s="10"/>
      <c r="HDW1" s="10"/>
      <c r="HDX1" s="10"/>
      <c r="HDY1" s="10"/>
      <c r="HDZ1" s="10"/>
      <c r="HEA1" s="10"/>
      <c r="HEB1" s="10"/>
      <c r="HEC1" s="10"/>
      <c r="HED1" s="10"/>
      <c r="HEE1" s="10"/>
      <c r="HEF1" s="10"/>
      <c r="HEG1" s="10"/>
      <c r="HEH1" s="10"/>
      <c r="HEI1" s="10"/>
      <c r="HEJ1" s="10"/>
      <c r="HEK1" s="10"/>
      <c r="HEL1" s="10"/>
      <c r="HEM1" s="10"/>
      <c r="HEN1" s="10"/>
      <c r="HEO1" s="10"/>
      <c r="HEP1" s="10"/>
      <c r="HEQ1" s="10"/>
      <c r="HER1" s="10"/>
      <c r="HES1" s="10"/>
      <c r="HET1" s="10"/>
      <c r="HEU1" s="10"/>
      <c r="HEV1" s="10"/>
      <c r="HEW1" s="10"/>
      <c r="HEX1" s="10"/>
      <c r="HEY1" s="10"/>
      <c r="HEZ1" s="10"/>
      <c r="HFA1" s="10"/>
      <c r="HFB1" s="10"/>
      <c r="HFC1" s="10"/>
      <c r="HFD1" s="10"/>
      <c r="HFE1" s="10"/>
      <c r="HFF1" s="10"/>
      <c r="HFG1" s="10"/>
      <c r="HFH1" s="10"/>
      <c r="HFI1" s="10"/>
      <c r="HFJ1" s="10"/>
      <c r="HFK1" s="10"/>
      <c r="HFL1" s="10"/>
      <c r="HFM1" s="10"/>
      <c r="HFN1" s="10"/>
      <c r="HFO1" s="10"/>
      <c r="HFP1" s="10"/>
      <c r="HFQ1" s="10"/>
      <c r="HFR1" s="10"/>
      <c r="HFS1" s="10"/>
      <c r="HFT1" s="10"/>
      <c r="HFU1" s="10"/>
      <c r="HFV1" s="10"/>
      <c r="HFW1" s="10"/>
      <c r="HFX1" s="10"/>
      <c r="HFY1" s="10"/>
      <c r="HFZ1" s="10"/>
      <c r="HGA1" s="10"/>
      <c r="HGB1" s="10"/>
      <c r="HGC1" s="10"/>
      <c r="HGD1" s="10"/>
      <c r="HGE1" s="10"/>
      <c r="HGF1" s="10"/>
      <c r="HGG1" s="10"/>
      <c r="HGH1" s="10"/>
      <c r="HGI1" s="10"/>
      <c r="HGJ1" s="10"/>
      <c r="HGK1" s="10"/>
      <c r="HGL1" s="10"/>
      <c r="HGM1" s="10"/>
      <c r="HGN1" s="10"/>
      <c r="HGO1" s="10"/>
      <c r="HGP1" s="10"/>
      <c r="HGQ1" s="10"/>
      <c r="HGR1" s="10"/>
      <c r="HGS1" s="10"/>
      <c r="HGT1" s="10"/>
      <c r="HGU1" s="10"/>
      <c r="HGV1" s="10"/>
      <c r="HGW1" s="10"/>
      <c r="HGX1" s="10"/>
      <c r="HGY1" s="10"/>
      <c r="HGZ1" s="10"/>
      <c r="HHA1" s="10"/>
      <c r="HHB1" s="10"/>
      <c r="HHC1" s="10"/>
      <c r="HHD1" s="10"/>
      <c r="HHE1" s="10"/>
      <c r="HHF1" s="10"/>
      <c r="HHG1" s="10"/>
      <c r="HHH1" s="10"/>
      <c r="HHI1" s="10"/>
      <c r="HHJ1" s="10"/>
      <c r="HHK1" s="10"/>
      <c r="HHL1" s="10"/>
      <c r="HHM1" s="10"/>
      <c r="HHN1" s="10"/>
      <c r="HHO1" s="10"/>
      <c r="HHP1" s="10"/>
      <c r="HHQ1" s="10"/>
      <c r="HHR1" s="10"/>
      <c r="HHS1" s="10"/>
      <c r="HHT1" s="10"/>
      <c r="HHU1" s="10"/>
      <c r="HHV1" s="10"/>
      <c r="HHW1" s="10"/>
      <c r="HHX1" s="10"/>
      <c r="HHY1" s="10"/>
      <c r="HHZ1" s="10"/>
      <c r="HIA1" s="10"/>
      <c r="HIB1" s="10"/>
      <c r="HIC1" s="10"/>
      <c r="HID1" s="10"/>
      <c r="HIE1" s="10"/>
      <c r="HIF1" s="10"/>
      <c r="HIG1" s="10"/>
      <c r="HIH1" s="10"/>
      <c r="HII1" s="10"/>
      <c r="HIJ1" s="10"/>
      <c r="HIK1" s="10"/>
      <c r="HIL1" s="10"/>
      <c r="HIM1" s="10"/>
      <c r="HIN1" s="10"/>
      <c r="HIO1" s="10"/>
      <c r="HIP1" s="10"/>
      <c r="HIQ1" s="10"/>
      <c r="HIR1" s="10"/>
      <c r="HIS1" s="10"/>
      <c r="HIT1" s="10"/>
      <c r="HIU1" s="10"/>
      <c r="HIV1" s="10"/>
      <c r="HIW1" s="10"/>
      <c r="HIX1" s="10"/>
      <c r="HIY1" s="10"/>
      <c r="HIZ1" s="10"/>
      <c r="HJA1" s="10"/>
      <c r="HJB1" s="10"/>
      <c r="HJC1" s="10"/>
      <c r="HJD1" s="10"/>
      <c r="HJE1" s="10"/>
      <c r="HJF1" s="10"/>
      <c r="HJG1" s="10"/>
      <c r="HJH1" s="10"/>
      <c r="HJI1" s="10"/>
      <c r="HJJ1" s="10"/>
      <c r="HJK1" s="10"/>
      <c r="HJL1" s="10"/>
      <c r="HJM1" s="10"/>
      <c r="HJN1" s="10"/>
      <c r="HJO1" s="10"/>
      <c r="HJP1" s="10"/>
      <c r="HJQ1" s="10"/>
      <c r="HJR1" s="10"/>
      <c r="HJS1" s="10"/>
      <c r="HJT1" s="10"/>
      <c r="HJU1" s="10"/>
      <c r="HJV1" s="10"/>
      <c r="HJW1" s="10"/>
      <c r="HJX1" s="10"/>
      <c r="HJY1" s="10"/>
      <c r="HJZ1" s="10"/>
      <c r="HKA1" s="10"/>
      <c r="HKB1" s="10"/>
      <c r="HKC1" s="10"/>
      <c r="HKD1" s="10"/>
      <c r="HKE1" s="10"/>
      <c r="HKF1" s="10"/>
      <c r="HKG1" s="10"/>
      <c r="HKH1" s="10"/>
      <c r="HKI1" s="10"/>
      <c r="HKJ1" s="10"/>
      <c r="HKK1" s="10"/>
      <c r="HKL1" s="10"/>
      <c r="HKM1" s="10"/>
      <c r="HKN1" s="10"/>
      <c r="HKO1" s="10"/>
      <c r="HKP1" s="10"/>
      <c r="HKQ1" s="10"/>
      <c r="HKR1" s="10"/>
      <c r="HKS1" s="10"/>
      <c r="HKT1" s="10"/>
      <c r="HKU1" s="10"/>
      <c r="HKV1" s="10"/>
      <c r="HKW1" s="10"/>
      <c r="HKX1" s="10"/>
      <c r="HKY1" s="10"/>
      <c r="HKZ1" s="10"/>
      <c r="HLA1" s="10"/>
      <c r="HLB1" s="10"/>
      <c r="HLC1" s="10"/>
      <c r="HLD1" s="10"/>
      <c r="HLE1" s="10"/>
      <c r="HLF1" s="10"/>
      <c r="HLG1" s="10"/>
      <c r="HLH1" s="10"/>
      <c r="HLI1" s="10"/>
      <c r="HLJ1" s="10"/>
      <c r="HLK1" s="10"/>
      <c r="HLL1" s="10"/>
      <c r="HLM1" s="10"/>
      <c r="HLN1" s="10"/>
      <c r="HLO1" s="10"/>
      <c r="HLP1" s="10"/>
      <c r="HLQ1" s="10"/>
      <c r="HLR1" s="10"/>
      <c r="HLS1" s="10"/>
      <c r="HLT1" s="10"/>
      <c r="HLU1" s="10"/>
      <c r="HLV1" s="10"/>
      <c r="HLW1" s="10"/>
      <c r="HLX1" s="10"/>
      <c r="HLY1" s="10"/>
      <c r="HLZ1" s="10"/>
      <c r="HMA1" s="10"/>
      <c r="HMB1" s="10"/>
      <c r="HMC1" s="10"/>
      <c r="HMD1" s="10"/>
      <c r="HME1" s="10"/>
      <c r="HMF1" s="10"/>
      <c r="HMG1" s="10"/>
      <c r="HMH1" s="10"/>
      <c r="HMI1" s="10"/>
      <c r="HMJ1" s="10"/>
      <c r="HMK1" s="10"/>
      <c r="HML1" s="10"/>
      <c r="HMM1" s="10"/>
      <c r="HMN1" s="10"/>
      <c r="HMO1" s="10"/>
      <c r="HMP1" s="10"/>
      <c r="HMQ1" s="10"/>
      <c r="HMR1" s="10"/>
      <c r="HMS1" s="10"/>
      <c r="HMT1" s="10"/>
      <c r="HMU1" s="10"/>
      <c r="HMV1" s="10"/>
      <c r="HMW1" s="10"/>
      <c r="HMX1" s="10"/>
      <c r="HMY1" s="10"/>
      <c r="HMZ1" s="10"/>
      <c r="HNA1" s="10"/>
      <c r="HNB1" s="10"/>
      <c r="HNC1" s="10"/>
      <c r="HND1" s="10"/>
      <c r="HNE1" s="10"/>
      <c r="HNF1" s="10"/>
      <c r="HNG1" s="10"/>
      <c r="HNH1" s="10"/>
      <c r="HNI1" s="10"/>
      <c r="HNJ1" s="10"/>
      <c r="HNK1" s="10"/>
      <c r="HNL1" s="10"/>
      <c r="HNM1" s="10"/>
      <c r="HNN1" s="10"/>
      <c r="HNO1" s="10"/>
      <c r="HNP1" s="10"/>
      <c r="HNQ1" s="10"/>
      <c r="HNR1" s="10"/>
      <c r="HNS1" s="10"/>
      <c r="HNT1" s="10"/>
      <c r="HNU1" s="10"/>
      <c r="HNV1" s="10"/>
      <c r="HNW1" s="10"/>
      <c r="HNX1" s="10"/>
      <c r="HNY1" s="10"/>
      <c r="HNZ1" s="10"/>
      <c r="HOA1" s="10"/>
      <c r="HOB1" s="10"/>
      <c r="HOC1" s="10"/>
      <c r="HOD1" s="10"/>
      <c r="HOE1" s="10"/>
      <c r="HOF1" s="10"/>
      <c r="HOG1" s="10"/>
      <c r="HOH1" s="10"/>
      <c r="HOI1" s="10"/>
      <c r="HOJ1" s="10"/>
      <c r="HOK1" s="10"/>
      <c r="HOL1" s="10"/>
      <c r="HOM1" s="10"/>
      <c r="HON1" s="10"/>
      <c r="HOO1" s="10"/>
      <c r="HOP1" s="10"/>
      <c r="HOQ1" s="10"/>
      <c r="HOR1" s="10"/>
      <c r="HOS1" s="10"/>
      <c r="HOT1" s="10"/>
      <c r="HOU1" s="10"/>
      <c r="HOV1" s="10"/>
      <c r="HOW1" s="10"/>
      <c r="HOX1" s="10"/>
      <c r="HOY1" s="10"/>
      <c r="HOZ1" s="10"/>
      <c r="HPA1" s="10"/>
      <c r="HPB1" s="10"/>
      <c r="HPC1" s="10"/>
      <c r="HPD1" s="10"/>
      <c r="HPE1" s="10"/>
      <c r="HPF1" s="10"/>
      <c r="HPG1" s="10"/>
      <c r="HPH1" s="10"/>
      <c r="HPI1" s="10"/>
      <c r="HPJ1" s="10"/>
      <c r="HPK1" s="10"/>
      <c r="HPL1" s="10"/>
      <c r="HPM1" s="10"/>
      <c r="HPN1" s="10"/>
      <c r="HPO1" s="10"/>
      <c r="HPP1" s="10"/>
      <c r="HPQ1" s="10"/>
      <c r="HPR1" s="10"/>
      <c r="HPS1" s="10"/>
      <c r="HPT1" s="10"/>
      <c r="HPU1" s="10"/>
      <c r="HPV1" s="10"/>
      <c r="HPW1" s="10"/>
      <c r="HPX1" s="10"/>
      <c r="HPY1" s="10"/>
      <c r="HPZ1" s="10"/>
      <c r="HQA1" s="10"/>
      <c r="HQB1" s="10"/>
      <c r="HQC1" s="10"/>
      <c r="HQD1" s="10"/>
      <c r="HQE1" s="10"/>
      <c r="HQF1" s="10"/>
      <c r="HQG1" s="10"/>
      <c r="HQH1" s="10"/>
      <c r="HQI1" s="10"/>
      <c r="HQJ1" s="10"/>
      <c r="HQK1" s="10"/>
      <c r="HQL1" s="10"/>
      <c r="HQM1" s="10"/>
      <c r="HQN1" s="10"/>
      <c r="HQO1" s="10"/>
      <c r="HQP1" s="10"/>
      <c r="HQQ1" s="10"/>
      <c r="HQR1" s="10"/>
      <c r="HQS1" s="10"/>
      <c r="HQT1" s="10"/>
      <c r="HQU1" s="10"/>
      <c r="HQV1" s="10"/>
      <c r="HQW1" s="10"/>
      <c r="HQX1" s="10"/>
      <c r="HQY1" s="10"/>
      <c r="HQZ1" s="10"/>
      <c r="HRA1" s="10"/>
      <c r="HRB1" s="10"/>
      <c r="HRC1" s="10"/>
      <c r="HRD1" s="10"/>
      <c r="HRE1" s="10"/>
      <c r="HRF1" s="10"/>
      <c r="HRG1" s="10"/>
      <c r="HRH1" s="10"/>
      <c r="HRI1" s="10"/>
      <c r="HRJ1" s="10"/>
      <c r="HRK1" s="10"/>
      <c r="HRL1" s="10"/>
      <c r="HRM1" s="10"/>
      <c r="HRN1" s="10"/>
      <c r="HRO1" s="10"/>
      <c r="HRP1" s="10"/>
      <c r="HRQ1" s="10"/>
      <c r="HRR1" s="10"/>
      <c r="HRS1" s="10"/>
      <c r="HRT1" s="10"/>
      <c r="HRU1" s="10"/>
      <c r="HRV1" s="10"/>
      <c r="HRW1" s="10"/>
      <c r="HRX1" s="10"/>
      <c r="HRY1" s="10"/>
      <c r="HRZ1" s="10"/>
      <c r="HSA1" s="10"/>
      <c r="HSB1" s="10"/>
      <c r="HSC1" s="10"/>
      <c r="HSD1" s="10"/>
      <c r="HSE1" s="10"/>
      <c r="HSF1" s="10"/>
      <c r="HSG1" s="10"/>
      <c r="HSH1" s="10"/>
      <c r="HSI1" s="10"/>
      <c r="HSJ1" s="10"/>
      <c r="HSK1" s="10"/>
      <c r="HSL1" s="10"/>
      <c r="HSM1" s="10"/>
      <c r="HSN1" s="10"/>
      <c r="HSO1" s="10"/>
      <c r="HSP1" s="10"/>
      <c r="HSQ1" s="10"/>
      <c r="HSR1" s="10"/>
      <c r="HSS1" s="10"/>
      <c r="HST1" s="10"/>
      <c r="HSU1" s="10"/>
      <c r="HSV1" s="10"/>
      <c r="HSW1" s="10"/>
      <c r="HSX1" s="10"/>
      <c r="HSY1" s="10"/>
      <c r="HSZ1" s="10"/>
      <c r="HTA1" s="10"/>
      <c r="HTB1" s="10"/>
      <c r="HTC1" s="10"/>
      <c r="HTD1" s="10"/>
      <c r="HTE1" s="10"/>
      <c r="HTF1" s="10"/>
      <c r="HTG1" s="10"/>
      <c r="HTH1" s="10"/>
      <c r="HTI1" s="10"/>
      <c r="HTJ1" s="10"/>
      <c r="HTK1" s="10"/>
      <c r="HTL1" s="10"/>
      <c r="HTM1" s="10"/>
      <c r="HTN1" s="10"/>
      <c r="HTO1" s="10"/>
      <c r="HTP1" s="10"/>
      <c r="HTQ1" s="10"/>
      <c r="HTR1" s="10"/>
      <c r="HTS1" s="10"/>
      <c r="HTT1" s="10"/>
      <c r="HTU1" s="10"/>
      <c r="HTV1" s="10"/>
      <c r="HTW1" s="10"/>
      <c r="HTX1" s="10"/>
      <c r="HTY1" s="10"/>
      <c r="HTZ1" s="10"/>
      <c r="HUA1" s="10"/>
      <c r="HUB1" s="10"/>
      <c r="HUC1" s="10"/>
      <c r="HUD1" s="10"/>
      <c r="HUE1" s="10"/>
      <c r="HUF1" s="10"/>
      <c r="HUG1" s="10"/>
      <c r="HUH1" s="10"/>
      <c r="HUI1" s="10"/>
      <c r="HUJ1" s="10"/>
      <c r="HUK1" s="10"/>
      <c r="HUL1" s="10"/>
      <c r="HUM1" s="10"/>
      <c r="HUN1" s="10"/>
      <c r="HUO1" s="10"/>
      <c r="HUP1" s="10"/>
      <c r="HUQ1" s="10"/>
      <c r="HUR1" s="10"/>
      <c r="HUS1" s="10"/>
      <c r="HUT1" s="10"/>
      <c r="HUU1" s="10"/>
      <c r="HUV1" s="10"/>
      <c r="HUW1" s="10"/>
      <c r="HUX1" s="10"/>
      <c r="HUY1" s="10"/>
      <c r="HUZ1" s="10"/>
      <c r="HVA1" s="10"/>
      <c r="HVB1" s="10"/>
      <c r="HVC1" s="10"/>
      <c r="HVD1" s="10"/>
      <c r="HVE1" s="10"/>
      <c r="HVF1" s="10"/>
      <c r="HVG1" s="10"/>
      <c r="HVH1" s="10"/>
      <c r="HVI1" s="10"/>
      <c r="HVJ1" s="10"/>
      <c r="HVK1" s="10"/>
      <c r="HVL1" s="10"/>
      <c r="HVM1" s="10"/>
      <c r="HVN1" s="10"/>
      <c r="HVO1" s="10"/>
      <c r="HVP1" s="10"/>
      <c r="HVQ1" s="10"/>
      <c r="HVR1" s="10"/>
      <c r="HVS1" s="10"/>
      <c r="HVT1" s="10"/>
      <c r="HVU1" s="10"/>
      <c r="HVV1" s="10"/>
      <c r="HVW1" s="10"/>
      <c r="HVX1" s="10"/>
      <c r="HVY1" s="10"/>
      <c r="HVZ1" s="10"/>
      <c r="HWA1" s="10"/>
      <c r="HWB1" s="10"/>
      <c r="HWC1" s="10"/>
      <c r="HWD1" s="10"/>
      <c r="HWE1" s="10"/>
      <c r="HWF1" s="10"/>
      <c r="HWG1" s="10"/>
      <c r="HWH1" s="10"/>
      <c r="HWI1" s="10"/>
      <c r="HWJ1" s="10"/>
      <c r="HWK1" s="10"/>
      <c r="HWL1" s="10"/>
      <c r="HWM1" s="10"/>
      <c r="HWN1" s="10"/>
      <c r="HWO1" s="10"/>
      <c r="HWP1" s="10"/>
      <c r="HWQ1" s="10"/>
      <c r="HWR1" s="10"/>
      <c r="HWS1" s="10"/>
      <c r="HWT1" s="10"/>
      <c r="HWU1" s="10"/>
      <c r="HWV1" s="10"/>
      <c r="HWW1" s="10"/>
      <c r="HWX1" s="10"/>
      <c r="HWY1" s="10"/>
      <c r="HWZ1" s="10"/>
      <c r="HXA1" s="10"/>
      <c r="HXB1" s="10"/>
      <c r="HXC1" s="10"/>
      <c r="HXD1" s="10"/>
      <c r="HXE1" s="10"/>
      <c r="HXF1" s="10"/>
      <c r="HXG1" s="10"/>
      <c r="HXH1" s="10"/>
      <c r="HXI1" s="10"/>
      <c r="HXJ1" s="10"/>
      <c r="HXK1" s="10"/>
      <c r="HXL1" s="10"/>
      <c r="HXM1" s="10"/>
      <c r="HXN1" s="10"/>
      <c r="HXO1" s="10"/>
      <c r="HXP1" s="10"/>
      <c r="HXQ1" s="10"/>
      <c r="HXR1" s="10"/>
      <c r="HXS1" s="10"/>
      <c r="HXT1" s="10"/>
      <c r="HXU1" s="10"/>
      <c r="HXV1" s="10"/>
      <c r="HXW1" s="10"/>
      <c r="HXX1" s="10"/>
      <c r="HXY1" s="10"/>
      <c r="HXZ1" s="10"/>
      <c r="HYA1" s="10"/>
      <c r="HYB1" s="10"/>
      <c r="HYC1" s="10"/>
      <c r="HYD1" s="10"/>
      <c r="HYE1" s="10"/>
      <c r="HYF1" s="10"/>
      <c r="HYG1" s="10"/>
      <c r="HYH1" s="10"/>
      <c r="HYI1" s="10"/>
      <c r="HYJ1" s="10"/>
      <c r="HYK1" s="10"/>
      <c r="HYL1" s="10"/>
      <c r="HYM1" s="10"/>
      <c r="HYN1" s="10"/>
      <c r="HYO1" s="10"/>
      <c r="HYP1" s="10"/>
      <c r="HYQ1" s="10"/>
      <c r="HYR1" s="10"/>
      <c r="HYS1" s="10"/>
      <c r="HYT1" s="10"/>
      <c r="HYU1" s="10"/>
      <c r="HYV1" s="10"/>
      <c r="HYW1" s="10"/>
      <c r="HYX1" s="10"/>
      <c r="HYY1" s="10"/>
      <c r="HYZ1" s="10"/>
      <c r="HZA1" s="10"/>
      <c r="HZB1" s="10"/>
      <c r="HZC1" s="10"/>
      <c r="HZD1" s="10"/>
      <c r="HZE1" s="10"/>
      <c r="HZF1" s="10"/>
      <c r="HZG1" s="10"/>
      <c r="HZH1" s="10"/>
      <c r="HZI1" s="10"/>
      <c r="HZJ1" s="10"/>
      <c r="HZK1" s="10"/>
      <c r="HZL1" s="10"/>
      <c r="HZM1" s="10"/>
      <c r="HZN1" s="10"/>
      <c r="HZO1" s="10"/>
      <c r="HZP1" s="10"/>
      <c r="HZQ1" s="10"/>
      <c r="HZR1" s="10"/>
      <c r="HZS1" s="10"/>
      <c r="HZT1" s="10"/>
      <c r="HZU1" s="10"/>
      <c r="HZV1" s="10"/>
      <c r="HZW1" s="10"/>
      <c r="HZX1" s="10"/>
      <c r="HZY1" s="10"/>
      <c r="HZZ1" s="10"/>
      <c r="IAA1" s="10"/>
      <c r="IAB1" s="10"/>
      <c r="IAC1" s="10"/>
      <c r="IAD1" s="10"/>
      <c r="IAE1" s="10"/>
      <c r="IAF1" s="10"/>
      <c r="IAG1" s="10"/>
      <c r="IAH1" s="10"/>
      <c r="IAI1" s="10"/>
      <c r="IAJ1" s="10"/>
      <c r="IAK1" s="10"/>
      <c r="IAL1" s="10"/>
      <c r="IAM1" s="10"/>
      <c r="IAN1" s="10"/>
      <c r="IAO1" s="10"/>
      <c r="IAP1" s="10"/>
      <c r="IAQ1" s="10"/>
      <c r="IAR1" s="10"/>
      <c r="IAS1" s="10"/>
      <c r="IAT1" s="10"/>
      <c r="IAU1" s="10"/>
      <c r="IAV1" s="10"/>
      <c r="IAW1" s="10"/>
      <c r="IAX1" s="10"/>
      <c r="IAY1" s="10"/>
      <c r="IAZ1" s="10"/>
      <c r="IBA1" s="10"/>
      <c r="IBB1" s="10"/>
      <c r="IBC1" s="10"/>
      <c r="IBD1" s="10"/>
      <c r="IBE1" s="10"/>
      <c r="IBF1" s="10"/>
      <c r="IBG1" s="10"/>
      <c r="IBH1" s="10"/>
      <c r="IBI1" s="10"/>
      <c r="IBJ1" s="10"/>
      <c r="IBK1" s="10"/>
      <c r="IBL1" s="10"/>
      <c r="IBM1" s="10"/>
      <c r="IBN1" s="10"/>
      <c r="IBO1" s="10"/>
      <c r="IBP1" s="10"/>
      <c r="IBQ1" s="10"/>
      <c r="IBR1" s="10"/>
      <c r="IBS1" s="10"/>
      <c r="IBT1" s="10"/>
      <c r="IBU1" s="10"/>
      <c r="IBV1" s="10"/>
      <c r="IBW1" s="10"/>
      <c r="IBX1" s="10"/>
      <c r="IBY1" s="10"/>
      <c r="IBZ1" s="10"/>
      <c r="ICA1" s="10"/>
      <c r="ICB1" s="10"/>
      <c r="ICC1" s="10"/>
      <c r="ICD1" s="10"/>
      <c r="ICE1" s="10"/>
      <c r="ICF1" s="10"/>
      <c r="ICG1" s="10"/>
      <c r="ICH1" s="10"/>
      <c r="ICI1" s="10"/>
      <c r="ICJ1" s="10"/>
      <c r="ICK1" s="10"/>
      <c r="ICL1" s="10"/>
      <c r="ICM1" s="10"/>
      <c r="ICN1" s="10"/>
      <c r="ICO1" s="10"/>
      <c r="ICP1" s="10"/>
      <c r="ICQ1" s="10"/>
      <c r="ICR1" s="10"/>
      <c r="ICS1" s="10"/>
      <c r="ICT1" s="10"/>
      <c r="ICU1" s="10"/>
      <c r="ICV1" s="10"/>
      <c r="ICW1" s="10"/>
      <c r="ICX1" s="10"/>
      <c r="ICY1" s="10"/>
      <c r="ICZ1" s="10"/>
      <c r="IDA1" s="10"/>
      <c r="IDB1" s="10"/>
      <c r="IDC1" s="10"/>
      <c r="IDD1" s="10"/>
      <c r="IDE1" s="10"/>
      <c r="IDF1" s="10"/>
      <c r="IDG1" s="10"/>
      <c r="IDH1" s="10"/>
      <c r="IDI1" s="10"/>
      <c r="IDJ1" s="10"/>
      <c r="IDK1" s="10"/>
      <c r="IDL1" s="10"/>
      <c r="IDM1" s="10"/>
      <c r="IDN1" s="10"/>
      <c r="IDO1" s="10"/>
      <c r="IDP1" s="10"/>
      <c r="IDQ1" s="10"/>
      <c r="IDR1" s="10"/>
      <c r="IDS1" s="10"/>
      <c r="IDT1" s="10"/>
      <c r="IDU1" s="10"/>
      <c r="IDV1" s="10"/>
      <c r="IDW1" s="10"/>
      <c r="IDX1" s="10"/>
      <c r="IDY1" s="10"/>
      <c r="IDZ1" s="10"/>
      <c r="IEA1" s="10"/>
      <c r="IEB1" s="10"/>
      <c r="IEC1" s="10"/>
      <c r="IED1" s="10"/>
      <c r="IEE1" s="10"/>
      <c r="IEF1" s="10"/>
      <c r="IEG1" s="10"/>
      <c r="IEH1" s="10"/>
      <c r="IEI1" s="10"/>
      <c r="IEJ1" s="10"/>
      <c r="IEK1" s="10"/>
      <c r="IEL1" s="10"/>
      <c r="IEM1" s="10"/>
      <c r="IEN1" s="10"/>
      <c r="IEO1" s="10"/>
      <c r="IEP1" s="10"/>
      <c r="IEQ1" s="10"/>
      <c r="IER1" s="10"/>
      <c r="IES1" s="10"/>
      <c r="IET1" s="10"/>
      <c r="IEU1" s="10"/>
      <c r="IEV1" s="10"/>
      <c r="IEW1" s="10"/>
      <c r="IEX1" s="10"/>
      <c r="IEY1" s="10"/>
      <c r="IEZ1" s="10"/>
      <c r="IFA1" s="10"/>
      <c r="IFB1" s="10"/>
      <c r="IFC1" s="10"/>
      <c r="IFD1" s="10"/>
      <c r="IFE1" s="10"/>
      <c r="IFF1" s="10"/>
      <c r="IFG1" s="10"/>
      <c r="IFH1" s="10"/>
      <c r="IFI1" s="10"/>
      <c r="IFJ1" s="10"/>
      <c r="IFK1" s="10"/>
      <c r="IFL1" s="10"/>
      <c r="IFM1" s="10"/>
      <c r="IFN1" s="10"/>
      <c r="IFO1" s="10"/>
      <c r="IFP1" s="10"/>
      <c r="IFQ1" s="10"/>
      <c r="IFR1" s="10"/>
      <c r="IFS1" s="10"/>
      <c r="IFT1" s="10"/>
      <c r="IFU1" s="10"/>
      <c r="IFV1" s="10"/>
      <c r="IFW1" s="10"/>
      <c r="IFX1" s="10"/>
      <c r="IFY1" s="10"/>
      <c r="IFZ1" s="10"/>
      <c r="IGA1" s="10"/>
      <c r="IGB1" s="10"/>
      <c r="IGC1" s="10"/>
      <c r="IGD1" s="10"/>
      <c r="IGE1" s="10"/>
      <c r="IGF1" s="10"/>
      <c r="IGG1" s="10"/>
      <c r="IGH1" s="10"/>
      <c r="IGI1" s="10"/>
      <c r="IGJ1" s="10"/>
      <c r="IGK1" s="10"/>
      <c r="IGL1" s="10"/>
      <c r="IGM1" s="10"/>
      <c r="IGN1" s="10"/>
      <c r="IGO1" s="10"/>
      <c r="IGP1" s="10"/>
      <c r="IGQ1" s="10"/>
      <c r="IGR1" s="10"/>
      <c r="IGS1" s="10"/>
      <c r="IGT1" s="10"/>
      <c r="IGU1" s="10"/>
      <c r="IGV1" s="10"/>
      <c r="IGW1" s="10"/>
      <c r="IGX1" s="10"/>
      <c r="IGY1" s="10"/>
      <c r="IGZ1" s="10"/>
      <c r="IHA1" s="10"/>
      <c r="IHB1" s="10"/>
      <c r="IHC1" s="10"/>
      <c r="IHD1" s="10"/>
      <c r="IHE1" s="10"/>
      <c r="IHF1" s="10"/>
      <c r="IHG1" s="10"/>
      <c r="IHH1" s="10"/>
      <c r="IHI1" s="10"/>
      <c r="IHJ1" s="10"/>
      <c r="IHK1" s="10"/>
      <c r="IHL1" s="10"/>
      <c r="IHM1" s="10"/>
      <c r="IHN1" s="10"/>
      <c r="IHO1" s="10"/>
      <c r="IHP1" s="10"/>
      <c r="IHQ1" s="10"/>
      <c r="IHR1" s="10"/>
      <c r="IHS1" s="10"/>
      <c r="IHT1" s="10"/>
      <c r="IHU1" s="10"/>
      <c r="IHV1" s="10"/>
      <c r="IHW1" s="10"/>
      <c r="IHX1" s="10"/>
      <c r="IHY1" s="10"/>
      <c r="IHZ1" s="10"/>
      <c r="IIA1" s="10"/>
      <c r="IIB1" s="10"/>
      <c r="IIC1" s="10"/>
      <c r="IID1" s="10"/>
      <c r="IIE1" s="10"/>
      <c r="IIF1" s="10"/>
      <c r="IIG1" s="10"/>
      <c r="IIH1" s="10"/>
      <c r="III1" s="10"/>
      <c r="IIJ1" s="10"/>
      <c r="IIK1" s="10"/>
      <c r="IIL1" s="10"/>
      <c r="IIM1" s="10"/>
      <c r="IIN1" s="10"/>
      <c r="IIO1" s="10"/>
      <c r="IIP1" s="10"/>
      <c r="IIQ1" s="10"/>
      <c r="IIR1" s="10"/>
      <c r="IIS1" s="10"/>
      <c r="IIT1" s="10"/>
      <c r="IIU1" s="10"/>
      <c r="IIV1" s="10"/>
      <c r="IIW1" s="10"/>
      <c r="IIX1" s="10"/>
      <c r="IIY1" s="10"/>
      <c r="IIZ1" s="10"/>
      <c r="IJA1" s="10"/>
      <c r="IJB1" s="10"/>
      <c r="IJC1" s="10"/>
      <c r="IJD1" s="10"/>
      <c r="IJE1" s="10"/>
      <c r="IJF1" s="10"/>
      <c r="IJG1" s="10"/>
      <c r="IJH1" s="10"/>
      <c r="IJI1" s="10"/>
      <c r="IJJ1" s="10"/>
      <c r="IJK1" s="10"/>
      <c r="IJL1" s="10"/>
      <c r="IJM1" s="10"/>
      <c r="IJN1" s="10"/>
      <c r="IJO1" s="10"/>
      <c r="IJP1" s="10"/>
      <c r="IJQ1" s="10"/>
      <c r="IJR1" s="10"/>
      <c r="IJS1" s="10"/>
      <c r="IJT1" s="10"/>
      <c r="IJU1" s="10"/>
      <c r="IJV1" s="10"/>
      <c r="IJW1" s="10"/>
      <c r="IJX1" s="10"/>
      <c r="IJY1" s="10"/>
      <c r="IJZ1" s="10"/>
      <c r="IKA1" s="10"/>
      <c r="IKB1" s="10"/>
      <c r="IKC1" s="10"/>
      <c r="IKD1" s="10"/>
      <c r="IKE1" s="10"/>
      <c r="IKF1" s="10"/>
      <c r="IKG1" s="10"/>
      <c r="IKH1" s="10"/>
      <c r="IKI1" s="10"/>
      <c r="IKJ1" s="10"/>
      <c r="IKK1" s="10"/>
      <c r="IKL1" s="10"/>
      <c r="IKM1" s="10"/>
      <c r="IKN1" s="10"/>
      <c r="IKO1" s="10"/>
      <c r="IKP1" s="10"/>
      <c r="IKQ1" s="10"/>
      <c r="IKR1" s="10"/>
      <c r="IKS1" s="10"/>
      <c r="IKT1" s="10"/>
      <c r="IKU1" s="10"/>
      <c r="IKV1" s="10"/>
      <c r="IKW1" s="10"/>
      <c r="IKX1" s="10"/>
      <c r="IKY1" s="10"/>
      <c r="IKZ1" s="10"/>
      <c r="ILA1" s="10"/>
      <c r="ILB1" s="10"/>
      <c r="ILC1" s="10"/>
      <c r="ILD1" s="10"/>
      <c r="ILE1" s="10"/>
      <c r="ILF1" s="10"/>
      <c r="ILG1" s="10"/>
      <c r="ILH1" s="10"/>
      <c r="ILI1" s="10"/>
      <c r="ILJ1" s="10"/>
      <c r="ILK1" s="10"/>
      <c r="ILL1" s="10"/>
      <c r="ILM1" s="10"/>
      <c r="ILN1" s="10"/>
      <c r="ILO1" s="10"/>
      <c r="ILP1" s="10"/>
      <c r="ILQ1" s="10"/>
      <c r="ILR1" s="10"/>
      <c r="ILS1" s="10"/>
      <c r="ILT1" s="10"/>
      <c r="ILU1" s="10"/>
      <c r="ILV1" s="10"/>
      <c r="ILW1" s="10"/>
      <c r="ILX1" s="10"/>
      <c r="ILY1" s="10"/>
      <c r="ILZ1" s="10"/>
      <c r="IMA1" s="10"/>
      <c r="IMB1" s="10"/>
      <c r="IMC1" s="10"/>
      <c r="IMD1" s="10"/>
      <c r="IME1" s="10"/>
      <c r="IMF1" s="10"/>
      <c r="IMG1" s="10"/>
      <c r="IMH1" s="10"/>
      <c r="IMI1" s="10"/>
      <c r="IMJ1" s="10"/>
      <c r="IMK1" s="10"/>
      <c r="IML1" s="10"/>
      <c r="IMM1" s="10"/>
      <c r="IMN1" s="10"/>
      <c r="IMO1" s="10"/>
      <c r="IMP1" s="10"/>
      <c r="IMQ1" s="10"/>
      <c r="IMR1" s="10"/>
      <c r="IMS1" s="10"/>
      <c r="IMT1" s="10"/>
      <c r="IMU1" s="10"/>
      <c r="IMV1" s="10"/>
      <c r="IMW1" s="10"/>
      <c r="IMX1" s="10"/>
      <c r="IMY1" s="10"/>
      <c r="IMZ1" s="10"/>
      <c r="INA1" s="10"/>
      <c r="INB1" s="10"/>
      <c r="INC1" s="10"/>
      <c r="IND1" s="10"/>
      <c r="INE1" s="10"/>
      <c r="INF1" s="10"/>
      <c r="ING1" s="10"/>
      <c r="INH1" s="10"/>
      <c r="INI1" s="10"/>
      <c r="INJ1" s="10"/>
      <c r="INK1" s="10"/>
      <c r="INL1" s="10"/>
      <c r="INM1" s="10"/>
      <c r="INN1" s="10"/>
      <c r="INO1" s="10"/>
      <c r="INP1" s="10"/>
      <c r="INQ1" s="10"/>
      <c r="INR1" s="10"/>
      <c r="INS1" s="10"/>
      <c r="INT1" s="10"/>
      <c r="INU1" s="10"/>
      <c r="INV1" s="10"/>
      <c r="INW1" s="10"/>
      <c r="INX1" s="10"/>
      <c r="INY1" s="10"/>
      <c r="INZ1" s="10"/>
      <c r="IOA1" s="10"/>
      <c r="IOB1" s="10"/>
      <c r="IOC1" s="10"/>
      <c r="IOD1" s="10"/>
      <c r="IOE1" s="10"/>
      <c r="IOF1" s="10"/>
      <c r="IOG1" s="10"/>
      <c r="IOH1" s="10"/>
      <c r="IOI1" s="10"/>
      <c r="IOJ1" s="10"/>
      <c r="IOK1" s="10"/>
      <c r="IOL1" s="10"/>
      <c r="IOM1" s="10"/>
      <c r="ION1" s="10"/>
      <c r="IOO1" s="10"/>
      <c r="IOP1" s="10"/>
      <c r="IOQ1" s="10"/>
      <c r="IOR1" s="10"/>
      <c r="IOS1" s="10"/>
      <c r="IOT1" s="10"/>
      <c r="IOU1" s="10"/>
      <c r="IOV1" s="10"/>
      <c r="IOW1" s="10"/>
      <c r="IOX1" s="10"/>
      <c r="IOY1" s="10"/>
      <c r="IOZ1" s="10"/>
      <c r="IPA1" s="10"/>
      <c r="IPB1" s="10"/>
      <c r="IPC1" s="10"/>
      <c r="IPD1" s="10"/>
      <c r="IPE1" s="10"/>
      <c r="IPF1" s="10"/>
      <c r="IPG1" s="10"/>
      <c r="IPH1" s="10"/>
      <c r="IPI1" s="10"/>
      <c r="IPJ1" s="10"/>
      <c r="IPK1" s="10"/>
      <c r="IPL1" s="10"/>
      <c r="IPM1" s="10"/>
      <c r="IPN1" s="10"/>
      <c r="IPO1" s="10"/>
      <c r="IPP1" s="10"/>
      <c r="IPQ1" s="10"/>
      <c r="IPR1" s="10"/>
      <c r="IPS1" s="10"/>
      <c r="IPT1" s="10"/>
      <c r="IPU1" s="10"/>
      <c r="IPV1" s="10"/>
      <c r="IPW1" s="10"/>
      <c r="IPX1" s="10"/>
      <c r="IPY1" s="10"/>
      <c r="IPZ1" s="10"/>
      <c r="IQA1" s="10"/>
      <c r="IQB1" s="10"/>
      <c r="IQC1" s="10"/>
      <c r="IQD1" s="10"/>
      <c r="IQE1" s="10"/>
      <c r="IQF1" s="10"/>
      <c r="IQG1" s="10"/>
      <c r="IQH1" s="10"/>
      <c r="IQI1" s="10"/>
      <c r="IQJ1" s="10"/>
      <c r="IQK1" s="10"/>
      <c r="IQL1" s="10"/>
      <c r="IQM1" s="10"/>
      <c r="IQN1" s="10"/>
      <c r="IQO1" s="10"/>
      <c r="IQP1" s="10"/>
      <c r="IQQ1" s="10"/>
      <c r="IQR1" s="10"/>
      <c r="IQS1" s="10"/>
      <c r="IQT1" s="10"/>
      <c r="IQU1" s="10"/>
      <c r="IQV1" s="10"/>
      <c r="IQW1" s="10"/>
      <c r="IQX1" s="10"/>
      <c r="IQY1" s="10"/>
      <c r="IQZ1" s="10"/>
      <c r="IRA1" s="10"/>
      <c r="IRB1" s="10"/>
      <c r="IRC1" s="10"/>
      <c r="IRD1" s="10"/>
      <c r="IRE1" s="10"/>
      <c r="IRF1" s="10"/>
      <c r="IRG1" s="10"/>
      <c r="IRH1" s="10"/>
      <c r="IRI1" s="10"/>
      <c r="IRJ1" s="10"/>
      <c r="IRK1" s="10"/>
      <c r="IRL1" s="10"/>
      <c r="IRM1" s="10"/>
      <c r="IRN1" s="10"/>
      <c r="IRO1" s="10"/>
      <c r="IRP1" s="10"/>
      <c r="IRQ1" s="10"/>
      <c r="IRR1" s="10"/>
      <c r="IRS1" s="10"/>
      <c r="IRT1" s="10"/>
      <c r="IRU1" s="10"/>
      <c r="IRV1" s="10"/>
      <c r="IRW1" s="10"/>
      <c r="IRX1" s="10"/>
      <c r="IRY1" s="10"/>
      <c r="IRZ1" s="10"/>
      <c r="ISA1" s="10"/>
      <c r="ISB1" s="10"/>
      <c r="ISC1" s="10"/>
      <c r="ISD1" s="10"/>
      <c r="ISE1" s="10"/>
      <c r="ISF1" s="10"/>
      <c r="ISG1" s="10"/>
      <c r="ISH1" s="10"/>
      <c r="ISI1" s="10"/>
      <c r="ISJ1" s="10"/>
      <c r="ISK1" s="10"/>
      <c r="ISL1" s="10"/>
      <c r="ISM1" s="10"/>
      <c r="ISN1" s="10"/>
      <c r="ISO1" s="10"/>
      <c r="ISP1" s="10"/>
      <c r="ISQ1" s="10"/>
      <c r="ISR1" s="10"/>
      <c r="ISS1" s="10"/>
      <c r="IST1" s="10"/>
      <c r="ISU1" s="10"/>
      <c r="ISV1" s="10"/>
      <c r="ISW1" s="10"/>
      <c r="ISX1" s="10"/>
      <c r="ISY1" s="10"/>
      <c r="ISZ1" s="10"/>
      <c r="ITA1" s="10"/>
      <c r="ITB1" s="10"/>
      <c r="ITC1" s="10"/>
      <c r="ITD1" s="10"/>
      <c r="ITE1" s="10"/>
      <c r="ITF1" s="10"/>
      <c r="ITG1" s="10"/>
      <c r="ITH1" s="10"/>
      <c r="ITI1" s="10"/>
      <c r="ITJ1" s="10"/>
      <c r="ITK1" s="10"/>
      <c r="ITL1" s="10"/>
      <c r="ITM1" s="10"/>
      <c r="ITN1" s="10"/>
      <c r="ITO1" s="10"/>
      <c r="ITP1" s="10"/>
      <c r="ITQ1" s="10"/>
      <c r="ITR1" s="10"/>
      <c r="ITS1" s="10"/>
      <c r="ITT1" s="10"/>
      <c r="ITU1" s="10"/>
      <c r="ITV1" s="10"/>
      <c r="ITW1" s="10"/>
      <c r="ITX1" s="10"/>
      <c r="ITY1" s="10"/>
      <c r="ITZ1" s="10"/>
      <c r="IUA1" s="10"/>
      <c r="IUB1" s="10"/>
      <c r="IUC1" s="10"/>
      <c r="IUD1" s="10"/>
      <c r="IUE1" s="10"/>
      <c r="IUF1" s="10"/>
      <c r="IUG1" s="10"/>
      <c r="IUH1" s="10"/>
      <c r="IUI1" s="10"/>
      <c r="IUJ1" s="10"/>
      <c r="IUK1" s="10"/>
      <c r="IUL1" s="10"/>
      <c r="IUM1" s="10"/>
      <c r="IUN1" s="10"/>
      <c r="IUO1" s="10"/>
      <c r="IUP1" s="10"/>
      <c r="IUQ1" s="10"/>
      <c r="IUR1" s="10"/>
      <c r="IUS1" s="10"/>
      <c r="IUT1" s="10"/>
      <c r="IUU1" s="10"/>
      <c r="IUV1" s="10"/>
      <c r="IUW1" s="10"/>
      <c r="IUX1" s="10"/>
      <c r="IUY1" s="10"/>
      <c r="IUZ1" s="10"/>
      <c r="IVA1" s="10"/>
      <c r="IVB1" s="10"/>
      <c r="IVC1" s="10"/>
      <c r="IVD1" s="10"/>
      <c r="IVE1" s="10"/>
      <c r="IVF1" s="10"/>
      <c r="IVG1" s="10"/>
      <c r="IVH1" s="10"/>
      <c r="IVI1" s="10"/>
      <c r="IVJ1" s="10"/>
      <c r="IVK1" s="10"/>
      <c r="IVL1" s="10"/>
      <c r="IVM1" s="10"/>
      <c r="IVN1" s="10"/>
      <c r="IVO1" s="10"/>
      <c r="IVP1" s="10"/>
      <c r="IVQ1" s="10"/>
      <c r="IVR1" s="10"/>
      <c r="IVS1" s="10"/>
      <c r="IVT1" s="10"/>
      <c r="IVU1" s="10"/>
      <c r="IVV1" s="10"/>
      <c r="IVW1" s="10"/>
      <c r="IVX1" s="10"/>
      <c r="IVY1" s="10"/>
      <c r="IVZ1" s="10"/>
      <c r="IWA1" s="10"/>
      <c r="IWB1" s="10"/>
      <c r="IWC1" s="10"/>
      <c r="IWD1" s="10"/>
      <c r="IWE1" s="10"/>
      <c r="IWF1" s="10"/>
      <c r="IWG1" s="10"/>
      <c r="IWH1" s="10"/>
      <c r="IWI1" s="10"/>
      <c r="IWJ1" s="10"/>
      <c r="IWK1" s="10"/>
      <c r="IWL1" s="10"/>
      <c r="IWM1" s="10"/>
      <c r="IWN1" s="10"/>
      <c r="IWO1" s="10"/>
      <c r="IWP1" s="10"/>
      <c r="IWQ1" s="10"/>
      <c r="IWR1" s="10"/>
      <c r="IWS1" s="10"/>
      <c r="IWT1" s="10"/>
      <c r="IWU1" s="10"/>
      <c r="IWV1" s="10"/>
      <c r="IWW1" s="10"/>
      <c r="IWX1" s="10"/>
      <c r="IWY1" s="10"/>
      <c r="IWZ1" s="10"/>
      <c r="IXA1" s="10"/>
      <c r="IXB1" s="10"/>
      <c r="IXC1" s="10"/>
      <c r="IXD1" s="10"/>
      <c r="IXE1" s="10"/>
      <c r="IXF1" s="10"/>
      <c r="IXG1" s="10"/>
      <c r="IXH1" s="10"/>
      <c r="IXI1" s="10"/>
      <c r="IXJ1" s="10"/>
      <c r="IXK1" s="10"/>
      <c r="IXL1" s="10"/>
      <c r="IXM1" s="10"/>
      <c r="IXN1" s="10"/>
      <c r="IXO1" s="10"/>
      <c r="IXP1" s="10"/>
      <c r="IXQ1" s="10"/>
      <c r="IXR1" s="10"/>
      <c r="IXS1" s="10"/>
      <c r="IXT1" s="10"/>
      <c r="IXU1" s="10"/>
      <c r="IXV1" s="10"/>
      <c r="IXW1" s="10"/>
      <c r="IXX1" s="10"/>
      <c r="IXY1" s="10"/>
      <c r="IXZ1" s="10"/>
      <c r="IYA1" s="10"/>
      <c r="IYB1" s="10"/>
      <c r="IYC1" s="10"/>
      <c r="IYD1" s="10"/>
      <c r="IYE1" s="10"/>
      <c r="IYF1" s="10"/>
      <c r="IYG1" s="10"/>
      <c r="IYH1" s="10"/>
      <c r="IYI1" s="10"/>
      <c r="IYJ1" s="10"/>
      <c r="IYK1" s="10"/>
      <c r="IYL1" s="10"/>
      <c r="IYM1" s="10"/>
      <c r="IYN1" s="10"/>
      <c r="IYO1" s="10"/>
      <c r="IYP1" s="10"/>
      <c r="IYQ1" s="10"/>
      <c r="IYR1" s="10"/>
      <c r="IYS1" s="10"/>
      <c r="IYT1" s="10"/>
      <c r="IYU1" s="10"/>
      <c r="IYV1" s="10"/>
      <c r="IYW1" s="10"/>
      <c r="IYX1" s="10"/>
      <c r="IYY1" s="10"/>
      <c r="IYZ1" s="10"/>
      <c r="IZA1" s="10"/>
      <c r="IZB1" s="10"/>
      <c r="IZC1" s="10"/>
      <c r="IZD1" s="10"/>
      <c r="IZE1" s="10"/>
      <c r="IZF1" s="10"/>
      <c r="IZG1" s="10"/>
      <c r="IZH1" s="10"/>
      <c r="IZI1" s="10"/>
      <c r="IZJ1" s="10"/>
      <c r="IZK1" s="10"/>
      <c r="IZL1" s="10"/>
      <c r="IZM1" s="10"/>
      <c r="IZN1" s="10"/>
      <c r="IZO1" s="10"/>
      <c r="IZP1" s="10"/>
      <c r="IZQ1" s="10"/>
      <c r="IZR1" s="10"/>
      <c r="IZS1" s="10"/>
      <c r="IZT1" s="10"/>
      <c r="IZU1" s="10"/>
      <c r="IZV1" s="10"/>
      <c r="IZW1" s="10"/>
      <c r="IZX1" s="10"/>
      <c r="IZY1" s="10"/>
      <c r="IZZ1" s="10"/>
      <c r="JAA1" s="10"/>
      <c r="JAB1" s="10"/>
      <c r="JAC1" s="10"/>
      <c r="JAD1" s="10"/>
      <c r="JAE1" s="10"/>
      <c r="JAF1" s="10"/>
      <c r="JAG1" s="10"/>
      <c r="JAH1" s="10"/>
      <c r="JAI1" s="10"/>
      <c r="JAJ1" s="10"/>
      <c r="JAK1" s="10"/>
      <c r="JAL1" s="10"/>
      <c r="JAM1" s="10"/>
      <c r="JAN1" s="10"/>
      <c r="JAO1" s="10"/>
      <c r="JAP1" s="10"/>
      <c r="JAQ1" s="10"/>
      <c r="JAR1" s="10"/>
      <c r="JAS1" s="10"/>
      <c r="JAT1" s="10"/>
      <c r="JAU1" s="10"/>
      <c r="JAV1" s="10"/>
      <c r="JAW1" s="10"/>
      <c r="JAX1" s="10"/>
      <c r="JAY1" s="10"/>
      <c r="JAZ1" s="10"/>
      <c r="JBA1" s="10"/>
      <c r="JBB1" s="10"/>
      <c r="JBC1" s="10"/>
      <c r="JBD1" s="10"/>
      <c r="JBE1" s="10"/>
      <c r="JBF1" s="10"/>
      <c r="JBG1" s="10"/>
      <c r="JBH1" s="10"/>
      <c r="JBI1" s="10"/>
      <c r="JBJ1" s="10"/>
      <c r="JBK1" s="10"/>
      <c r="JBL1" s="10"/>
      <c r="JBM1" s="10"/>
      <c r="JBN1" s="10"/>
      <c r="JBO1" s="10"/>
      <c r="JBP1" s="10"/>
      <c r="JBQ1" s="10"/>
      <c r="JBR1" s="10"/>
      <c r="JBS1" s="10"/>
      <c r="JBT1" s="10"/>
      <c r="JBU1" s="10"/>
      <c r="JBV1" s="10"/>
      <c r="JBW1" s="10"/>
      <c r="JBX1" s="10"/>
      <c r="JBY1" s="10"/>
      <c r="JBZ1" s="10"/>
      <c r="JCA1" s="10"/>
      <c r="JCB1" s="10"/>
      <c r="JCC1" s="10"/>
      <c r="JCD1" s="10"/>
      <c r="JCE1" s="10"/>
      <c r="JCF1" s="10"/>
      <c r="JCG1" s="10"/>
      <c r="JCH1" s="10"/>
      <c r="JCI1" s="10"/>
      <c r="JCJ1" s="10"/>
      <c r="JCK1" s="10"/>
      <c r="JCL1" s="10"/>
      <c r="JCM1" s="10"/>
      <c r="JCN1" s="10"/>
      <c r="JCO1" s="10"/>
      <c r="JCP1" s="10"/>
      <c r="JCQ1" s="10"/>
      <c r="JCR1" s="10"/>
      <c r="JCS1" s="10"/>
      <c r="JCT1" s="10"/>
      <c r="JCU1" s="10"/>
      <c r="JCV1" s="10"/>
      <c r="JCW1" s="10"/>
      <c r="JCX1" s="10"/>
      <c r="JCY1" s="10"/>
      <c r="JCZ1" s="10"/>
      <c r="JDA1" s="10"/>
      <c r="JDB1" s="10"/>
      <c r="JDC1" s="10"/>
      <c r="JDD1" s="10"/>
      <c r="JDE1" s="10"/>
      <c r="JDF1" s="10"/>
      <c r="JDG1" s="10"/>
      <c r="JDH1" s="10"/>
      <c r="JDI1" s="10"/>
      <c r="JDJ1" s="10"/>
      <c r="JDK1" s="10"/>
      <c r="JDL1" s="10"/>
      <c r="JDM1" s="10"/>
      <c r="JDN1" s="10"/>
      <c r="JDO1" s="10"/>
      <c r="JDP1" s="10"/>
      <c r="JDQ1" s="10"/>
      <c r="JDR1" s="10"/>
      <c r="JDS1" s="10"/>
      <c r="JDT1" s="10"/>
      <c r="JDU1" s="10"/>
      <c r="JDV1" s="10"/>
      <c r="JDW1" s="10"/>
      <c r="JDX1" s="10"/>
      <c r="JDY1" s="10"/>
      <c r="JDZ1" s="10"/>
      <c r="JEA1" s="10"/>
      <c r="JEB1" s="10"/>
      <c r="JEC1" s="10"/>
      <c r="JED1" s="10"/>
      <c r="JEE1" s="10"/>
      <c r="JEF1" s="10"/>
      <c r="JEG1" s="10"/>
      <c r="JEH1" s="10"/>
      <c r="JEI1" s="10"/>
      <c r="JEJ1" s="10"/>
      <c r="JEK1" s="10"/>
      <c r="JEL1" s="10"/>
      <c r="JEM1" s="10"/>
      <c r="JEN1" s="10"/>
      <c r="JEO1" s="10"/>
      <c r="JEP1" s="10"/>
      <c r="JEQ1" s="10"/>
      <c r="JER1" s="10"/>
      <c r="JES1" s="10"/>
      <c r="JET1" s="10"/>
      <c r="JEU1" s="10"/>
      <c r="JEV1" s="10"/>
      <c r="JEW1" s="10"/>
      <c r="JEX1" s="10"/>
      <c r="JEY1" s="10"/>
      <c r="JEZ1" s="10"/>
      <c r="JFA1" s="10"/>
      <c r="JFB1" s="10"/>
      <c r="JFC1" s="10"/>
      <c r="JFD1" s="10"/>
      <c r="JFE1" s="10"/>
      <c r="JFF1" s="10"/>
      <c r="JFG1" s="10"/>
      <c r="JFH1" s="10"/>
      <c r="JFI1" s="10"/>
      <c r="JFJ1" s="10"/>
      <c r="JFK1" s="10"/>
      <c r="JFL1" s="10"/>
      <c r="JFM1" s="10"/>
      <c r="JFN1" s="10"/>
      <c r="JFO1" s="10"/>
      <c r="JFP1" s="10"/>
      <c r="JFQ1" s="10"/>
      <c r="JFR1" s="10"/>
      <c r="JFS1" s="10"/>
      <c r="JFT1" s="10"/>
      <c r="JFU1" s="10"/>
      <c r="JFV1" s="10"/>
      <c r="JFW1" s="10"/>
      <c r="JFX1" s="10"/>
      <c r="JFY1" s="10"/>
      <c r="JFZ1" s="10"/>
      <c r="JGA1" s="10"/>
      <c r="JGB1" s="10"/>
      <c r="JGC1" s="10"/>
      <c r="JGD1" s="10"/>
      <c r="JGE1" s="10"/>
      <c r="JGF1" s="10"/>
      <c r="JGG1" s="10"/>
      <c r="JGH1" s="10"/>
      <c r="JGI1" s="10"/>
      <c r="JGJ1" s="10"/>
      <c r="JGK1" s="10"/>
      <c r="JGL1" s="10"/>
      <c r="JGM1" s="10"/>
      <c r="JGN1" s="10"/>
      <c r="JGO1" s="10"/>
      <c r="JGP1" s="10"/>
      <c r="JGQ1" s="10"/>
      <c r="JGR1" s="10"/>
      <c r="JGS1" s="10"/>
      <c r="JGT1" s="10"/>
      <c r="JGU1" s="10"/>
      <c r="JGV1" s="10"/>
      <c r="JGW1" s="10"/>
      <c r="JGX1" s="10"/>
      <c r="JGY1" s="10"/>
      <c r="JGZ1" s="10"/>
      <c r="JHA1" s="10"/>
      <c r="JHB1" s="10"/>
      <c r="JHC1" s="10"/>
      <c r="JHD1" s="10"/>
      <c r="JHE1" s="10"/>
      <c r="JHF1" s="10"/>
      <c r="JHG1" s="10"/>
      <c r="JHH1" s="10"/>
      <c r="JHI1" s="10"/>
      <c r="JHJ1" s="10"/>
      <c r="JHK1" s="10"/>
      <c r="JHL1" s="10"/>
      <c r="JHM1" s="10"/>
      <c r="JHN1" s="10"/>
      <c r="JHO1" s="10"/>
      <c r="JHP1" s="10"/>
      <c r="JHQ1" s="10"/>
      <c r="JHR1" s="10"/>
      <c r="JHS1" s="10"/>
      <c r="JHT1" s="10"/>
      <c r="JHU1" s="10"/>
      <c r="JHV1" s="10"/>
      <c r="JHW1" s="10"/>
      <c r="JHX1" s="10"/>
      <c r="JHY1" s="10"/>
      <c r="JHZ1" s="10"/>
      <c r="JIA1" s="10"/>
      <c r="JIB1" s="10"/>
      <c r="JIC1" s="10"/>
      <c r="JID1" s="10"/>
      <c r="JIE1" s="10"/>
      <c r="JIF1" s="10"/>
      <c r="JIG1" s="10"/>
      <c r="JIH1" s="10"/>
      <c r="JII1" s="10"/>
      <c r="JIJ1" s="10"/>
      <c r="JIK1" s="10"/>
      <c r="JIL1" s="10"/>
      <c r="JIM1" s="10"/>
      <c r="JIN1" s="10"/>
      <c r="JIO1" s="10"/>
      <c r="JIP1" s="10"/>
      <c r="JIQ1" s="10"/>
      <c r="JIR1" s="10"/>
      <c r="JIS1" s="10"/>
      <c r="JIT1" s="10"/>
      <c r="JIU1" s="10"/>
      <c r="JIV1" s="10"/>
      <c r="JIW1" s="10"/>
      <c r="JIX1" s="10"/>
      <c r="JIY1" s="10"/>
      <c r="JIZ1" s="10"/>
      <c r="JJA1" s="10"/>
      <c r="JJB1" s="10"/>
      <c r="JJC1" s="10"/>
      <c r="JJD1" s="10"/>
      <c r="JJE1" s="10"/>
      <c r="JJF1" s="10"/>
      <c r="JJG1" s="10"/>
      <c r="JJH1" s="10"/>
      <c r="JJI1" s="10"/>
      <c r="JJJ1" s="10"/>
      <c r="JJK1" s="10"/>
      <c r="JJL1" s="10"/>
      <c r="JJM1" s="10"/>
      <c r="JJN1" s="10"/>
      <c r="JJO1" s="10"/>
      <c r="JJP1" s="10"/>
      <c r="JJQ1" s="10"/>
      <c r="JJR1" s="10"/>
      <c r="JJS1" s="10"/>
      <c r="JJT1" s="10"/>
      <c r="JJU1" s="10"/>
      <c r="JJV1" s="10"/>
      <c r="JJW1" s="10"/>
      <c r="JJX1" s="10"/>
      <c r="JJY1" s="10"/>
      <c r="JJZ1" s="10"/>
      <c r="JKA1" s="10"/>
      <c r="JKB1" s="10"/>
      <c r="JKC1" s="10"/>
      <c r="JKD1" s="10"/>
      <c r="JKE1" s="10"/>
      <c r="JKF1" s="10"/>
      <c r="JKG1" s="10"/>
      <c r="JKH1" s="10"/>
      <c r="JKI1" s="10"/>
      <c r="JKJ1" s="10"/>
      <c r="JKK1" s="10"/>
      <c r="JKL1" s="10"/>
      <c r="JKM1" s="10"/>
      <c r="JKN1" s="10"/>
      <c r="JKO1" s="10"/>
      <c r="JKP1" s="10"/>
      <c r="JKQ1" s="10"/>
      <c r="JKR1" s="10"/>
      <c r="JKS1" s="10"/>
      <c r="JKT1" s="10"/>
      <c r="JKU1" s="10"/>
      <c r="JKV1" s="10"/>
      <c r="JKW1" s="10"/>
      <c r="JKX1" s="10"/>
      <c r="JKY1" s="10"/>
      <c r="JKZ1" s="10"/>
      <c r="JLA1" s="10"/>
      <c r="JLB1" s="10"/>
      <c r="JLC1" s="10"/>
      <c r="JLD1" s="10"/>
      <c r="JLE1" s="10"/>
      <c r="JLF1" s="10"/>
      <c r="JLG1" s="10"/>
      <c r="JLH1" s="10"/>
      <c r="JLI1" s="10"/>
      <c r="JLJ1" s="10"/>
      <c r="JLK1" s="10"/>
      <c r="JLL1" s="10"/>
      <c r="JLM1" s="10"/>
      <c r="JLN1" s="10"/>
      <c r="JLO1" s="10"/>
      <c r="JLP1" s="10"/>
      <c r="JLQ1" s="10"/>
      <c r="JLR1" s="10"/>
      <c r="JLS1" s="10"/>
      <c r="JLT1" s="10"/>
      <c r="JLU1" s="10"/>
      <c r="JLV1" s="10"/>
      <c r="JLW1" s="10"/>
      <c r="JLX1" s="10"/>
      <c r="JLY1" s="10"/>
      <c r="JLZ1" s="10"/>
      <c r="JMA1" s="10"/>
      <c r="JMB1" s="10"/>
      <c r="JMC1" s="10"/>
      <c r="JMD1" s="10"/>
      <c r="JME1" s="10"/>
      <c r="JMF1" s="10"/>
      <c r="JMG1" s="10"/>
      <c r="JMH1" s="10"/>
      <c r="JMI1" s="10"/>
      <c r="JMJ1" s="10"/>
      <c r="JMK1" s="10"/>
      <c r="JML1" s="10"/>
      <c r="JMM1" s="10"/>
      <c r="JMN1" s="10"/>
      <c r="JMO1" s="10"/>
      <c r="JMP1" s="10"/>
      <c r="JMQ1" s="10"/>
      <c r="JMR1" s="10"/>
      <c r="JMS1" s="10"/>
      <c r="JMT1" s="10"/>
      <c r="JMU1" s="10"/>
      <c r="JMV1" s="10"/>
      <c r="JMW1" s="10"/>
      <c r="JMX1" s="10"/>
      <c r="JMY1" s="10"/>
      <c r="JMZ1" s="10"/>
      <c r="JNA1" s="10"/>
      <c r="JNB1" s="10"/>
      <c r="JNC1" s="10"/>
      <c r="JND1" s="10"/>
      <c r="JNE1" s="10"/>
      <c r="JNF1" s="10"/>
      <c r="JNG1" s="10"/>
      <c r="JNH1" s="10"/>
      <c r="JNI1" s="10"/>
      <c r="JNJ1" s="10"/>
      <c r="JNK1" s="10"/>
      <c r="JNL1" s="10"/>
      <c r="JNM1" s="10"/>
      <c r="JNN1" s="10"/>
      <c r="JNO1" s="10"/>
      <c r="JNP1" s="10"/>
      <c r="JNQ1" s="10"/>
      <c r="JNR1" s="10"/>
      <c r="JNS1" s="10"/>
      <c r="JNT1" s="10"/>
      <c r="JNU1" s="10"/>
      <c r="JNV1" s="10"/>
      <c r="JNW1" s="10"/>
      <c r="JNX1" s="10"/>
      <c r="JNY1" s="10"/>
      <c r="JNZ1" s="10"/>
      <c r="JOA1" s="10"/>
      <c r="JOB1" s="10"/>
      <c r="JOC1" s="10"/>
      <c r="JOD1" s="10"/>
      <c r="JOE1" s="10"/>
      <c r="JOF1" s="10"/>
      <c r="JOG1" s="10"/>
      <c r="JOH1" s="10"/>
      <c r="JOI1" s="10"/>
      <c r="JOJ1" s="10"/>
      <c r="JOK1" s="10"/>
      <c r="JOL1" s="10"/>
      <c r="JOM1" s="10"/>
      <c r="JON1" s="10"/>
      <c r="JOO1" s="10"/>
      <c r="JOP1" s="10"/>
      <c r="JOQ1" s="10"/>
      <c r="JOR1" s="10"/>
      <c r="JOS1" s="10"/>
      <c r="JOT1" s="10"/>
      <c r="JOU1" s="10"/>
      <c r="JOV1" s="10"/>
      <c r="JOW1" s="10"/>
      <c r="JOX1" s="10"/>
      <c r="JOY1" s="10"/>
      <c r="JOZ1" s="10"/>
      <c r="JPA1" s="10"/>
      <c r="JPB1" s="10"/>
      <c r="JPC1" s="10"/>
      <c r="JPD1" s="10"/>
      <c r="JPE1" s="10"/>
      <c r="JPF1" s="10"/>
      <c r="JPG1" s="10"/>
      <c r="JPH1" s="10"/>
      <c r="JPI1" s="10"/>
      <c r="JPJ1" s="10"/>
      <c r="JPK1" s="10"/>
      <c r="JPL1" s="10"/>
      <c r="JPM1" s="10"/>
      <c r="JPN1" s="10"/>
      <c r="JPO1" s="10"/>
      <c r="JPP1" s="10"/>
      <c r="JPQ1" s="10"/>
      <c r="JPR1" s="10"/>
      <c r="JPS1" s="10"/>
      <c r="JPT1" s="10"/>
      <c r="JPU1" s="10"/>
      <c r="JPV1" s="10"/>
      <c r="JPW1" s="10"/>
      <c r="JPX1" s="10"/>
      <c r="JPY1" s="10"/>
      <c r="JPZ1" s="10"/>
      <c r="JQA1" s="10"/>
      <c r="JQB1" s="10"/>
      <c r="JQC1" s="10"/>
      <c r="JQD1" s="10"/>
      <c r="JQE1" s="10"/>
      <c r="JQF1" s="10"/>
      <c r="JQG1" s="10"/>
      <c r="JQH1" s="10"/>
      <c r="JQI1" s="10"/>
      <c r="JQJ1" s="10"/>
      <c r="JQK1" s="10"/>
      <c r="JQL1" s="10"/>
      <c r="JQM1" s="10"/>
      <c r="JQN1" s="10"/>
      <c r="JQO1" s="10"/>
      <c r="JQP1" s="10"/>
      <c r="JQQ1" s="10"/>
      <c r="JQR1" s="10"/>
      <c r="JQS1" s="10"/>
      <c r="JQT1" s="10"/>
      <c r="JQU1" s="10"/>
      <c r="JQV1" s="10"/>
      <c r="JQW1" s="10"/>
      <c r="JQX1" s="10"/>
      <c r="JQY1" s="10"/>
      <c r="JQZ1" s="10"/>
      <c r="JRA1" s="10"/>
      <c r="JRB1" s="10"/>
      <c r="JRC1" s="10"/>
      <c r="JRD1" s="10"/>
      <c r="JRE1" s="10"/>
      <c r="JRF1" s="10"/>
      <c r="JRG1" s="10"/>
      <c r="JRH1" s="10"/>
      <c r="JRI1" s="10"/>
      <c r="JRJ1" s="10"/>
      <c r="JRK1" s="10"/>
      <c r="JRL1" s="10"/>
      <c r="JRM1" s="10"/>
      <c r="JRN1" s="10"/>
      <c r="JRO1" s="10"/>
      <c r="JRP1" s="10"/>
      <c r="JRQ1" s="10"/>
      <c r="JRR1" s="10"/>
      <c r="JRS1" s="10"/>
      <c r="JRT1" s="10"/>
      <c r="JRU1" s="10"/>
      <c r="JRV1" s="10"/>
      <c r="JRW1" s="10"/>
      <c r="JRX1" s="10"/>
      <c r="JRY1" s="10"/>
      <c r="JRZ1" s="10"/>
      <c r="JSA1" s="10"/>
      <c r="JSB1" s="10"/>
      <c r="JSC1" s="10"/>
      <c r="JSD1" s="10"/>
      <c r="JSE1" s="10"/>
      <c r="JSF1" s="10"/>
      <c r="JSG1" s="10"/>
      <c r="JSH1" s="10"/>
      <c r="JSI1" s="10"/>
      <c r="JSJ1" s="10"/>
      <c r="JSK1" s="10"/>
      <c r="JSL1" s="10"/>
      <c r="JSM1" s="10"/>
      <c r="JSN1" s="10"/>
      <c r="JSO1" s="10"/>
      <c r="JSP1" s="10"/>
      <c r="JSQ1" s="10"/>
      <c r="JSR1" s="10"/>
      <c r="JSS1" s="10"/>
      <c r="JST1" s="10"/>
      <c r="JSU1" s="10"/>
      <c r="JSV1" s="10"/>
      <c r="JSW1" s="10"/>
      <c r="JSX1" s="10"/>
      <c r="JSY1" s="10"/>
      <c r="JSZ1" s="10"/>
      <c r="JTA1" s="10"/>
      <c r="JTB1" s="10"/>
      <c r="JTC1" s="10"/>
      <c r="JTD1" s="10"/>
      <c r="JTE1" s="10"/>
      <c r="JTF1" s="10"/>
      <c r="JTG1" s="10"/>
      <c r="JTH1" s="10"/>
      <c r="JTI1" s="10"/>
      <c r="JTJ1" s="10"/>
      <c r="JTK1" s="10"/>
      <c r="JTL1" s="10"/>
      <c r="JTM1" s="10"/>
      <c r="JTN1" s="10"/>
      <c r="JTO1" s="10"/>
      <c r="JTP1" s="10"/>
      <c r="JTQ1" s="10"/>
      <c r="JTR1" s="10"/>
      <c r="JTS1" s="10"/>
      <c r="JTT1" s="10"/>
      <c r="JTU1" s="10"/>
      <c r="JTV1" s="10"/>
      <c r="JTW1" s="10"/>
      <c r="JTX1" s="10"/>
      <c r="JTY1" s="10"/>
      <c r="JTZ1" s="10"/>
      <c r="JUA1" s="10"/>
      <c r="JUB1" s="10"/>
      <c r="JUC1" s="10"/>
      <c r="JUD1" s="10"/>
      <c r="JUE1" s="10"/>
      <c r="JUF1" s="10"/>
      <c r="JUG1" s="10"/>
      <c r="JUH1" s="10"/>
      <c r="JUI1" s="10"/>
      <c r="JUJ1" s="10"/>
      <c r="JUK1" s="10"/>
      <c r="JUL1" s="10"/>
      <c r="JUM1" s="10"/>
      <c r="JUN1" s="10"/>
      <c r="JUO1" s="10"/>
      <c r="JUP1" s="10"/>
      <c r="JUQ1" s="10"/>
      <c r="JUR1" s="10"/>
      <c r="JUS1" s="10"/>
      <c r="JUT1" s="10"/>
      <c r="JUU1" s="10"/>
      <c r="JUV1" s="10"/>
      <c r="JUW1" s="10"/>
      <c r="JUX1" s="10"/>
      <c r="JUY1" s="10"/>
      <c r="JUZ1" s="10"/>
      <c r="JVA1" s="10"/>
      <c r="JVB1" s="10"/>
      <c r="JVC1" s="10"/>
      <c r="JVD1" s="10"/>
      <c r="JVE1" s="10"/>
      <c r="JVF1" s="10"/>
      <c r="JVG1" s="10"/>
      <c r="JVH1" s="10"/>
      <c r="JVI1" s="10"/>
      <c r="JVJ1" s="10"/>
      <c r="JVK1" s="10"/>
      <c r="JVL1" s="10"/>
      <c r="JVM1" s="10"/>
      <c r="JVN1" s="10"/>
      <c r="JVO1" s="10"/>
      <c r="JVP1" s="10"/>
      <c r="JVQ1" s="10"/>
      <c r="JVR1" s="10"/>
      <c r="JVS1" s="10"/>
      <c r="JVT1" s="10"/>
      <c r="JVU1" s="10"/>
      <c r="JVV1" s="10"/>
      <c r="JVW1" s="10"/>
      <c r="JVX1" s="10"/>
      <c r="JVY1" s="10"/>
      <c r="JVZ1" s="10"/>
      <c r="JWA1" s="10"/>
      <c r="JWB1" s="10"/>
      <c r="JWC1" s="10"/>
      <c r="JWD1" s="10"/>
      <c r="JWE1" s="10"/>
      <c r="JWF1" s="10"/>
      <c r="JWG1" s="10"/>
      <c r="JWH1" s="10"/>
      <c r="JWI1" s="10"/>
      <c r="JWJ1" s="10"/>
      <c r="JWK1" s="10"/>
      <c r="JWL1" s="10"/>
      <c r="JWM1" s="10"/>
      <c r="JWN1" s="10"/>
      <c r="JWO1" s="10"/>
      <c r="JWP1" s="10"/>
      <c r="JWQ1" s="10"/>
      <c r="JWR1" s="10"/>
      <c r="JWS1" s="10"/>
      <c r="JWT1" s="10"/>
      <c r="JWU1" s="10"/>
      <c r="JWV1" s="10"/>
      <c r="JWW1" s="10"/>
      <c r="JWX1" s="10"/>
      <c r="JWY1" s="10"/>
      <c r="JWZ1" s="10"/>
      <c r="JXA1" s="10"/>
      <c r="JXB1" s="10"/>
      <c r="JXC1" s="10"/>
      <c r="JXD1" s="10"/>
      <c r="JXE1" s="10"/>
      <c r="JXF1" s="10"/>
      <c r="JXG1" s="10"/>
      <c r="JXH1" s="10"/>
      <c r="JXI1" s="10"/>
      <c r="JXJ1" s="10"/>
      <c r="JXK1" s="10"/>
      <c r="JXL1" s="10"/>
      <c r="JXM1" s="10"/>
      <c r="JXN1" s="10"/>
      <c r="JXO1" s="10"/>
      <c r="JXP1" s="10"/>
      <c r="JXQ1" s="10"/>
      <c r="JXR1" s="10"/>
      <c r="JXS1" s="10"/>
      <c r="JXT1" s="10"/>
      <c r="JXU1" s="10"/>
      <c r="JXV1" s="10"/>
      <c r="JXW1" s="10"/>
      <c r="JXX1" s="10"/>
      <c r="JXY1" s="10"/>
      <c r="JXZ1" s="10"/>
      <c r="JYA1" s="10"/>
      <c r="JYB1" s="10"/>
      <c r="JYC1" s="10"/>
      <c r="JYD1" s="10"/>
      <c r="JYE1" s="10"/>
      <c r="JYF1" s="10"/>
      <c r="JYG1" s="10"/>
      <c r="JYH1" s="10"/>
      <c r="JYI1" s="10"/>
      <c r="JYJ1" s="10"/>
      <c r="JYK1" s="10"/>
      <c r="JYL1" s="10"/>
      <c r="JYM1" s="10"/>
      <c r="JYN1" s="10"/>
      <c r="JYO1" s="10"/>
      <c r="JYP1" s="10"/>
      <c r="JYQ1" s="10"/>
      <c r="JYR1" s="10"/>
      <c r="JYS1" s="10"/>
      <c r="JYT1" s="10"/>
      <c r="JYU1" s="10"/>
      <c r="JYV1" s="10"/>
      <c r="JYW1" s="10"/>
      <c r="JYX1" s="10"/>
      <c r="JYY1" s="10"/>
      <c r="JYZ1" s="10"/>
      <c r="JZA1" s="10"/>
      <c r="JZB1" s="10"/>
      <c r="JZC1" s="10"/>
      <c r="JZD1" s="10"/>
      <c r="JZE1" s="10"/>
      <c r="JZF1" s="10"/>
      <c r="JZG1" s="10"/>
      <c r="JZH1" s="10"/>
      <c r="JZI1" s="10"/>
      <c r="JZJ1" s="10"/>
      <c r="JZK1" s="10"/>
      <c r="JZL1" s="10"/>
      <c r="JZM1" s="10"/>
      <c r="JZN1" s="10"/>
      <c r="JZO1" s="10"/>
      <c r="JZP1" s="10"/>
      <c r="JZQ1" s="10"/>
      <c r="JZR1" s="10"/>
      <c r="JZS1" s="10"/>
      <c r="JZT1" s="10"/>
      <c r="JZU1" s="10"/>
      <c r="JZV1" s="10"/>
      <c r="JZW1" s="10"/>
      <c r="JZX1" s="10"/>
      <c r="JZY1" s="10"/>
      <c r="JZZ1" s="10"/>
      <c r="KAA1" s="10"/>
      <c r="KAB1" s="10"/>
      <c r="KAC1" s="10"/>
      <c r="KAD1" s="10"/>
      <c r="KAE1" s="10"/>
      <c r="KAF1" s="10"/>
      <c r="KAG1" s="10"/>
      <c r="KAH1" s="10"/>
      <c r="KAI1" s="10"/>
      <c r="KAJ1" s="10"/>
      <c r="KAK1" s="10"/>
      <c r="KAL1" s="10"/>
      <c r="KAM1" s="10"/>
      <c r="KAN1" s="10"/>
      <c r="KAO1" s="10"/>
      <c r="KAP1" s="10"/>
      <c r="KAQ1" s="10"/>
      <c r="KAR1" s="10"/>
      <c r="KAS1" s="10"/>
      <c r="KAT1" s="10"/>
      <c r="KAU1" s="10"/>
      <c r="KAV1" s="10"/>
      <c r="KAW1" s="10"/>
      <c r="KAX1" s="10"/>
      <c r="KAY1" s="10"/>
      <c r="KAZ1" s="10"/>
      <c r="KBA1" s="10"/>
      <c r="KBB1" s="10"/>
      <c r="KBC1" s="10"/>
      <c r="KBD1" s="10"/>
      <c r="KBE1" s="10"/>
      <c r="KBF1" s="10"/>
      <c r="KBG1" s="10"/>
      <c r="KBH1" s="10"/>
      <c r="KBI1" s="10"/>
      <c r="KBJ1" s="10"/>
      <c r="KBK1" s="10"/>
      <c r="KBL1" s="10"/>
      <c r="KBM1" s="10"/>
      <c r="KBN1" s="10"/>
      <c r="KBO1" s="10"/>
      <c r="KBP1" s="10"/>
      <c r="KBQ1" s="10"/>
      <c r="KBR1" s="10"/>
      <c r="KBS1" s="10"/>
      <c r="KBT1" s="10"/>
      <c r="KBU1" s="10"/>
      <c r="KBV1" s="10"/>
      <c r="KBW1" s="10"/>
      <c r="KBX1" s="10"/>
      <c r="KBY1" s="10"/>
      <c r="KBZ1" s="10"/>
      <c r="KCA1" s="10"/>
      <c r="KCB1" s="10"/>
      <c r="KCC1" s="10"/>
      <c r="KCD1" s="10"/>
      <c r="KCE1" s="10"/>
      <c r="KCF1" s="10"/>
      <c r="KCG1" s="10"/>
      <c r="KCH1" s="10"/>
      <c r="KCI1" s="10"/>
      <c r="KCJ1" s="10"/>
      <c r="KCK1" s="10"/>
      <c r="KCL1" s="10"/>
      <c r="KCM1" s="10"/>
      <c r="KCN1" s="10"/>
      <c r="KCO1" s="10"/>
      <c r="KCP1" s="10"/>
      <c r="KCQ1" s="10"/>
      <c r="KCR1" s="10"/>
      <c r="KCS1" s="10"/>
      <c r="KCT1" s="10"/>
      <c r="KCU1" s="10"/>
      <c r="KCV1" s="10"/>
      <c r="KCW1" s="10"/>
      <c r="KCX1" s="10"/>
      <c r="KCY1" s="10"/>
      <c r="KCZ1" s="10"/>
      <c r="KDA1" s="10"/>
      <c r="KDB1" s="10"/>
      <c r="KDC1" s="10"/>
      <c r="KDD1" s="10"/>
      <c r="KDE1" s="10"/>
      <c r="KDF1" s="10"/>
      <c r="KDG1" s="10"/>
      <c r="KDH1" s="10"/>
      <c r="KDI1" s="10"/>
      <c r="KDJ1" s="10"/>
      <c r="KDK1" s="10"/>
      <c r="KDL1" s="10"/>
      <c r="KDM1" s="10"/>
      <c r="KDN1" s="10"/>
      <c r="KDO1" s="10"/>
      <c r="KDP1" s="10"/>
      <c r="KDQ1" s="10"/>
      <c r="KDR1" s="10"/>
      <c r="KDS1" s="10"/>
      <c r="KDT1" s="10"/>
      <c r="KDU1" s="10"/>
      <c r="KDV1" s="10"/>
      <c r="KDW1" s="10"/>
      <c r="KDX1" s="10"/>
      <c r="KDY1" s="10"/>
      <c r="KDZ1" s="10"/>
      <c r="KEA1" s="10"/>
      <c r="KEB1" s="10"/>
      <c r="KEC1" s="10"/>
      <c r="KED1" s="10"/>
      <c r="KEE1" s="10"/>
      <c r="KEF1" s="10"/>
      <c r="KEG1" s="10"/>
      <c r="KEH1" s="10"/>
      <c r="KEI1" s="10"/>
      <c r="KEJ1" s="10"/>
      <c r="KEK1" s="10"/>
      <c r="KEL1" s="10"/>
      <c r="KEM1" s="10"/>
      <c r="KEN1" s="10"/>
      <c r="KEO1" s="10"/>
      <c r="KEP1" s="10"/>
      <c r="KEQ1" s="10"/>
      <c r="KER1" s="10"/>
      <c r="KES1" s="10"/>
      <c r="KET1" s="10"/>
      <c r="KEU1" s="10"/>
      <c r="KEV1" s="10"/>
      <c r="KEW1" s="10"/>
      <c r="KEX1" s="10"/>
      <c r="KEY1" s="10"/>
      <c r="KEZ1" s="10"/>
      <c r="KFA1" s="10"/>
      <c r="KFB1" s="10"/>
      <c r="KFC1" s="10"/>
      <c r="KFD1" s="10"/>
      <c r="KFE1" s="10"/>
      <c r="KFF1" s="10"/>
      <c r="KFG1" s="10"/>
      <c r="KFH1" s="10"/>
      <c r="KFI1" s="10"/>
      <c r="KFJ1" s="10"/>
      <c r="KFK1" s="10"/>
      <c r="KFL1" s="10"/>
      <c r="KFM1" s="10"/>
      <c r="KFN1" s="10"/>
      <c r="KFO1" s="10"/>
      <c r="KFP1" s="10"/>
      <c r="KFQ1" s="10"/>
      <c r="KFR1" s="10"/>
      <c r="KFS1" s="10"/>
      <c r="KFT1" s="10"/>
      <c r="KFU1" s="10"/>
      <c r="KFV1" s="10"/>
      <c r="KFW1" s="10"/>
      <c r="KFX1" s="10"/>
      <c r="KFY1" s="10"/>
      <c r="KFZ1" s="10"/>
      <c r="KGA1" s="10"/>
      <c r="KGB1" s="10"/>
      <c r="KGC1" s="10"/>
      <c r="KGD1" s="10"/>
      <c r="KGE1" s="10"/>
      <c r="KGF1" s="10"/>
      <c r="KGG1" s="10"/>
      <c r="KGH1" s="10"/>
      <c r="KGI1" s="10"/>
      <c r="KGJ1" s="10"/>
      <c r="KGK1" s="10"/>
      <c r="KGL1" s="10"/>
      <c r="KGM1" s="10"/>
      <c r="KGN1" s="10"/>
      <c r="KGO1" s="10"/>
      <c r="KGP1" s="10"/>
      <c r="KGQ1" s="10"/>
      <c r="KGR1" s="10"/>
      <c r="KGS1" s="10"/>
      <c r="KGT1" s="10"/>
      <c r="KGU1" s="10"/>
      <c r="KGV1" s="10"/>
      <c r="KGW1" s="10"/>
      <c r="KGX1" s="10"/>
      <c r="KGY1" s="10"/>
      <c r="KGZ1" s="10"/>
      <c r="KHA1" s="10"/>
      <c r="KHB1" s="10"/>
      <c r="KHC1" s="10"/>
      <c r="KHD1" s="10"/>
      <c r="KHE1" s="10"/>
      <c r="KHF1" s="10"/>
      <c r="KHG1" s="10"/>
      <c r="KHH1" s="10"/>
      <c r="KHI1" s="10"/>
      <c r="KHJ1" s="10"/>
      <c r="KHK1" s="10"/>
      <c r="KHL1" s="10"/>
      <c r="KHM1" s="10"/>
      <c r="KHN1" s="10"/>
      <c r="KHO1" s="10"/>
      <c r="KHP1" s="10"/>
      <c r="KHQ1" s="10"/>
      <c r="KHR1" s="10"/>
      <c r="KHS1" s="10"/>
      <c r="KHT1" s="10"/>
      <c r="KHU1" s="10"/>
      <c r="KHV1" s="10"/>
      <c r="KHW1" s="10"/>
      <c r="KHX1" s="10"/>
      <c r="KHY1" s="10"/>
      <c r="KHZ1" s="10"/>
      <c r="KIA1" s="10"/>
      <c r="KIB1" s="10"/>
      <c r="KIC1" s="10"/>
      <c r="KID1" s="10"/>
      <c r="KIE1" s="10"/>
      <c r="KIF1" s="10"/>
      <c r="KIG1" s="10"/>
      <c r="KIH1" s="10"/>
      <c r="KII1" s="10"/>
      <c r="KIJ1" s="10"/>
      <c r="KIK1" s="10"/>
      <c r="KIL1" s="10"/>
      <c r="KIM1" s="10"/>
      <c r="KIN1" s="10"/>
      <c r="KIO1" s="10"/>
      <c r="KIP1" s="10"/>
      <c r="KIQ1" s="10"/>
      <c r="KIR1" s="10"/>
      <c r="KIS1" s="10"/>
      <c r="KIT1" s="10"/>
      <c r="KIU1" s="10"/>
      <c r="KIV1" s="10"/>
      <c r="KIW1" s="10"/>
      <c r="KIX1" s="10"/>
      <c r="KIY1" s="10"/>
      <c r="KIZ1" s="10"/>
      <c r="KJA1" s="10"/>
      <c r="KJB1" s="10"/>
      <c r="KJC1" s="10"/>
      <c r="KJD1" s="10"/>
      <c r="KJE1" s="10"/>
      <c r="KJF1" s="10"/>
      <c r="KJG1" s="10"/>
      <c r="KJH1" s="10"/>
      <c r="KJI1" s="10"/>
      <c r="KJJ1" s="10"/>
      <c r="KJK1" s="10"/>
      <c r="KJL1" s="10"/>
      <c r="KJM1" s="10"/>
      <c r="KJN1" s="10"/>
      <c r="KJO1" s="10"/>
      <c r="KJP1" s="10"/>
      <c r="KJQ1" s="10"/>
      <c r="KJR1" s="10"/>
      <c r="KJS1" s="10"/>
      <c r="KJT1" s="10"/>
      <c r="KJU1" s="10"/>
      <c r="KJV1" s="10"/>
      <c r="KJW1" s="10"/>
      <c r="KJX1" s="10"/>
      <c r="KJY1" s="10"/>
      <c r="KJZ1" s="10"/>
      <c r="KKA1" s="10"/>
      <c r="KKB1" s="10"/>
      <c r="KKC1" s="10"/>
      <c r="KKD1" s="10"/>
      <c r="KKE1" s="10"/>
      <c r="KKF1" s="10"/>
      <c r="KKG1" s="10"/>
      <c r="KKH1" s="10"/>
      <c r="KKI1" s="10"/>
      <c r="KKJ1" s="10"/>
      <c r="KKK1" s="10"/>
      <c r="KKL1" s="10"/>
      <c r="KKM1" s="10"/>
      <c r="KKN1" s="10"/>
      <c r="KKO1" s="10"/>
      <c r="KKP1" s="10"/>
      <c r="KKQ1" s="10"/>
      <c r="KKR1" s="10"/>
      <c r="KKS1" s="10"/>
      <c r="KKT1" s="10"/>
      <c r="KKU1" s="10"/>
      <c r="KKV1" s="10"/>
      <c r="KKW1" s="10"/>
      <c r="KKX1" s="10"/>
      <c r="KKY1" s="10"/>
      <c r="KKZ1" s="10"/>
      <c r="KLA1" s="10"/>
      <c r="KLB1" s="10"/>
      <c r="KLC1" s="10"/>
      <c r="KLD1" s="10"/>
      <c r="KLE1" s="10"/>
      <c r="KLF1" s="10"/>
      <c r="KLG1" s="10"/>
      <c r="KLH1" s="10"/>
      <c r="KLI1" s="10"/>
      <c r="KLJ1" s="10"/>
      <c r="KLK1" s="10"/>
      <c r="KLL1" s="10"/>
      <c r="KLM1" s="10"/>
      <c r="KLN1" s="10"/>
      <c r="KLO1" s="10"/>
      <c r="KLP1" s="10"/>
      <c r="KLQ1" s="10"/>
      <c r="KLR1" s="10"/>
      <c r="KLS1" s="10"/>
      <c r="KLT1" s="10"/>
      <c r="KLU1" s="10"/>
      <c r="KLV1" s="10"/>
      <c r="KLW1" s="10"/>
      <c r="KLX1" s="10"/>
      <c r="KLY1" s="10"/>
      <c r="KLZ1" s="10"/>
      <c r="KMA1" s="10"/>
      <c r="KMB1" s="10"/>
      <c r="KMC1" s="10"/>
      <c r="KMD1" s="10"/>
      <c r="KME1" s="10"/>
      <c r="KMF1" s="10"/>
      <c r="KMG1" s="10"/>
      <c r="KMH1" s="10"/>
      <c r="KMI1" s="10"/>
      <c r="KMJ1" s="10"/>
      <c r="KMK1" s="10"/>
      <c r="KML1" s="10"/>
      <c r="KMM1" s="10"/>
      <c r="KMN1" s="10"/>
      <c r="KMO1" s="10"/>
      <c r="KMP1" s="10"/>
      <c r="KMQ1" s="10"/>
      <c r="KMR1" s="10"/>
      <c r="KMS1" s="10"/>
      <c r="KMT1" s="10"/>
      <c r="KMU1" s="10"/>
      <c r="KMV1" s="10"/>
      <c r="KMW1" s="10"/>
      <c r="KMX1" s="10"/>
      <c r="KMY1" s="10"/>
      <c r="KMZ1" s="10"/>
      <c r="KNA1" s="10"/>
      <c r="KNB1" s="10"/>
      <c r="KNC1" s="10"/>
      <c r="KND1" s="10"/>
      <c r="KNE1" s="10"/>
      <c r="KNF1" s="10"/>
      <c r="KNG1" s="10"/>
      <c r="KNH1" s="10"/>
      <c r="KNI1" s="10"/>
      <c r="KNJ1" s="10"/>
      <c r="KNK1" s="10"/>
      <c r="KNL1" s="10"/>
      <c r="KNM1" s="10"/>
      <c r="KNN1" s="10"/>
      <c r="KNO1" s="10"/>
      <c r="KNP1" s="10"/>
      <c r="KNQ1" s="10"/>
      <c r="KNR1" s="10"/>
      <c r="KNS1" s="10"/>
      <c r="KNT1" s="10"/>
      <c r="KNU1" s="10"/>
      <c r="KNV1" s="10"/>
      <c r="KNW1" s="10"/>
      <c r="KNX1" s="10"/>
      <c r="KNY1" s="10"/>
      <c r="KNZ1" s="10"/>
      <c r="KOA1" s="10"/>
      <c r="KOB1" s="10"/>
      <c r="KOC1" s="10"/>
      <c r="KOD1" s="10"/>
      <c r="KOE1" s="10"/>
      <c r="KOF1" s="10"/>
      <c r="KOG1" s="10"/>
      <c r="KOH1" s="10"/>
      <c r="KOI1" s="10"/>
      <c r="KOJ1" s="10"/>
      <c r="KOK1" s="10"/>
      <c r="KOL1" s="10"/>
      <c r="KOM1" s="10"/>
      <c r="KON1" s="10"/>
      <c r="KOO1" s="10"/>
      <c r="KOP1" s="10"/>
      <c r="KOQ1" s="10"/>
      <c r="KOR1" s="10"/>
      <c r="KOS1" s="10"/>
      <c r="KOT1" s="10"/>
      <c r="KOU1" s="10"/>
      <c r="KOV1" s="10"/>
      <c r="KOW1" s="10"/>
      <c r="KOX1" s="10"/>
      <c r="KOY1" s="10"/>
      <c r="KOZ1" s="10"/>
      <c r="KPA1" s="10"/>
      <c r="KPB1" s="10"/>
      <c r="KPC1" s="10"/>
      <c r="KPD1" s="10"/>
      <c r="KPE1" s="10"/>
      <c r="KPF1" s="10"/>
      <c r="KPG1" s="10"/>
      <c r="KPH1" s="10"/>
      <c r="KPI1" s="10"/>
      <c r="KPJ1" s="10"/>
      <c r="KPK1" s="10"/>
      <c r="KPL1" s="10"/>
      <c r="KPM1" s="10"/>
      <c r="KPN1" s="10"/>
      <c r="KPO1" s="10"/>
      <c r="KPP1" s="10"/>
      <c r="KPQ1" s="10"/>
      <c r="KPR1" s="10"/>
      <c r="KPS1" s="10"/>
      <c r="KPT1" s="10"/>
      <c r="KPU1" s="10"/>
      <c r="KPV1" s="10"/>
      <c r="KPW1" s="10"/>
      <c r="KPX1" s="10"/>
      <c r="KPY1" s="10"/>
      <c r="KPZ1" s="10"/>
      <c r="KQA1" s="10"/>
      <c r="KQB1" s="10"/>
      <c r="KQC1" s="10"/>
      <c r="KQD1" s="10"/>
      <c r="KQE1" s="10"/>
      <c r="KQF1" s="10"/>
      <c r="KQG1" s="10"/>
      <c r="KQH1" s="10"/>
      <c r="KQI1" s="10"/>
      <c r="KQJ1" s="10"/>
      <c r="KQK1" s="10"/>
      <c r="KQL1" s="10"/>
      <c r="KQM1" s="10"/>
      <c r="KQN1" s="10"/>
      <c r="KQO1" s="10"/>
      <c r="KQP1" s="10"/>
      <c r="KQQ1" s="10"/>
      <c r="KQR1" s="10"/>
      <c r="KQS1" s="10"/>
      <c r="KQT1" s="10"/>
      <c r="KQU1" s="10"/>
      <c r="KQV1" s="10"/>
      <c r="KQW1" s="10"/>
      <c r="KQX1" s="10"/>
      <c r="KQY1" s="10"/>
      <c r="KQZ1" s="10"/>
      <c r="KRA1" s="10"/>
      <c r="KRB1" s="10"/>
      <c r="KRC1" s="10"/>
      <c r="KRD1" s="10"/>
      <c r="KRE1" s="10"/>
      <c r="KRF1" s="10"/>
      <c r="KRG1" s="10"/>
      <c r="KRH1" s="10"/>
      <c r="KRI1" s="10"/>
      <c r="KRJ1" s="10"/>
      <c r="KRK1" s="10"/>
      <c r="KRL1" s="10"/>
      <c r="KRM1" s="10"/>
      <c r="KRN1" s="10"/>
      <c r="KRO1" s="10"/>
      <c r="KRP1" s="10"/>
      <c r="KRQ1" s="10"/>
      <c r="KRR1" s="10"/>
      <c r="KRS1" s="10"/>
      <c r="KRT1" s="10"/>
      <c r="KRU1" s="10"/>
      <c r="KRV1" s="10"/>
      <c r="KRW1" s="10"/>
      <c r="KRX1" s="10"/>
      <c r="KRY1" s="10"/>
      <c r="KRZ1" s="10"/>
      <c r="KSA1" s="10"/>
      <c r="KSB1" s="10"/>
      <c r="KSC1" s="10"/>
      <c r="KSD1" s="10"/>
      <c r="KSE1" s="10"/>
      <c r="KSF1" s="10"/>
      <c r="KSG1" s="10"/>
      <c r="KSH1" s="10"/>
      <c r="KSI1" s="10"/>
      <c r="KSJ1" s="10"/>
      <c r="KSK1" s="10"/>
      <c r="KSL1" s="10"/>
      <c r="KSM1" s="10"/>
      <c r="KSN1" s="10"/>
      <c r="KSO1" s="10"/>
      <c r="KSP1" s="10"/>
      <c r="KSQ1" s="10"/>
      <c r="KSR1" s="10"/>
      <c r="KSS1" s="10"/>
      <c r="KST1" s="10"/>
      <c r="KSU1" s="10"/>
      <c r="KSV1" s="10"/>
      <c r="KSW1" s="10"/>
      <c r="KSX1" s="10"/>
      <c r="KSY1" s="10"/>
      <c r="KSZ1" s="10"/>
      <c r="KTA1" s="10"/>
      <c r="KTB1" s="10"/>
      <c r="KTC1" s="10"/>
      <c r="KTD1" s="10"/>
      <c r="KTE1" s="10"/>
      <c r="KTF1" s="10"/>
      <c r="KTG1" s="10"/>
      <c r="KTH1" s="10"/>
      <c r="KTI1" s="10"/>
      <c r="KTJ1" s="10"/>
      <c r="KTK1" s="10"/>
      <c r="KTL1" s="10"/>
      <c r="KTM1" s="10"/>
      <c r="KTN1" s="10"/>
      <c r="KTO1" s="10"/>
      <c r="KTP1" s="10"/>
      <c r="KTQ1" s="10"/>
      <c r="KTR1" s="10"/>
      <c r="KTS1" s="10"/>
      <c r="KTT1" s="10"/>
      <c r="KTU1" s="10"/>
      <c r="KTV1" s="10"/>
      <c r="KTW1" s="10"/>
      <c r="KTX1" s="10"/>
      <c r="KTY1" s="10"/>
      <c r="KTZ1" s="10"/>
      <c r="KUA1" s="10"/>
      <c r="KUB1" s="10"/>
      <c r="KUC1" s="10"/>
      <c r="KUD1" s="10"/>
      <c r="KUE1" s="10"/>
      <c r="KUF1" s="10"/>
      <c r="KUG1" s="10"/>
      <c r="KUH1" s="10"/>
      <c r="KUI1" s="10"/>
      <c r="KUJ1" s="10"/>
      <c r="KUK1" s="10"/>
      <c r="KUL1" s="10"/>
      <c r="KUM1" s="10"/>
      <c r="KUN1" s="10"/>
      <c r="KUO1" s="10"/>
      <c r="KUP1" s="10"/>
      <c r="KUQ1" s="10"/>
      <c r="KUR1" s="10"/>
      <c r="KUS1" s="10"/>
      <c r="KUT1" s="10"/>
      <c r="KUU1" s="10"/>
      <c r="KUV1" s="10"/>
      <c r="KUW1" s="10"/>
      <c r="KUX1" s="10"/>
      <c r="KUY1" s="10"/>
      <c r="KUZ1" s="10"/>
      <c r="KVA1" s="10"/>
      <c r="KVB1" s="10"/>
      <c r="KVC1" s="10"/>
      <c r="KVD1" s="10"/>
      <c r="KVE1" s="10"/>
      <c r="KVF1" s="10"/>
      <c r="KVG1" s="10"/>
      <c r="KVH1" s="10"/>
      <c r="KVI1" s="10"/>
      <c r="KVJ1" s="10"/>
      <c r="KVK1" s="10"/>
      <c r="KVL1" s="10"/>
      <c r="KVM1" s="10"/>
      <c r="KVN1" s="10"/>
      <c r="KVO1" s="10"/>
      <c r="KVP1" s="10"/>
      <c r="KVQ1" s="10"/>
      <c r="KVR1" s="10"/>
      <c r="KVS1" s="10"/>
      <c r="KVT1" s="10"/>
      <c r="KVU1" s="10"/>
      <c r="KVV1" s="10"/>
      <c r="KVW1" s="10"/>
      <c r="KVX1" s="10"/>
      <c r="KVY1" s="10"/>
      <c r="KVZ1" s="10"/>
      <c r="KWA1" s="10"/>
      <c r="KWB1" s="10"/>
      <c r="KWC1" s="10"/>
      <c r="KWD1" s="10"/>
      <c r="KWE1" s="10"/>
      <c r="KWF1" s="10"/>
      <c r="KWG1" s="10"/>
      <c r="KWH1" s="10"/>
      <c r="KWI1" s="10"/>
      <c r="KWJ1" s="10"/>
      <c r="KWK1" s="10"/>
      <c r="KWL1" s="10"/>
      <c r="KWM1" s="10"/>
      <c r="KWN1" s="10"/>
      <c r="KWO1" s="10"/>
      <c r="KWP1" s="10"/>
      <c r="KWQ1" s="10"/>
      <c r="KWR1" s="10"/>
      <c r="KWS1" s="10"/>
      <c r="KWT1" s="10"/>
      <c r="KWU1" s="10"/>
      <c r="KWV1" s="10"/>
      <c r="KWW1" s="10"/>
      <c r="KWX1" s="10"/>
      <c r="KWY1" s="10"/>
      <c r="KWZ1" s="10"/>
      <c r="KXA1" s="10"/>
      <c r="KXB1" s="10"/>
      <c r="KXC1" s="10"/>
      <c r="KXD1" s="10"/>
      <c r="KXE1" s="10"/>
      <c r="KXF1" s="10"/>
      <c r="KXG1" s="10"/>
      <c r="KXH1" s="10"/>
      <c r="KXI1" s="10"/>
      <c r="KXJ1" s="10"/>
      <c r="KXK1" s="10"/>
      <c r="KXL1" s="10"/>
      <c r="KXM1" s="10"/>
      <c r="KXN1" s="10"/>
      <c r="KXO1" s="10"/>
      <c r="KXP1" s="10"/>
      <c r="KXQ1" s="10"/>
      <c r="KXR1" s="10"/>
      <c r="KXS1" s="10"/>
      <c r="KXT1" s="10"/>
      <c r="KXU1" s="10"/>
      <c r="KXV1" s="10"/>
      <c r="KXW1" s="10"/>
      <c r="KXX1" s="10"/>
      <c r="KXY1" s="10"/>
      <c r="KXZ1" s="10"/>
      <c r="KYA1" s="10"/>
      <c r="KYB1" s="10"/>
      <c r="KYC1" s="10"/>
      <c r="KYD1" s="10"/>
      <c r="KYE1" s="10"/>
      <c r="KYF1" s="10"/>
      <c r="KYG1" s="10"/>
      <c r="KYH1" s="10"/>
      <c r="KYI1" s="10"/>
      <c r="KYJ1" s="10"/>
      <c r="KYK1" s="10"/>
      <c r="KYL1" s="10"/>
      <c r="KYM1" s="10"/>
      <c r="KYN1" s="10"/>
      <c r="KYO1" s="10"/>
      <c r="KYP1" s="10"/>
      <c r="KYQ1" s="10"/>
      <c r="KYR1" s="10"/>
      <c r="KYS1" s="10"/>
      <c r="KYT1" s="10"/>
      <c r="KYU1" s="10"/>
      <c r="KYV1" s="10"/>
      <c r="KYW1" s="10"/>
      <c r="KYX1" s="10"/>
      <c r="KYY1" s="10"/>
      <c r="KYZ1" s="10"/>
      <c r="KZA1" s="10"/>
      <c r="KZB1" s="10"/>
      <c r="KZC1" s="10"/>
      <c r="KZD1" s="10"/>
      <c r="KZE1" s="10"/>
      <c r="KZF1" s="10"/>
      <c r="KZG1" s="10"/>
      <c r="KZH1" s="10"/>
      <c r="KZI1" s="10"/>
      <c r="KZJ1" s="10"/>
      <c r="KZK1" s="10"/>
      <c r="KZL1" s="10"/>
      <c r="KZM1" s="10"/>
      <c r="KZN1" s="10"/>
      <c r="KZO1" s="10"/>
      <c r="KZP1" s="10"/>
      <c r="KZQ1" s="10"/>
      <c r="KZR1" s="10"/>
      <c r="KZS1" s="10"/>
      <c r="KZT1" s="10"/>
      <c r="KZU1" s="10"/>
      <c r="KZV1" s="10"/>
      <c r="KZW1" s="10"/>
      <c r="KZX1" s="10"/>
      <c r="KZY1" s="10"/>
      <c r="KZZ1" s="10"/>
      <c r="LAA1" s="10"/>
      <c r="LAB1" s="10"/>
      <c r="LAC1" s="10"/>
      <c r="LAD1" s="10"/>
      <c r="LAE1" s="10"/>
      <c r="LAF1" s="10"/>
      <c r="LAG1" s="10"/>
      <c r="LAH1" s="10"/>
      <c r="LAI1" s="10"/>
      <c r="LAJ1" s="10"/>
      <c r="LAK1" s="10"/>
      <c r="LAL1" s="10"/>
      <c r="LAM1" s="10"/>
      <c r="LAN1" s="10"/>
      <c r="LAO1" s="10"/>
      <c r="LAP1" s="10"/>
      <c r="LAQ1" s="10"/>
      <c r="LAR1" s="10"/>
      <c r="LAS1" s="10"/>
      <c r="LAT1" s="10"/>
      <c r="LAU1" s="10"/>
      <c r="LAV1" s="10"/>
      <c r="LAW1" s="10"/>
      <c r="LAX1" s="10"/>
      <c r="LAY1" s="10"/>
      <c r="LAZ1" s="10"/>
      <c r="LBA1" s="10"/>
      <c r="LBB1" s="10"/>
      <c r="LBC1" s="10"/>
      <c r="LBD1" s="10"/>
      <c r="LBE1" s="10"/>
      <c r="LBF1" s="10"/>
      <c r="LBG1" s="10"/>
      <c r="LBH1" s="10"/>
      <c r="LBI1" s="10"/>
      <c r="LBJ1" s="10"/>
      <c r="LBK1" s="10"/>
      <c r="LBL1" s="10"/>
      <c r="LBM1" s="10"/>
      <c r="LBN1" s="10"/>
      <c r="LBO1" s="10"/>
      <c r="LBP1" s="10"/>
      <c r="LBQ1" s="10"/>
      <c r="LBR1" s="10"/>
      <c r="LBS1" s="10"/>
      <c r="LBT1" s="10"/>
      <c r="LBU1" s="10"/>
      <c r="LBV1" s="10"/>
      <c r="LBW1" s="10"/>
      <c r="LBX1" s="10"/>
      <c r="LBY1" s="10"/>
      <c r="LBZ1" s="10"/>
      <c r="LCA1" s="10"/>
      <c r="LCB1" s="10"/>
      <c r="LCC1" s="10"/>
      <c r="LCD1" s="10"/>
      <c r="LCE1" s="10"/>
      <c r="LCF1" s="10"/>
      <c r="LCG1" s="10"/>
      <c r="LCH1" s="10"/>
      <c r="LCI1" s="10"/>
      <c r="LCJ1" s="10"/>
      <c r="LCK1" s="10"/>
      <c r="LCL1" s="10"/>
      <c r="LCM1" s="10"/>
      <c r="LCN1" s="10"/>
      <c r="LCO1" s="10"/>
      <c r="LCP1" s="10"/>
      <c r="LCQ1" s="10"/>
      <c r="LCR1" s="10"/>
      <c r="LCS1" s="10"/>
      <c r="LCT1" s="10"/>
      <c r="LCU1" s="10"/>
      <c r="LCV1" s="10"/>
      <c r="LCW1" s="10"/>
      <c r="LCX1" s="10"/>
      <c r="LCY1" s="10"/>
      <c r="LCZ1" s="10"/>
      <c r="LDA1" s="10"/>
      <c r="LDB1" s="10"/>
      <c r="LDC1" s="10"/>
      <c r="LDD1" s="10"/>
      <c r="LDE1" s="10"/>
      <c r="LDF1" s="10"/>
      <c r="LDG1" s="10"/>
      <c r="LDH1" s="10"/>
      <c r="LDI1" s="10"/>
      <c r="LDJ1" s="10"/>
      <c r="LDK1" s="10"/>
      <c r="LDL1" s="10"/>
      <c r="LDM1" s="10"/>
      <c r="LDN1" s="10"/>
      <c r="LDO1" s="10"/>
      <c r="LDP1" s="10"/>
      <c r="LDQ1" s="10"/>
      <c r="LDR1" s="10"/>
      <c r="LDS1" s="10"/>
      <c r="LDT1" s="10"/>
      <c r="LDU1" s="10"/>
      <c r="LDV1" s="10"/>
      <c r="LDW1" s="10"/>
      <c r="LDX1" s="10"/>
      <c r="LDY1" s="10"/>
      <c r="LDZ1" s="10"/>
      <c r="LEA1" s="10"/>
      <c r="LEB1" s="10"/>
      <c r="LEC1" s="10"/>
      <c r="LED1" s="10"/>
      <c r="LEE1" s="10"/>
      <c r="LEF1" s="10"/>
      <c r="LEG1" s="10"/>
      <c r="LEH1" s="10"/>
      <c r="LEI1" s="10"/>
      <c r="LEJ1" s="10"/>
      <c r="LEK1" s="10"/>
      <c r="LEL1" s="10"/>
      <c r="LEM1" s="10"/>
      <c r="LEN1" s="10"/>
      <c r="LEO1" s="10"/>
      <c r="LEP1" s="10"/>
      <c r="LEQ1" s="10"/>
      <c r="LER1" s="10"/>
      <c r="LES1" s="10"/>
      <c r="LET1" s="10"/>
      <c r="LEU1" s="10"/>
      <c r="LEV1" s="10"/>
      <c r="LEW1" s="10"/>
      <c r="LEX1" s="10"/>
      <c r="LEY1" s="10"/>
      <c r="LEZ1" s="10"/>
      <c r="LFA1" s="10"/>
      <c r="LFB1" s="10"/>
      <c r="LFC1" s="10"/>
      <c r="LFD1" s="10"/>
      <c r="LFE1" s="10"/>
      <c r="LFF1" s="10"/>
      <c r="LFG1" s="10"/>
      <c r="LFH1" s="10"/>
      <c r="LFI1" s="10"/>
      <c r="LFJ1" s="10"/>
      <c r="LFK1" s="10"/>
      <c r="LFL1" s="10"/>
      <c r="LFM1" s="10"/>
      <c r="LFN1" s="10"/>
      <c r="LFO1" s="10"/>
      <c r="LFP1" s="10"/>
      <c r="LFQ1" s="10"/>
      <c r="LFR1" s="10"/>
      <c r="LFS1" s="10"/>
      <c r="LFT1" s="10"/>
      <c r="LFU1" s="10"/>
      <c r="LFV1" s="10"/>
      <c r="LFW1" s="10"/>
      <c r="LFX1" s="10"/>
      <c r="LFY1" s="10"/>
      <c r="LFZ1" s="10"/>
      <c r="LGA1" s="10"/>
      <c r="LGB1" s="10"/>
      <c r="LGC1" s="10"/>
      <c r="LGD1" s="10"/>
      <c r="LGE1" s="10"/>
      <c r="LGF1" s="10"/>
      <c r="LGG1" s="10"/>
      <c r="LGH1" s="10"/>
      <c r="LGI1" s="10"/>
      <c r="LGJ1" s="10"/>
      <c r="LGK1" s="10"/>
      <c r="LGL1" s="10"/>
      <c r="LGM1" s="10"/>
      <c r="LGN1" s="10"/>
      <c r="LGO1" s="10"/>
      <c r="LGP1" s="10"/>
      <c r="LGQ1" s="10"/>
      <c r="LGR1" s="10"/>
      <c r="LGS1" s="10"/>
      <c r="LGT1" s="10"/>
      <c r="LGU1" s="10"/>
      <c r="LGV1" s="10"/>
      <c r="LGW1" s="10"/>
      <c r="LGX1" s="10"/>
      <c r="LGY1" s="10"/>
      <c r="LGZ1" s="10"/>
      <c r="LHA1" s="10"/>
      <c r="LHB1" s="10"/>
      <c r="LHC1" s="10"/>
      <c r="LHD1" s="10"/>
      <c r="LHE1" s="10"/>
      <c r="LHF1" s="10"/>
      <c r="LHG1" s="10"/>
      <c r="LHH1" s="10"/>
      <c r="LHI1" s="10"/>
      <c r="LHJ1" s="10"/>
      <c r="LHK1" s="10"/>
      <c r="LHL1" s="10"/>
      <c r="LHM1" s="10"/>
      <c r="LHN1" s="10"/>
      <c r="LHO1" s="10"/>
      <c r="LHP1" s="10"/>
      <c r="LHQ1" s="10"/>
      <c r="LHR1" s="10"/>
      <c r="LHS1" s="10"/>
      <c r="LHT1" s="10"/>
      <c r="LHU1" s="10"/>
      <c r="LHV1" s="10"/>
      <c r="LHW1" s="10"/>
      <c r="LHX1" s="10"/>
      <c r="LHY1" s="10"/>
      <c r="LHZ1" s="10"/>
      <c r="LIA1" s="10"/>
      <c r="LIB1" s="10"/>
      <c r="LIC1" s="10"/>
      <c r="LID1" s="10"/>
      <c r="LIE1" s="10"/>
      <c r="LIF1" s="10"/>
      <c r="LIG1" s="10"/>
      <c r="LIH1" s="10"/>
      <c r="LII1" s="10"/>
      <c r="LIJ1" s="10"/>
      <c r="LIK1" s="10"/>
      <c r="LIL1" s="10"/>
      <c r="LIM1" s="10"/>
      <c r="LIN1" s="10"/>
      <c r="LIO1" s="10"/>
      <c r="LIP1" s="10"/>
      <c r="LIQ1" s="10"/>
      <c r="LIR1" s="10"/>
      <c r="LIS1" s="10"/>
      <c r="LIT1" s="10"/>
      <c r="LIU1" s="10"/>
      <c r="LIV1" s="10"/>
      <c r="LIW1" s="10"/>
      <c r="LIX1" s="10"/>
      <c r="LIY1" s="10"/>
      <c r="LIZ1" s="10"/>
      <c r="LJA1" s="10"/>
      <c r="LJB1" s="10"/>
      <c r="LJC1" s="10"/>
      <c r="LJD1" s="10"/>
      <c r="LJE1" s="10"/>
      <c r="LJF1" s="10"/>
      <c r="LJG1" s="10"/>
      <c r="LJH1" s="10"/>
      <c r="LJI1" s="10"/>
      <c r="LJJ1" s="10"/>
      <c r="LJK1" s="10"/>
      <c r="LJL1" s="10"/>
      <c r="LJM1" s="10"/>
      <c r="LJN1" s="10"/>
      <c r="LJO1" s="10"/>
      <c r="LJP1" s="10"/>
      <c r="LJQ1" s="10"/>
      <c r="LJR1" s="10"/>
      <c r="LJS1" s="10"/>
      <c r="LJT1" s="10"/>
      <c r="LJU1" s="10"/>
      <c r="LJV1" s="10"/>
      <c r="LJW1" s="10"/>
      <c r="LJX1" s="10"/>
      <c r="LJY1" s="10"/>
      <c r="LJZ1" s="10"/>
      <c r="LKA1" s="10"/>
      <c r="LKB1" s="10"/>
      <c r="LKC1" s="10"/>
      <c r="LKD1" s="10"/>
      <c r="LKE1" s="10"/>
      <c r="LKF1" s="10"/>
      <c r="LKG1" s="10"/>
      <c r="LKH1" s="10"/>
      <c r="LKI1" s="10"/>
      <c r="LKJ1" s="10"/>
      <c r="LKK1" s="10"/>
      <c r="LKL1" s="10"/>
      <c r="LKM1" s="10"/>
      <c r="LKN1" s="10"/>
      <c r="LKO1" s="10"/>
      <c r="LKP1" s="10"/>
      <c r="LKQ1" s="10"/>
      <c r="LKR1" s="10"/>
      <c r="LKS1" s="10"/>
      <c r="LKT1" s="10"/>
      <c r="LKU1" s="10"/>
      <c r="LKV1" s="10"/>
      <c r="LKW1" s="10"/>
      <c r="LKX1" s="10"/>
      <c r="LKY1" s="10"/>
      <c r="LKZ1" s="10"/>
      <c r="LLA1" s="10"/>
      <c r="LLB1" s="10"/>
      <c r="LLC1" s="10"/>
      <c r="LLD1" s="10"/>
      <c r="LLE1" s="10"/>
      <c r="LLF1" s="10"/>
      <c r="LLG1" s="10"/>
      <c r="LLH1" s="10"/>
      <c r="LLI1" s="10"/>
      <c r="LLJ1" s="10"/>
      <c r="LLK1" s="10"/>
      <c r="LLL1" s="10"/>
      <c r="LLM1" s="10"/>
      <c r="LLN1" s="10"/>
      <c r="LLO1" s="10"/>
      <c r="LLP1" s="10"/>
      <c r="LLQ1" s="10"/>
      <c r="LLR1" s="10"/>
      <c r="LLS1" s="10"/>
      <c r="LLT1" s="10"/>
      <c r="LLU1" s="10"/>
      <c r="LLV1" s="10"/>
      <c r="LLW1" s="10"/>
      <c r="LLX1" s="10"/>
      <c r="LLY1" s="10"/>
      <c r="LLZ1" s="10"/>
      <c r="LMA1" s="10"/>
      <c r="LMB1" s="10"/>
      <c r="LMC1" s="10"/>
      <c r="LMD1" s="10"/>
      <c r="LME1" s="10"/>
      <c r="LMF1" s="10"/>
      <c r="LMG1" s="10"/>
      <c r="LMH1" s="10"/>
      <c r="LMI1" s="10"/>
      <c r="LMJ1" s="10"/>
      <c r="LMK1" s="10"/>
      <c r="LML1" s="10"/>
      <c r="LMM1" s="10"/>
      <c r="LMN1" s="10"/>
      <c r="LMO1" s="10"/>
      <c r="LMP1" s="10"/>
      <c r="LMQ1" s="10"/>
      <c r="LMR1" s="10"/>
      <c r="LMS1" s="10"/>
      <c r="LMT1" s="10"/>
      <c r="LMU1" s="10"/>
      <c r="LMV1" s="10"/>
      <c r="LMW1" s="10"/>
      <c r="LMX1" s="10"/>
      <c r="LMY1" s="10"/>
      <c r="LMZ1" s="10"/>
      <c r="LNA1" s="10"/>
      <c r="LNB1" s="10"/>
      <c r="LNC1" s="10"/>
      <c r="LND1" s="10"/>
      <c r="LNE1" s="10"/>
      <c r="LNF1" s="10"/>
      <c r="LNG1" s="10"/>
      <c r="LNH1" s="10"/>
      <c r="LNI1" s="10"/>
      <c r="LNJ1" s="10"/>
      <c r="LNK1" s="10"/>
      <c r="LNL1" s="10"/>
      <c r="LNM1" s="10"/>
      <c r="LNN1" s="10"/>
      <c r="LNO1" s="10"/>
      <c r="LNP1" s="10"/>
      <c r="LNQ1" s="10"/>
      <c r="LNR1" s="10"/>
      <c r="LNS1" s="10"/>
      <c r="LNT1" s="10"/>
      <c r="LNU1" s="10"/>
      <c r="LNV1" s="10"/>
      <c r="LNW1" s="10"/>
      <c r="LNX1" s="10"/>
      <c r="LNY1" s="10"/>
      <c r="LNZ1" s="10"/>
      <c r="LOA1" s="10"/>
      <c r="LOB1" s="10"/>
      <c r="LOC1" s="10"/>
      <c r="LOD1" s="10"/>
      <c r="LOE1" s="10"/>
      <c r="LOF1" s="10"/>
      <c r="LOG1" s="10"/>
      <c r="LOH1" s="10"/>
      <c r="LOI1" s="10"/>
      <c r="LOJ1" s="10"/>
      <c r="LOK1" s="10"/>
      <c r="LOL1" s="10"/>
      <c r="LOM1" s="10"/>
      <c r="LON1" s="10"/>
      <c r="LOO1" s="10"/>
      <c r="LOP1" s="10"/>
      <c r="LOQ1" s="10"/>
      <c r="LOR1" s="10"/>
      <c r="LOS1" s="10"/>
      <c r="LOT1" s="10"/>
      <c r="LOU1" s="10"/>
      <c r="LOV1" s="10"/>
      <c r="LOW1" s="10"/>
      <c r="LOX1" s="10"/>
      <c r="LOY1" s="10"/>
      <c r="LOZ1" s="10"/>
      <c r="LPA1" s="10"/>
      <c r="LPB1" s="10"/>
      <c r="LPC1" s="10"/>
      <c r="LPD1" s="10"/>
      <c r="LPE1" s="10"/>
      <c r="LPF1" s="10"/>
      <c r="LPG1" s="10"/>
      <c r="LPH1" s="10"/>
      <c r="LPI1" s="10"/>
      <c r="LPJ1" s="10"/>
      <c r="LPK1" s="10"/>
      <c r="LPL1" s="10"/>
      <c r="LPM1" s="10"/>
      <c r="LPN1" s="10"/>
      <c r="LPO1" s="10"/>
      <c r="LPP1" s="10"/>
      <c r="LPQ1" s="10"/>
      <c r="LPR1" s="10"/>
      <c r="LPS1" s="10"/>
      <c r="LPT1" s="10"/>
      <c r="LPU1" s="10"/>
      <c r="LPV1" s="10"/>
      <c r="LPW1" s="10"/>
      <c r="LPX1" s="10"/>
      <c r="LPY1" s="10"/>
      <c r="LPZ1" s="10"/>
      <c r="LQA1" s="10"/>
      <c r="LQB1" s="10"/>
      <c r="LQC1" s="10"/>
      <c r="LQD1" s="10"/>
      <c r="LQE1" s="10"/>
      <c r="LQF1" s="10"/>
      <c r="LQG1" s="10"/>
      <c r="LQH1" s="10"/>
      <c r="LQI1" s="10"/>
      <c r="LQJ1" s="10"/>
      <c r="LQK1" s="10"/>
      <c r="LQL1" s="10"/>
      <c r="LQM1" s="10"/>
      <c r="LQN1" s="10"/>
      <c r="LQO1" s="10"/>
      <c r="LQP1" s="10"/>
      <c r="LQQ1" s="10"/>
      <c r="LQR1" s="10"/>
      <c r="LQS1" s="10"/>
      <c r="LQT1" s="10"/>
      <c r="LQU1" s="10"/>
      <c r="LQV1" s="10"/>
      <c r="LQW1" s="10"/>
      <c r="LQX1" s="10"/>
      <c r="LQY1" s="10"/>
      <c r="LQZ1" s="10"/>
      <c r="LRA1" s="10"/>
      <c r="LRB1" s="10"/>
      <c r="LRC1" s="10"/>
      <c r="LRD1" s="10"/>
      <c r="LRE1" s="10"/>
      <c r="LRF1" s="10"/>
      <c r="LRG1" s="10"/>
      <c r="LRH1" s="10"/>
      <c r="LRI1" s="10"/>
      <c r="LRJ1" s="10"/>
      <c r="LRK1" s="10"/>
      <c r="LRL1" s="10"/>
      <c r="LRM1" s="10"/>
      <c r="LRN1" s="10"/>
      <c r="LRO1" s="10"/>
      <c r="LRP1" s="10"/>
      <c r="LRQ1" s="10"/>
      <c r="LRR1" s="10"/>
      <c r="LRS1" s="10"/>
      <c r="LRT1" s="10"/>
      <c r="LRU1" s="10"/>
      <c r="LRV1" s="10"/>
      <c r="LRW1" s="10"/>
      <c r="LRX1" s="10"/>
      <c r="LRY1" s="10"/>
      <c r="LRZ1" s="10"/>
      <c r="LSA1" s="10"/>
      <c r="LSB1" s="10"/>
      <c r="LSC1" s="10"/>
      <c r="LSD1" s="10"/>
      <c r="LSE1" s="10"/>
      <c r="LSF1" s="10"/>
      <c r="LSG1" s="10"/>
      <c r="LSH1" s="10"/>
      <c r="LSI1" s="10"/>
      <c r="LSJ1" s="10"/>
      <c r="LSK1" s="10"/>
      <c r="LSL1" s="10"/>
      <c r="LSM1" s="10"/>
      <c r="LSN1" s="10"/>
      <c r="LSO1" s="10"/>
      <c r="LSP1" s="10"/>
      <c r="LSQ1" s="10"/>
      <c r="LSR1" s="10"/>
      <c r="LSS1" s="10"/>
      <c r="LST1" s="10"/>
      <c r="LSU1" s="10"/>
      <c r="LSV1" s="10"/>
      <c r="LSW1" s="10"/>
      <c r="LSX1" s="10"/>
      <c r="LSY1" s="10"/>
      <c r="LSZ1" s="10"/>
      <c r="LTA1" s="10"/>
      <c r="LTB1" s="10"/>
      <c r="LTC1" s="10"/>
      <c r="LTD1" s="10"/>
      <c r="LTE1" s="10"/>
      <c r="LTF1" s="10"/>
      <c r="LTG1" s="10"/>
      <c r="LTH1" s="10"/>
      <c r="LTI1" s="10"/>
      <c r="LTJ1" s="10"/>
      <c r="LTK1" s="10"/>
      <c r="LTL1" s="10"/>
      <c r="LTM1" s="10"/>
      <c r="LTN1" s="10"/>
      <c r="LTO1" s="10"/>
      <c r="LTP1" s="10"/>
      <c r="LTQ1" s="10"/>
      <c r="LTR1" s="10"/>
      <c r="LTS1" s="10"/>
      <c r="LTT1" s="10"/>
      <c r="LTU1" s="10"/>
      <c r="LTV1" s="10"/>
      <c r="LTW1" s="10"/>
      <c r="LTX1" s="10"/>
      <c r="LTY1" s="10"/>
      <c r="LTZ1" s="10"/>
      <c r="LUA1" s="10"/>
      <c r="LUB1" s="10"/>
      <c r="LUC1" s="10"/>
      <c r="LUD1" s="10"/>
      <c r="LUE1" s="10"/>
      <c r="LUF1" s="10"/>
      <c r="LUG1" s="10"/>
      <c r="LUH1" s="10"/>
      <c r="LUI1" s="10"/>
      <c r="LUJ1" s="10"/>
      <c r="LUK1" s="10"/>
      <c r="LUL1" s="10"/>
      <c r="LUM1" s="10"/>
      <c r="LUN1" s="10"/>
      <c r="LUO1" s="10"/>
      <c r="LUP1" s="10"/>
      <c r="LUQ1" s="10"/>
      <c r="LUR1" s="10"/>
      <c r="LUS1" s="10"/>
      <c r="LUT1" s="10"/>
      <c r="LUU1" s="10"/>
      <c r="LUV1" s="10"/>
      <c r="LUW1" s="10"/>
      <c r="LUX1" s="10"/>
      <c r="LUY1" s="10"/>
      <c r="LUZ1" s="10"/>
      <c r="LVA1" s="10"/>
      <c r="LVB1" s="10"/>
      <c r="LVC1" s="10"/>
      <c r="LVD1" s="10"/>
      <c r="LVE1" s="10"/>
      <c r="LVF1" s="10"/>
      <c r="LVG1" s="10"/>
      <c r="LVH1" s="10"/>
      <c r="LVI1" s="10"/>
      <c r="LVJ1" s="10"/>
      <c r="LVK1" s="10"/>
      <c r="LVL1" s="10"/>
      <c r="LVM1" s="10"/>
      <c r="LVN1" s="10"/>
      <c r="LVO1" s="10"/>
      <c r="LVP1" s="10"/>
      <c r="LVQ1" s="10"/>
      <c r="LVR1" s="10"/>
      <c r="LVS1" s="10"/>
      <c r="LVT1" s="10"/>
      <c r="LVU1" s="10"/>
      <c r="LVV1" s="10"/>
      <c r="LVW1" s="10"/>
      <c r="LVX1" s="10"/>
      <c r="LVY1" s="10"/>
      <c r="LVZ1" s="10"/>
      <c r="LWA1" s="10"/>
      <c r="LWB1" s="10"/>
      <c r="LWC1" s="10"/>
      <c r="LWD1" s="10"/>
      <c r="LWE1" s="10"/>
      <c r="LWF1" s="10"/>
      <c r="LWG1" s="10"/>
      <c r="LWH1" s="10"/>
      <c r="LWI1" s="10"/>
      <c r="LWJ1" s="10"/>
      <c r="LWK1" s="10"/>
      <c r="LWL1" s="10"/>
      <c r="LWM1" s="10"/>
      <c r="LWN1" s="10"/>
      <c r="LWO1" s="10"/>
      <c r="LWP1" s="10"/>
      <c r="LWQ1" s="10"/>
      <c r="LWR1" s="10"/>
      <c r="LWS1" s="10"/>
      <c r="LWT1" s="10"/>
      <c r="LWU1" s="10"/>
      <c r="LWV1" s="10"/>
      <c r="LWW1" s="10"/>
      <c r="LWX1" s="10"/>
      <c r="LWY1" s="10"/>
      <c r="LWZ1" s="10"/>
      <c r="LXA1" s="10"/>
      <c r="LXB1" s="10"/>
      <c r="LXC1" s="10"/>
      <c r="LXD1" s="10"/>
      <c r="LXE1" s="10"/>
      <c r="LXF1" s="10"/>
      <c r="LXG1" s="10"/>
      <c r="LXH1" s="10"/>
      <c r="LXI1" s="10"/>
      <c r="LXJ1" s="10"/>
      <c r="LXK1" s="10"/>
      <c r="LXL1" s="10"/>
      <c r="LXM1" s="10"/>
      <c r="LXN1" s="10"/>
      <c r="LXO1" s="10"/>
      <c r="LXP1" s="10"/>
      <c r="LXQ1" s="10"/>
      <c r="LXR1" s="10"/>
      <c r="LXS1" s="10"/>
      <c r="LXT1" s="10"/>
      <c r="LXU1" s="10"/>
      <c r="LXV1" s="10"/>
      <c r="LXW1" s="10"/>
      <c r="LXX1" s="10"/>
      <c r="LXY1" s="10"/>
      <c r="LXZ1" s="10"/>
      <c r="LYA1" s="10"/>
      <c r="LYB1" s="10"/>
      <c r="LYC1" s="10"/>
      <c r="LYD1" s="10"/>
      <c r="LYE1" s="10"/>
      <c r="LYF1" s="10"/>
      <c r="LYG1" s="10"/>
      <c r="LYH1" s="10"/>
      <c r="LYI1" s="10"/>
      <c r="LYJ1" s="10"/>
      <c r="LYK1" s="10"/>
      <c r="LYL1" s="10"/>
      <c r="LYM1" s="10"/>
      <c r="LYN1" s="10"/>
      <c r="LYO1" s="10"/>
      <c r="LYP1" s="10"/>
      <c r="LYQ1" s="10"/>
      <c r="LYR1" s="10"/>
      <c r="LYS1" s="10"/>
      <c r="LYT1" s="10"/>
      <c r="LYU1" s="10"/>
      <c r="LYV1" s="10"/>
      <c r="LYW1" s="10"/>
      <c r="LYX1" s="10"/>
      <c r="LYY1" s="10"/>
      <c r="LYZ1" s="10"/>
      <c r="LZA1" s="10"/>
      <c r="LZB1" s="10"/>
      <c r="LZC1" s="10"/>
      <c r="LZD1" s="10"/>
      <c r="LZE1" s="10"/>
      <c r="LZF1" s="10"/>
      <c r="LZG1" s="10"/>
      <c r="LZH1" s="10"/>
      <c r="LZI1" s="10"/>
      <c r="LZJ1" s="10"/>
      <c r="LZK1" s="10"/>
      <c r="LZL1" s="10"/>
      <c r="LZM1" s="10"/>
      <c r="LZN1" s="10"/>
      <c r="LZO1" s="10"/>
      <c r="LZP1" s="10"/>
      <c r="LZQ1" s="10"/>
      <c r="LZR1" s="10"/>
      <c r="LZS1" s="10"/>
      <c r="LZT1" s="10"/>
      <c r="LZU1" s="10"/>
      <c r="LZV1" s="10"/>
      <c r="LZW1" s="10"/>
      <c r="LZX1" s="10"/>
      <c r="LZY1" s="10"/>
      <c r="LZZ1" s="10"/>
      <c r="MAA1" s="10"/>
      <c r="MAB1" s="10"/>
      <c r="MAC1" s="10"/>
      <c r="MAD1" s="10"/>
      <c r="MAE1" s="10"/>
      <c r="MAF1" s="10"/>
      <c r="MAG1" s="10"/>
      <c r="MAH1" s="10"/>
      <c r="MAI1" s="10"/>
      <c r="MAJ1" s="10"/>
      <c r="MAK1" s="10"/>
      <c r="MAL1" s="10"/>
      <c r="MAM1" s="10"/>
      <c r="MAN1" s="10"/>
      <c r="MAO1" s="10"/>
      <c r="MAP1" s="10"/>
      <c r="MAQ1" s="10"/>
      <c r="MAR1" s="10"/>
      <c r="MAS1" s="10"/>
      <c r="MAT1" s="10"/>
      <c r="MAU1" s="10"/>
      <c r="MAV1" s="10"/>
      <c r="MAW1" s="10"/>
      <c r="MAX1" s="10"/>
      <c r="MAY1" s="10"/>
      <c r="MAZ1" s="10"/>
      <c r="MBA1" s="10"/>
      <c r="MBB1" s="10"/>
      <c r="MBC1" s="10"/>
      <c r="MBD1" s="10"/>
      <c r="MBE1" s="10"/>
      <c r="MBF1" s="10"/>
      <c r="MBG1" s="10"/>
      <c r="MBH1" s="10"/>
      <c r="MBI1" s="10"/>
      <c r="MBJ1" s="10"/>
      <c r="MBK1" s="10"/>
      <c r="MBL1" s="10"/>
      <c r="MBM1" s="10"/>
      <c r="MBN1" s="10"/>
      <c r="MBO1" s="10"/>
      <c r="MBP1" s="10"/>
      <c r="MBQ1" s="10"/>
      <c r="MBR1" s="10"/>
      <c r="MBS1" s="10"/>
      <c r="MBT1" s="10"/>
      <c r="MBU1" s="10"/>
      <c r="MBV1" s="10"/>
      <c r="MBW1" s="10"/>
      <c r="MBX1" s="10"/>
      <c r="MBY1" s="10"/>
      <c r="MBZ1" s="10"/>
      <c r="MCA1" s="10"/>
      <c r="MCB1" s="10"/>
      <c r="MCC1" s="10"/>
      <c r="MCD1" s="10"/>
      <c r="MCE1" s="10"/>
      <c r="MCF1" s="10"/>
      <c r="MCG1" s="10"/>
      <c r="MCH1" s="10"/>
      <c r="MCI1" s="10"/>
      <c r="MCJ1" s="10"/>
      <c r="MCK1" s="10"/>
      <c r="MCL1" s="10"/>
      <c r="MCM1" s="10"/>
      <c r="MCN1" s="10"/>
      <c r="MCO1" s="10"/>
      <c r="MCP1" s="10"/>
      <c r="MCQ1" s="10"/>
      <c r="MCR1" s="10"/>
      <c r="MCS1" s="10"/>
      <c r="MCT1" s="10"/>
      <c r="MCU1" s="10"/>
      <c r="MCV1" s="10"/>
      <c r="MCW1" s="10"/>
      <c r="MCX1" s="10"/>
      <c r="MCY1" s="10"/>
      <c r="MCZ1" s="10"/>
      <c r="MDA1" s="10"/>
      <c r="MDB1" s="10"/>
      <c r="MDC1" s="10"/>
      <c r="MDD1" s="10"/>
      <c r="MDE1" s="10"/>
      <c r="MDF1" s="10"/>
      <c r="MDG1" s="10"/>
      <c r="MDH1" s="10"/>
      <c r="MDI1" s="10"/>
      <c r="MDJ1" s="10"/>
      <c r="MDK1" s="10"/>
      <c r="MDL1" s="10"/>
      <c r="MDM1" s="10"/>
      <c r="MDN1" s="10"/>
      <c r="MDO1" s="10"/>
      <c r="MDP1" s="10"/>
      <c r="MDQ1" s="10"/>
      <c r="MDR1" s="10"/>
      <c r="MDS1" s="10"/>
      <c r="MDT1" s="10"/>
      <c r="MDU1" s="10"/>
      <c r="MDV1" s="10"/>
      <c r="MDW1" s="10"/>
      <c r="MDX1" s="10"/>
      <c r="MDY1" s="10"/>
      <c r="MDZ1" s="10"/>
      <c r="MEA1" s="10"/>
      <c r="MEB1" s="10"/>
      <c r="MEC1" s="10"/>
      <c r="MED1" s="10"/>
      <c r="MEE1" s="10"/>
      <c r="MEF1" s="10"/>
      <c r="MEG1" s="10"/>
      <c r="MEH1" s="10"/>
      <c r="MEI1" s="10"/>
      <c r="MEJ1" s="10"/>
      <c r="MEK1" s="10"/>
      <c r="MEL1" s="10"/>
      <c r="MEM1" s="10"/>
      <c r="MEN1" s="10"/>
      <c r="MEO1" s="10"/>
      <c r="MEP1" s="10"/>
      <c r="MEQ1" s="10"/>
      <c r="MER1" s="10"/>
      <c r="MES1" s="10"/>
      <c r="MET1" s="10"/>
      <c r="MEU1" s="10"/>
      <c r="MEV1" s="10"/>
      <c r="MEW1" s="10"/>
      <c r="MEX1" s="10"/>
      <c r="MEY1" s="10"/>
      <c r="MEZ1" s="10"/>
      <c r="MFA1" s="10"/>
      <c r="MFB1" s="10"/>
      <c r="MFC1" s="10"/>
      <c r="MFD1" s="10"/>
      <c r="MFE1" s="10"/>
      <c r="MFF1" s="10"/>
      <c r="MFG1" s="10"/>
      <c r="MFH1" s="10"/>
      <c r="MFI1" s="10"/>
      <c r="MFJ1" s="10"/>
      <c r="MFK1" s="10"/>
      <c r="MFL1" s="10"/>
      <c r="MFM1" s="10"/>
      <c r="MFN1" s="10"/>
      <c r="MFO1" s="10"/>
      <c r="MFP1" s="10"/>
      <c r="MFQ1" s="10"/>
      <c r="MFR1" s="10"/>
      <c r="MFS1" s="10"/>
      <c r="MFT1" s="10"/>
      <c r="MFU1" s="10"/>
      <c r="MFV1" s="10"/>
      <c r="MFW1" s="10"/>
      <c r="MFX1" s="10"/>
      <c r="MFY1" s="10"/>
      <c r="MFZ1" s="10"/>
      <c r="MGA1" s="10"/>
      <c r="MGB1" s="10"/>
      <c r="MGC1" s="10"/>
      <c r="MGD1" s="10"/>
      <c r="MGE1" s="10"/>
      <c r="MGF1" s="10"/>
      <c r="MGG1" s="10"/>
      <c r="MGH1" s="10"/>
      <c r="MGI1" s="10"/>
      <c r="MGJ1" s="10"/>
      <c r="MGK1" s="10"/>
      <c r="MGL1" s="10"/>
      <c r="MGM1" s="10"/>
      <c r="MGN1" s="10"/>
      <c r="MGO1" s="10"/>
      <c r="MGP1" s="10"/>
      <c r="MGQ1" s="10"/>
      <c r="MGR1" s="10"/>
      <c r="MGS1" s="10"/>
      <c r="MGT1" s="10"/>
      <c r="MGU1" s="10"/>
      <c r="MGV1" s="10"/>
      <c r="MGW1" s="10"/>
      <c r="MGX1" s="10"/>
      <c r="MGY1" s="10"/>
      <c r="MGZ1" s="10"/>
      <c r="MHA1" s="10"/>
      <c r="MHB1" s="10"/>
      <c r="MHC1" s="10"/>
      <c r="MHD1" s="10"/>
      <c r="MHE1" s="10"/>
      <c r="MHF1" s="10"/>
      <c r="MHG1" s="10"/>
      <c r="MHH1" s="10"/>
      <c r="MHI1" s="10"/>
      <c r="MHJ1" s="10"/>
      <c r="MHK1" s="10"/>
      <c r="MHL1" s="10"/>
      <c r="MHM1" s="10"/>
      <c r="MHN1" s="10"/>
      <c r="MHO1" s="10"/>
      <c r="MHP1" s="10"/>
      <c r="MHQ1" s="10"/>
      <c r="MHR1" s="10"/>
      <c r="MHS1" s="10"/>
      <c r="MHT1" s="10"/>
      <c r="MHU1" s="10"/>
      <c r="MHV1" s="10"/>
      <c r="MHW1" s="10"/>
      <c r="MHX1" s="10"/>
      <c r="MHY1" s="10"/>
      <c r="MHZ1" s="10"/>
      <c r="MIA1" s="10"/>
      <c r="MIB1" s="10"/>
      <c r="MIC1" s="10"/>
      <c r="MID1" s="10"/>
      <c r="MIE1" s="10"/>
      <c r="MIF1" s="10"/>
      <c r="MIG1" s="10"/>
      <c r="MIH1" s="10"/>
      <c r="MII1" s="10"/>
      <c r="MIJ1" s="10"/>
      <c r="MIK1" s="10"/>
      <c r="MIL1" s="10"/>
      <c r="MIM1" s="10"/>
      <c r="MIN1" s="10"/>
      <c r="MIO1" s="10"/>
      <c r="MIP1" s="10"/>
      <c r="MIQ1" s="10"/>
      <c r="MIR1" s="10"/>
      <c r="MIS1" s="10"/>
      <c r="MIT1" s="10"/>
      <c r="MIU1" s="10"/>
      <c r="MIV1" s="10"/>
      <c r="MIW1" s="10"/>
      <c r="MIX1" s="10"/>
      <c r="MIY1" s="10"/>
      <c r="MIZ1" s="10"/>
      <c r="MJA1" s="10"/>
      <c r="MJB1" s="10"/>
      <c r="MJC1" s="10"/>
      <c r="MJD1" s="10"/>
      <c r="MJE1" s="10"/>
      <c r="MJF1" s="10"/>
      <c r="MJG1" s="10"/>
      <c r="MJH1" s="10"/>
      <c r="MJI1" s="10"/>
      <c r="MJJ1" s="10"/>
      <c r="MJK1" s="10"/>
      <c r="MJL1" s="10"/>
      <c r="MJM1" s="10"/>
      <c r="MJN1" s="10"/>
      <c r="MJO1" s="10"/>
      <c r="MJP1" s="10"/>
      <c r="MJQ1" s="10"/>
      <c r="MJR1" s="10"/>
      <c r="MJS1" s="10"/>
      <c r="MJT1" s="10"/>
      <c r="MJU1" s="10"/>
      <c r="MJV1" s="10"/>
      <c r="MJW1" s="10"/>
      <c r="MJX1" s="10"/>
      <c r="MJY1" s="10"/>
      <c r="MJZ1" s="10"/>
      <c r="MKA1" s="10"/>
      <c r="MKB1" s="10"/>
      <c r="MKC1" s="10"/>
      <c r="MKD1" s="10"/>
      <c r="MKE1" s="10"/>
      <c r="MKF1" s="10"/>
      <c r="MKG1" s="10"/>
      <c r="MKH1" s="10"/>
      <c r="MKI1" s="10"/>
      <c r="MKJ1" s="10"/>
      <c r="MKK1" s="10"/>
      <c r="MKL1" s="10"/>
      <c r="MKM1" s="10"/>
      <c r="MKN1" s="10"/>
      <c r="MKO1" s="10"/>
      <c r="MKP1" s="10"/>
      <c r="MKQ1" s="10"/>
      <c r="MKR1" s="10"/>
      <c r="MKS1" s="10"/>
      <c r="MKT1" s="10"/>
      <c r="MKU1" s="10"/>
      <c r="MKV1" s="10"/>
      <c r="MKW1" s="10"/>
      <c r="MKX1" s="10"/>
      <c r="MKY1" s="10"/>
      <c r="MKZ1" s="10"/>
      <c r="MLA1" s="10"/>
      <c r="MLB1" s="10"/>
      <c r="MLC1" s="10"/>
      <c r="MLD1" s="10"/>
      <c r="MLE1" s="10"/>
      <c r="MLF1" s="10"/>
      <c r="MLG1" s="10"/>
      <c r="MLH1" s="10"/>
      <c r="MLI1" s="10"/>
      <c r="MLJ1" s="10"/>
      <c r="MLK1" s="10"/>
      <c r="MLL1" s="10"/>
      <c r="MLM1" s="10"/>
      <c r="MLN1" s="10"/>
      <c r="MLO1" s="10"/>
      <c r="MLP1" s="10"/>
      <c r="MLQ1" s="10"/>
      <c r="MLR1" s="10"/>
      <c r="MLS1" s="10"/>
      <c r="MLT1" s="10"/>
      <c r="MLU1" s="10"/>
      <c r="MLV1" s="10"/>
      <c r="MLW1" s="10"/>
      <c r="MLX1" s="10"/>
      <c r="MLY1" s="10"/>
      <c r="MLZ1" s="10"/>
      <c r="MMA1" s="10"/>
      <c r="MMB1" s="10"/>
      <c r="MMC1" s="10"/>
      <c r="MMD1" s="10"/>
      <c r="MME1" s="10"/>
      <c r="MMF1" s="10"/>
      <c r="MMG1" s="10"/>
      <c r="MMH1" s="10"/>
      <c r="MMI1" s="10"/>
      <c r="MMJ1" s="10"/>
      <c r="MMK1" s="10"/>
      <c r="MML1" s="10"/>
      <c r="MMM1" s="10"/>
      <c r="MMN1" s="10"/>
      <c r="MMO1" s="10"/>
      <c r="MMP1" s="10"/>
      <c r="MMQ1" s="10"/>
      <c r="MMR1" s="10"/>
      <c r="MMS1" s="10"/>
      <c r="MMT1" s="10"/>
      <c r="MMU1" s="10"/>
      <c r="MMV1" s="10"/>
      <c r="MMW1" s="10"/>
      <c r="MMX1" s="10"/>
      <c r="MMY1" s="10"/>
      <c r="MMZ1" s="10"/>
      <c r="MNA1" s="10"/>
      <c r="MNB1" s="10"/>
      <c r="MNC1" s="10"/>
      <c r="MND1" s="10"/>
      <c r="MNE1" s="10"/>
      <c r="MNF1" s="10"/>
      <c r="MNG1" s="10"/>
      <c r="MNH1" s="10"/>
      <c r="MNI1" s="10"/>
      <c r="MNJ1" s="10"/>
      <c r="MNK1" s="10"/>
      <c r="MNL1" s="10"/>
      <c r="MNM1" s="10"/>
      <c r="MNN1" s="10"/>
      <c r="MNO1" s="10"/>
      <c r="MNP1" s="10"/>
      <c r="MNQ1" s="10"/>
      <c r="MNR1" s="10"/>
      <c r="MNS1" s="10"/>
      <c r="MNT1" s="10"/>
      <c r="MNU1" s="10"/>
      <c r="MNV1" s="10"/>
      <c r="MNW1" s="10"/>
      <c r="MNX1" s="10"/>
      <c r="MNY1" s="10"/>
      <c r="MNZ1" s="10"/>
      <c r="MOA1" s="10"/>
      <c r="MOB1" s="10"/>
      <c r="MOC1" s="10"/>
      <c r="MOD1" s="10"/>
      <c r="MOE1" s="10"/>
      <c r="MOF1" s="10"/>
      <c r="MOG1" s="10"/>
      <c r="MOH1" s="10"/>
      <c r="MOI1" s="10"/>
      <c r="MOJ1" s="10"/>
      <c r="MOK1" s="10"/>
      <c r="MOL1" s="10"/>
      <c r="MOM1" s="10"/>
      <c r="MON1" s="10"/>
      <c r="MOO1" s="10"/>
      <c r="MOP1" s="10"/>
      <c r="MOQ1" s="10"/>
      <c r="MOR1" s="10"/>
      <c r="MOS1" s="10"/>
      <c r="MOT1" s="10"/>
      <c r="MOU1" s="10"/>
      <c r="MOV1" s="10"/>
      <c r="MOW1" s="10"/>
      <c r="MOX1" s="10"/>
      <c r="MOY1" s="10"/>
      <c r="MOZ1" s="10"/>
      <c r="MPA1" s="10"/>
      <c r="MPB1" s="10"/>
      <c r="MPC1" s="10"/>
      <c r="MPD1" s="10"/>
      <c r="MPE1" s="10"/>
      <c r="MPF1" s="10"/>
      <c r="MPG1" s="10"/>
      <c r="MPH1" s="10"/>
      <c r="MPI1" s="10"/>
      <c r="MPJ1" s="10"/>
      <c r="MPK1" s="10"/>
      <c r="MPL1" s="10"/>
      <c r="MPM1" s="10"/>
      <c r="MPN1" s="10"/>
      <c r="MPO1" s="10"/>
      <c r="MPP1" s="10"/>
      <c r="MPQ1" s="10"/>
      <c r="MPR1" s="10"/>
      <c r="MPS1" s="10"/>
      <c r="MPT1" s="10"/>
      <c r="MPU1" s="10"/>
      <c r="MPV1" s="10"/>
      <c r="MPW1" s="10"/>
      <c r="MPX1" s="10"/>
      <c r="MPY1" s="10"/>
      <c r="MPZ1" s="10"/>
      <c r="MQA1" s="10"/>
      <c r="MQB1" s="10"/>
      <c r="MQC1" s="10"/>
      <c r="MQD1" s="10"/>
      <c r="MQE1" s="10"/>
      <c r="MQF1" s="10"/>
      <c r="MQG1" s="10"/>
      <c r="MQH1" s="10"/>
      <c r="MQI1" s="10"/>
      <c r="MQJ1" s="10"/>
      <c r="MQK1" s="10"/>
      <c r="MQL1" s="10"/>
      <c r="MQM1" s="10"/>
      <c r="MQN1" s="10"/>
      <c r="MQO1" s="10"/>
      <c r="MQP1" s="10"/>
      <c r="MQQ1" s="10"/>
      <c r="MQR1" s="10"/>
      <c r="MQS1" s="10"/>
      <c r="MQT1" s="10"/>
      <c r="MQU1" s="10"/>
      <c r="MQV1" s="10"/>
      <c r="MQW1" s="10"/>
      <c r="MQX1" s="10"/>
      <c r="MQY1" s="10"/>
      <c r="MQZ1" s="10"/>
      <c r="MRA1" s="10"/>
      <c r="MRB1" s="10"/>
      <c r="MRC1" s="10"/>
      <c r="MRD1" s="10"/>
      <c r="MRE1" s="10"/>
      <c r="MRF1" s="10"/>
      <c r="MRG1" s="10"/>
      <c r="MRH1" s="10"/>
      <c r="MRI1" s="10"/>
      <c r="MRJ1" s="10"/>
      <c r="MRK1" s="10"/>
      <c r="MRL1" s="10"/>
      <c r="MRM1" s="10"/>
      <c r="MRN1" s="10"/>
      <c r="MRO1" s="10"/>
      <c r="MRP1" s="10"/>
      <c r="MRQ1" s="10"/>
      <c r="MRR1" s="10"/>
      <c r="MRS1" s="10"/>
      <c r="MRT1" s="10"/>
      <c r="MRU1" s="10"/>
      <c r="MRV1" s="10"/>
      <c r="MRW1" s="10"/>
      <c r="MRX1" s="10"/>
      <c r="MRY1" s="10"/>
      <c r="MRZ1" s="10"/>
      <c r="MSA1" s="10"/>
      <c r="MSB1" s="10"/>
      <c r="MSC1" s="10"/>
      <c r="MSD1" s="10"/>
      <c r="MSE1" s="10"/>
      <c r="MSF1" s="10"/>
      <c r="MSG1" s="10"/>
      <c r="MSH1" s="10"/>
      <c r="MSI1" s="10"/>
      <c r="MSJ1" s="10"/>
      <c r="MSK1" s="10"/>
      <c r="MSL1" s="10"/>
      <c r="MSM1" s="10"/>
      <c r="MSN1" s="10"/>
      <c r="MSO1" s="10"/>
      <c r="MSP1" s="10"/>
      <c r="MSQ1" s="10"/>
      <c r="MSR1" s="10"/>
      <c r="MSS1" s="10"/>
      <c r="MST1" s="10"/>
      <c r="MSU1" s="10"/>
      <c r="MSV1" s="10"/>
      <c r="MSW1" s="10"/>
      <c r="MSX1" s="10"/>
      <c r="MSY1" s="10"/>
      <c r="MSZ1" s="10"/>
      <c r="MTA1" s="10"/>
      <c r="MTB1" s="10"/>
      <c r="MTC1" s="10"/>
      <c r="MTD1" s="10"/>
      <c r="MTE1" s="10"/>
      <c r="MTF1" s="10"/>
      <c r="MTG1" s="10"/>
      <c r="MTH1" s="10"/>
      <c r="MTI1" s="10"/>
      <c r="MTJ1" s="10"/>
      <c r="MTK1" s="10"/>
      <c r="MTL1" s="10"/>
      <c r="MTM1" s="10"/>
      <c r="MTN1" s="10"/>
      <c r="MTO1" s="10"/>
      <c r="MTP1" s="10"/>
      <c r="MTQ1" s="10"/>
      <c r="MTR1" s="10"/>
      <c r="MTS1" s="10"/>
      <c r="MTT1" s="10"/>
      <c r="MTU1" s="10"/>
      <c r="MTV1" s="10"/>
      <c r="MTW1" s="10"/>
      <c r="MTX1" s="10"/>
      <c r="MTY1" s="10"/>
      <c r="MTZ1" s="10"/>
      <c r="MUA1" s="10"/>
      <c r="MUB1" s="10"/>
      <c r="MUC1" s="10"/>
      <c r="MUD1" s="10"/>
      <c r="MUE1" s="10"/>
      <c r="MUF1" s="10"/>
      <c r="MUG1" s="10"/>
      <c r="MUH1" s="10"/>
      <c r="MUI1" s="10"/>
      <c r="MUJ1" s="10"/>
      <c r="MUK1" s="10"/>
      <c r="MUL1" s="10"/>
      <c r="MUM1" s="10"/>
      <c r="MUN1" s="10"/>
      <c r="MUO1" s="10"/>
      <c r="MUP1" s="10"/>
      <c r="MUQ1" s="10"/>
      <c r="MUR1" s="10"/>
      <c r="MUS1" s="10"/>
      <c r="MUT1" s="10"/>
      <c r="MUU1" s="10"/>
      <c r="MUV1" s="10"/>
      <c r="MUW1" s="10"/>
      <c r="MUX1" s="10"/>
      <c r="MUY1" s="10"/>
      <c r="MUZ1" s="10"/>
      <c r="MVA1" s="10"/>
      <c r="MVB1" s="10"/>
      <c r="MVC1" s="10"/>
      <c r="MVD1" s="10"/>
      <c r="MVE1" s="10"/>
      <c r="MVF1" s="10"/>
      <c r="MVG1" s="10"/>
      <c r="MVH1" s="10"/>
      <c r="MVI1" s="10"/>
      <c r="MVJ1" s="10"/>
      <c r="MVK1" s="10"/>
      <c r="MVL1" s="10"/>
      <c r="MVM1" s="10"/>
      <c r="MVN1" s="10"/>
      <c r="MVO1" s="10"/>
      <c r="MVP1" s="10"/>
      <c r="MVQ1" s="10"/>
      <c r="MVR1" s="10"/>
      <c r="MVS1" s="10"/>
      <c r="MVT1" s="10"/>
      <c r="MVU1" s="10"/>
      <c r="MVV1" s="10"/>
      <c r="MVW1" s="10"/>
      <c r="MVX1" s="10"/>
      <c r="MVY1" s="10"/>
      <c r="MVZ1" s="10"/>
      <c r="MWA1" s="10"/>
      <c r="MWB1" s="10"/>
      <c r="MWC1" s="10"/>
      <c r="MWD1" s="10"/>
      <c r="MWE1" s="10"/>
      <c r="MWF1" s="10"/>
      <c r="MWG1" s="10"/>
      <c r="MWH1" s="10"/>
      <c r="MWI1" s="10"/>
      <c r="MWJ1" s="10"/>
      <c r="MWK1" s="10"/>
      <c r="MWL1" s="10"/>
      <c r="MWM1" s="10"/>
      <c r="MWN1" s="10"/>
      <c r="MWO1" s="10"/>
      <c r="MWP1" s="10"/>
      <c r="MWQ1" s="10"/>
      <c r="MWR1" s="10"/>
      <c r="MWS1" s="10"/>
      <c r="MWT1" s="10"/>
      <c r="MWU1" s="10"/>
      <c r="MWV1" s="10"/>
      <c r="MWW1" s="10"/>
      <c r="MWX1" s="10"/>
      <c r="MWY1" s="10"/>
      <c r="MWZ1" s="10"/>
      <c r="MXA1" s="10"/>
      <c r="MXB1" s="10"/>
      <c r="MXC1" s="10"/>
      <c r="MXD1" s="10"/>
      <c r="MXE1" s="10"/>
      <c r="MXF1" s="10"/>
      <c r="MXG1" s="10"/>
      <c r="MXH1" s="10"/>
      <c r="MXI1" s="10"/>
      <c r="MXJ1" s="10"/>
      <c r="MXK1" s="10"/>
      <c r="MXL1" s="10"/>
      <c r="MXM1" s="10"/>
      <c r="MXN1" s="10"/>
      <c r="MXO1" s="10"/>
      <c r="MXP1" s="10"/>
      <c r="MXQ1" s="10"/>
      <c r="MXR1" s="10"/>
      <c r="MXS1" s="10"/>
      <c r="MXT1" s="10"/>
      <c r="MXU1" s="10"/>
      <c r="MXV1" s="10"/>
      <c r="MXW1" s="10"/>
      <c r="MXX1" s="10"/>
      <c r="MXY1" s="10"/>
      <c r="MXZ1" s="10"/>
      <c r="MYA1" s="10"/>
      <c r="MYB1" s="10"/>
      <c r="MYC1" s="10"/>
      <c r="MYD1" s="10"/>
      <c r="MYE1" s="10"/>
      <c r="MYF1" s="10"/>
      <c r="MYG1" s="10"/>
      <c r="MYH1" s="10"/>
      <c r="MYI1" s="10"/>
      <c r="MYJ1" s="10"/>
      <c r="MYK1" s="10"/>
      <c r="MYL1" s="10"/>
      <c r="MYM1" s="10"/>
      <c r="MYN1" s="10"/>
      <c r="MYO1" s="10"/>
      <c r="MYP1" s="10"/>
      <c r="MYQ1" s="10"/>
      <c r="MYR1" s="10"/>
      <c r="MYS1" s="10"/>
      <c r="MYT1" s="10"/>
      <c r="MYU1" s="10"/>
      <c r="MYV1" s="10"/>
      <c r="MYW1" s="10"/>
      <c r="MYX1" s="10"/>
      <c r="MYY1" s="10"/>
      <c r="MYZ1" s="10"/>
      <c r="MZA1" s="10"/>
      <c r="MZB1" s="10"/>
      <c r="MZC1" s="10"/>
      <c r="MZD1" s="10"/>
      <c r="MZE1" s="10"/>
      <c r="MZF1" s="10"/>
      <c r="MZG1" s="10"/>
      <c r="MZH1" s="10"/>
      <c r="MZI1" s="10"/>
      <c r="MZJ1" s="10"/>
      <c r="MZK1" s="10"/>
      <c r="MZL1" s="10"/>
      <c r="MZM1" s="10"/>
      <c r="MZN1" s="10"/>
      <c r="MZO1" s="10"/>
      <c r="MZP1" s="10"/>
      <c r="MZQ1" s="10"/>
      <c r="MZR1" s="10"/>
      <c r="MZS1" s="10"/>
      <c r="MZT1" s="10"/>
      <c r="MZU1" s="10"/>
      <c r="MZV1" s="10"/>
      <c r="MZW1" s="10"/>
      <c r="MZX1" s="10"/>
      <c r="MZY1" s="10"/>
      <c r="MZZ1" s="10"/>
      <c r="NAA1" s="10"/>
      <c r="NAB1" s="10"/>
      <c r="NAC1" s="10"/>
      <c r="NAD1" s="10"/>
      <c r="NAE1" s="10"/>
      <c r="NAF1" s="10"/>
      <c r="NAG1" s="10"/>
      <c r="NAH1" s="10"/>
      <c r="NAI1" s="10"/>
      <c r="NAJ1" s="10"/>
      <c r="NAK1" s="10"/>
      <c r="NAL1" s="10"/>
      <c r="NAM1" s="10"/>
      <c r="NAN1" s="10"/>
      <c r="NAO1" s="10"/>
      <c r="NAP1" s="10"/>
      <c r="NAQ1" s="10"/>
      <c r="NAR1" s="10"/>
      <c r="NAS1" s="10"/>
      <c r="NAT1" s="10"/>
      <c r="NAU1" s="10"/>
      <c r="NAV1" s="10"/>
      <c r="NAW1" s="10"/>
      <c r="NAX1" s="10"/>
      <c r="NAY1" s="10"/>
      <c r="NAZ1" s="10"/>
      <c r="NBA1" s="10"/>
      <c r="NBB1" s="10"/>
      <c r="NBC1" s="10"/>
      <c r="NBD1" s="10"/>
      <c r="NBE1" s="10"/>
      <c r="NBF1" s="10"/>
      <c r="NBG1" s="10"/>
      <c r="NBH1" s="10"/>
      <c r="NBI1" s="10"/>
      <c r="NBJ1" s="10"/>
      <c r="NBK1" s="10"/>
      <c r="NBL1" s="10"/>
      <c r="NBM1" s="10"/>
      <c r="NBN1" s="10"/>
      <c r="NBO1" s="10"/>
      <c r="NBP1" s="10"/>
      <c r="NBQ1" s="10"/>
      <c r="NBR1" s="10"/>
      <c r="NBS1" s="10"/>
      <c r="NBT1" s="10"/>
      <c r="NBU1" s="10"/>
      <c r="NBV1" s="10"/>
      <c r="NBW1" s="10"/>
      <c r="NBX1" s="10"/>
      <c r="NBY1" s="10"/>
      <c r="NBZ1" s="10"/>
      <c r="NCA1" s="10"/>
      <c r="NCB1" s="10"/>
      <c r="NCC1" s="10"/>
      <c r="NCD1" s="10"/>
      <c r="NCE1" s="10"/>
      <c r="NCF1" s="10"/>
      <c r="NCG1" s="10"/>
      <c r="NCH1" s="10"/>
      <c r="NCI1" s="10"/>
      <c r="NCJ1" s="10"/>
      <c r="NCK1" s="10"/>
      <c r="NCL1" s="10"/>
      <c r="NCM1" s="10"/>
      <c r="NCN1" s="10"/>
      <c r="NCO1" s="10"/>
      <c r="NCP1" s="10"/>
      <c r="NCQ1" s="10"/>
      <c r="NCR1" s="10"/>
      <c r="NCS1" s="10"/>
      <c r="NCT1" s="10"/>
      <c r="NCU1" s="10"/>
      <c r="NCV1" s="10"/>
      <c r="NCW1" s="10"/>
      <c r="NCX1" s="10"/>
      <c r="NCY1" s="10"/>
      <c r="NCZ1" s="10"/>
      <c r="NDA1" s="10"/>
      <c r="NDB1" s="10"/>
      <c r="NDC1" s="10"/>
      <c r="NDD1" s="10"/>
      <c r="NDE1" s="10"/>
      <c r="NDF1" s="10"/>
      <c r="NDG1" s="10"/>
      <c r="NDH1" s="10"/>
      <c r="NDI1" s="10"/>
      <c r="NDJ1" s="10"/>
      <c r="NDK1" s="10"/>
      <c r="NDL1" s="10"/>
      <c r="NDM1" s="10"/>
      <c r="NDN1" s="10"/>
      <c r="NDO1" s="10"/>
      <c r="NDP1" s="10"/>
      <c r="NDQ1" s="10"/>
      <c r="NDR1" s="10"/>
      <c r="NDS1" s="10"/>
      <c r="NDT1" s="10"/>
      <c r="NDU1" s="10"/>
      <c r="NDV1" s="10"/>
      <c r="NDW1" s="10"/>
      <c r="NDX1" s="10"/>
      <c r="NDY1" s="10"/>
      <c r="NDZ1" s="10"/>
      <c r="NEA1" s="10"/>
      <c r="NEB1" s="10"/>
      <c r="NEC1" s="10"/>
      <c r="NED1" s="10"/>
      <c r="NEE1" s="10"/>
      <c r="NEF1" s="10"/>
      <c r="NEG1" s="10"/>
      <c r="NEH1" s="10"/>
      <c r="NEI1" s="10"/>
      <c r="NEJ1" s="10"/>
      <c r="NEK1" s="10"/>
      <c r="NEL1" s="10"/>
      <c r="NEM1" s="10"/>
      <c r="NEN1" s="10"/>
      <c r="NEO1" s="10"/>
      <c r="NEP1" s="10"/>
      <c r="NEQ1" s="10"/>
      <c r="NER1" s="10"/>
      <c r="NES1" s="10"/>
      <c r="NET1" s="10"/>
      <c r="NEU1" s="10"/>
      <c r="NEV1" s="10"/>
      <c r="NEW1" s="10"/>
      <c r="NEX1" s="10"/>
      <c r="NEY1" s="10"/>
      <c r="NEZ1" s="10"/>
      <c r="NFA1" s="10"/>
      <c r="NFB1" s="10"/>
      <c r="NFC1" s="10"/>
      <c r="NFD1" s="10"/>
      <c r="NFE1" s="10"/>
      <c r="NFF1" s="10"/>
      <c r="NFG1" s="10"/>
      <c r="NFH1" s="10"/>
      <c r="NFI1" s="10"/>
      <c r="NFJ1" s="10"/>
      <c r="NFK1" s="10"/>
      <c r="NFL1" s="10"/>
      <c r="NFM1" s="10"/>
      <c r="NFN1" s="10"/>
      <c r="NFO1" s="10"/>
      <c r="NFP1" s="10"/>
      <c r="NFQ1" s="10"/>
      <c r="NFR1" s="10"/>
      <c r="NFS1" s="10"/>
      <c r="NFT1" s="10"/>
      <c r="NFU1" s="10"/>
      <c r="NFV1" s="10"/>
      <c r="NFW1" s="10"/>
      <c r="NFX1" s="10"/>
      <c r="NFY1" s="10"/>
      <c r="NFZ1" s="10"/>
      <c r="NGA1" s="10"/>
      <c r="NGB1" s="10"/>
      <c r="NGC1" s="10"/>
      <c r="NGD1" s="10"/>
      <c r="NGE1" s="10"/>
      <c r="NGF1" s="10"/>
      <c r="NGG1" s="10"/>
      <c r="NGH1" s="10"/>
      <c r="NGI1" s="10"/>
      <c r="NGJ1" s="10"/>
      <c r="NGK1" s="10"/>
      <c r="NGL1" s="10"/>
      <c r="NGM1" s="10"/>
      <c r="NGN1" s="10"/>
      <c r="NGO1" s="10"/>
      <c r="NGP1" s="10"/>
      <c r="NGQ1" s="10"/>
      <c r="NGR1" s="10"/>
      <c r="NGS1" s="10"/>
      <c r="NGT1" s="10"/>
      <c r="NGU1" s="10"/>
      <c r="NGV1" s="10"/>
      <c r="NGW1" s="10"/>
      <c r="NGX1" s="10"/>
      <c r="NGY1" s="10"/>
      <c r="NGZ1" s="10"/>
      <c r="NHA1" s="10"/>
      <c r="NHB1" s="10"/>
      <c r="NHC1" s="10"/>
      <c r="NHD1" s="10"/>
      <c r="NHE1" s="10"/>
      <c r="NHF1" s="10"/>
      <c r="NHG1" s="10"/>
      <c r="NHH1" s="10"/>
      <c r="NHI1" s="10"/>
      <c r="NHJ1" s="10"/>
      <c r="NHK1" s="10"/>
      <c r="NHL1" s="10"/>
      <c r="NHM1" s="10"/>
      <c r="NHN1" s="10"/>
      <c r="NHO1" s="10"/>
      <c r="NHP1" s="10"/>
      <c r="NHQ1" s="10"/>
      <c r="NHR1" s="10"/>
      <c r="NHS1" s="10"/>
      <c r="NHT1" s="10"/>
      <c r="NHU1" s="10"/>
      <c r="NHV1" s="10"/>
      <c r="NHW1" s="10"/>
      <c r="NHX1" s="10"/>
      <c r="NHY1" s="10"/>
      <c r="NHZ1" s="10"/>
      <c r="NIA1" s="10"/>
      <c r="NIB1" s="10"/>
      <c r="NIC1" s="10"/>
      <c r="NID1" s="10"/>
      <c r="NIE1" s="10"/>
      <c r="NIF1" s="10"/>
      <c r="NIG1" s="10"/>
      <c r="NIH1" s="10"/>
      <c r="NII1" s="10"/>
      <c r="NIJ1" s="10"/>
      <c r="NIK1" s="10"/>
      <c r="NIL1" s="10"/>
      <c r="NIM1" s="10"/>
      <c r="NIN1" s="10"/>
      <c r="NIO1" s="10"/>
      <c r="NIP1" s="10"/>
      <c r="NIQ1" s="10"/>
      <c r="NIR1" s="10"/>
      <c r="NIS1" s="10"/>
      <c r="NIT1" s="10"/>
      <c r="NIU1" s="10"/>
      <c r="NIV1" s="10"/>
      <c r="NIW1" s="10"/>
      <c r="NIX1" s="10"/>
      <c r="NIY1" s="10"/>
      <c r="NIZ1" s="10"/>
      <c r="NJA1" s="10"/>
      <c r="NJB1" s="10"/>
      <c r="NJC1" s="10"/>
      <c r="NJD1" s="10"/>
      <c r="NJE1" s="10"/>
      <c r="NJF1" s="10"/>
      <c r="NJG1" s="10"/>
      <c r="NJH1" s="10"/>
      <c r="NJI1" s="10"/>
      <c r="NJJ1" s="10"/>
      <c r="NJK1" s="10"/>
      <c r="NJL1" s="10"/>
      <c r="NJM1" s="10"/>
      <c r="NJN1" s="10"/>
      <c r="NJO1" s="10"/>
      <c r="NJP1" s="10"/>
      <c r="NJQ1" s="10"/>
      <c r="NJR1" s="10"/>
      <c r="NJS1" s="10"/>
      <c r="NJT1" s="10"/>
      <c r="NJU1" s="10"/>
      <c r="NJV1" s="10"/>
      <c r="NJW1" s="10"/>
      <c r="NJX1" s="10"/>
      <c r="NJY1" s="10"/>
      <c r="NJZ1" s="10"/>
      <c r="NKA1" s="10"/>
      <c r="NKB1" s="10"/>
      <c r="NKC1" s="10"/>
      <c r="NKD1" s="10"/>
      <c r="NKE1" s="10"/>
      <c r="NKF1" s="10"/>
      <c r="NKG1" s="10"/>
      <c r="NKH1" s="10"/>
      <c r="NKI1" s="10"/>
      <c r="NKJ1" s="10"/>
      <c r="NKK1" s="10"/>
      <c r="NKL1" s="10"/>
      <c r="NKM1" s="10"/>
      <c r="NKN1" s="10"/>
      <c r="NKO1" s="10"/>
      <c r="NKP1" s="10"/>
      <c r="NKQ1" s="10"/>
      <c r="NKR1" s="10"/>
      <c r="NKS1" s="10"/>
      <c r="NKT1" s="10"/>
      <c r="NKU1" s="10"/>
      <c r="NKV1" s="10"/>
      <c r="NKW1" s="10"/>
      <c r="NKX1" s="10"/>
      <c r="NKY1" s="10"/>
      <c r="NKZ1" s="10"/>
      <c r="NLA1" s="10"/>
      <c r="NLB1" s="10"/>
      <c r="NLC1" s="10"/>
      <c r="NLD1" s="10"/>
      <c r="NLE1" s="10"/>
      <c r="NLF1" s="10"/>
      <c r="NLG1" s="10"/>
      <c r="NLH1" s="10"/>
      <c r="NLI1" s="10"/>
      <c r="NLJ1" s="10"/>
      <c r="NLK1" s="10"/>
      <c r="NLL1" s="10"/>
      <c r="NLM1" s="10"/>
      <c r="NLN1" s="10"/>
      <c r="NLO1" s="10"/>
      <c r="NLP1" s="10"/>
      <c r="NLQ1" s="10"/>
      <c r="NLR1" s="10"/>
      <c r="NLS1" s="10"/>
      <c r="NLT1" s="10"/>
      <c r="NLU1" s="10"/>
      <c r="NLV1" s="10"/>
      <c r="NLW1" s="10"/>
      <c r="NLX1" s="10"/>
      <c r="NLY1" s="10"/>
      <c r="NLZ1" s="10"/>
      <c r="NMA1" s="10"/>
      <c r="NMB1" s="10"/>
      <c r="NMC1" s="10"/>
      <c r="NMD1" s="10"/>
      <c r="NME1" s="10"/>
      <c r="NMF1" s="10"/>
      <c r="NMG1" s="10"/>
      <c r="NMH1" s="10"/>
      <c r="NMI1" s="10"/>
      <c r="NMJ1" s="10"/>
      <c r="NMK1" s="10"/>
      <c r="NML1" s="10"/>
      <c r="NMM1" s="10"/>
      <c r="NMN1" s="10"/>
      <c r="NMO1" s="10"/>
      <c r="NMP1" s="10"/>
      <c r="NMQ1" s="10"/>
      <c r="NMR1" s="10"/>
      <c r="NMS1" s="10"/>
      <c r="NMT1" s="10"/>
      <c r="NMU1" s="10"/>
      <c r="NMV1" s="10"/>
      <c r="NMW1" s="10"/>
      <c r="NMX1" s="10"/>
      <c r="NMY1" s="10"/>
      <c r="NMZ1" s="10"/>
      <c r="NNA1" s="10"/>
      <c r="NNB1" s="10"/>
      <c r="NNC1" s="10"/>
      <c r="NND1" s="10"/>
      <c r="NNE1" s="10"/>
      <c r="NNF1" s="10"/>
      <c r="NNG1" s="10"/>
      <c r="NNH1" s="10"/>
      <c r="NNI1" s="10"/>
      <c r="NNJ1" s="10"/>
      <c r="NNK1" s="10"/>
      <c r="NNL1" s="10"/>
      <c r="NNM1" s="10"/>
      <c r="NNN1" s="10"/>
      <c r="NNO1" s="10"/>
      <c r="NNP1" s="10"/>
      <c r="NNQ1" s="10"/>
      <c r="NNR1" s="10"/>
      <c r="NNS1" s="10"/>
      <c r="NNT1" s="10"/>
      <c r="NNU1" s="10"/>
      <c r="NNV1" s="10"/>
      <c r="NNW1" s="10"/>
      <c r="NNX1" s="10"/>
      <c r="NNY1" s="10"/>
      <c r="NNZ1" s="10"/>
      <c r="NOA1" s="10"/>
      <c r="NOB1" s="10"/>
      <c r="NOC1" s="10"/>
      <c r="NOD1" s="10"/>
      <c r="NOE1" s="10"/>
      <c r="NOF1" s="10"/>
      <c r="NOG1" s="10"/>
      <c r="NOH1" s="10"/>
      <c r="NOI1" s="10"/>
      <c r="NOJ1" s="10"/>
      <c r="NOK1" s="10"/>
      <c r="NOL1" s="10"/>
      <c r="NOM1" s="10"/>
      <c r="NON1" s="10"/>
      <c r="NOO1" s="10"/>
      <c r="NOP1" s="10"/>
      <c r="NOQ1" s="10"/>
      <c r="NOR1" s="10"/>
      <c r="NOS1" s="10"/>
      <c r="NOT1" s="10"/>
      <c r="NOU1" s="10"/>
      <c r="NOV1" s="10"/>
      <c r="NOW1" s="10"/>
      <c r="NOX1" s="10"/>
      <c r="NOY1" s="10"/>
      <c r="NOZ1" s="10"/>
      <c r="NPA1" s="10"/>
      <c r="NPB1" s="10"/>
      <c r="NPC1" s="10"/>
      <c r="NPD1" s="10"/>
      <c r="NPE1" s="10"/>
      <c r="NPF1" s="10"/>
      <c r="NPG1" s="10"/>
      <c r="NPH1" s="10"/>
      <c r="NPI1" s="10"/>
      <c r="NPJ1" s="10"/>
      <c r="NPK1" s="10"/>
      <c r="NPL1" s="10"/>
      <c r="NPM1" s="10"/>
      <c r="NPN1" s="10"/>
      <c r="NPO1" s="10"/>
      <c r="NPP1" s="10"/>
      <c r="NPQ1" s="10"/>
      <c r="NPR1" s="10"/>
      <c r="NPS1" s="10"/>
      <c r="NPT1" s="10"/>
      <c r="NPU1" s="10"/>
      <c r="NPV1" s="10"/>
      <c r="NPW1" s="10"/>
      <c r="NPX1" s="10"/>
      <c r="NPY1" s="10"/>
      <c r="NPZ1" s="10"/>
      <c r="NQA1" s="10"/>
      <c r="NQB1" s="10"/>
      <c r="NQC1" s="10"/>
      <c r="NQD1" s="10"/>
      <c r="NQE1" s="10"/>
      <c r="NQF1" s="10"/>
      <c r="NQG1" s="10"/>
      <c r="NQH1" s="10"/>
      <c r="NQI1" s="10"/>
      <c r="NQJ1" s="10"/>
      <c r="NQK1" s="10"/>
      <c r="NQL1" s="10"/>
      <c r="NQM1" s="10"/>
      <c r="NQN1" s="10"/>
      <c r="NQO1" s="10"/>
      <c r="NQP1" s="10"/>
      <c r="NQQ1" s="10"/>
      <c r="NQR1" s="10"/>
      <c r="NQS1" s="10"/>
      <c r="NQT1" s="10"/>
      <c r="NQU1" s="10"/>
      <c r="NQV1" s="10"/>
      <c r="NQW1" s="10"/>
      <c r="NQX1" s="10"/>
      <c r="NQY1" s="10"/>
      <c r="NQZ1" s="10"/>
      <c r="NRA1" s="10"/>
      <c r="NRB1" s="10"/>
      <c r="NRC1" s="10"/>
      <c r="NRD1" s="10"/>
      <c r="NRE1" s="10"/>
      <c r="NRF1" s="10"/>
      <c r="NRG1" s="10"/>
      <c r="NRH1" s="10"/>
      <c r="NRI1" s="10"/>
      <c r="NRJ1" s="10"/>
      <c r="NRK1" s="10"/>
      <c r="NRL1" s="10"/>
      <c r="NRM1" s="10"/>
      <c r="NRN1" s="10"/>
      <c r="NRO1" s="10"/>
      <c r="NRP1" s="10"/>
      <c r="NRQ1" s="10"/>
      <c r="NRR1" s="10"/>
      <c r="NRS1" s="10"/>
      <c r="NRT1" s="10"/>
      <c r="NRU1" s="10"/>
      <c r="NRV1" s="10"/>
      <c r="NRW1" s="10"/>
      <c r="NRX1" s="10"/>
      <c r="NRY1" s="10"/>
      <c r="NRZ1" s="10"/>
      <c r="NSA1" s="10"/>
      <c r="NSB1" s="10"/>
      <c r="NSC1" s="10"/>
      <c r="NSD1" s="10"/>
      <c r="NSE1" s="10"/>
      <c r="NSF1" s="10"/>
      <c r="NSG1" s="10"/>
      <c r="NSH1" s="10"/>
      <c r="NSI1" s="10"/>
      <c r="NSJ1" s="10"/>
      <c r="NSK1" s="10"/>
      <c r="NSL1" s="10"/>
      <c r="NSM1" s="10"/>
      <c r="NSN1" s="10"/>
      <c r="NSO1" s="10"/>
      <c r="NSP1" s="10"/>
      <c r="NSQ1" s="10"/>
      <c r="NSR1" s="10"/>
      <c r="NSS1" s="10"/>
      <c r="NST1" s="10"/>
      <c r="NSU1" s="10"/>
      <c r="NSV1" s="10"/>
      <c r="NSW1" s="10"/>
      <c r="NSX1" s="10"/>
      <c r="NSY1" s="10"/>
      <c r="NSZ1" s="10"/>
      <c r="NTA1" s="10"/>
      <c r="NTB1" s="10"/>
      <c r="NTC1" s="10"/>
      <c r="NTD1" s="10"/>
      <c r="NTE1" s="10"/>
      <c r="NTF1" s="10"/>
      <c r="NTG1" s="10"/>
      <c r="NTH1" s="10"/>
      <c r="NTI1" s="10"/>
      <c r="NTJ1" s="10"/>
      <c r="NTK1" s="10"/>
      <c r="NTL1" s="10"/>
      <c r="NTM1" s="10"/>
      <c r="NTN1" s="10"/>
      <c r="NTO1" s="10"/>
      <c r="NTP1" s="10"/>
      <c r="NTQ1" s="10"/>
      <c r="NTR1" s="10"/>
      <c r="NTS1" s="10"/>
      <c r="NTT1" s="10"/>
      <c r="NTU1" s="10"/>
      <c r="NTV1" s="10"/>
      <c r="NTW1" s="10"/>
      <c r="NTX1" s="10"/>
      <c r="NTY1" s="10"/>
      <c r="NTZ1" s="10"/>
      <c r="NUA1" s="10"/>
      <c r="NUB1" s="10"/>
      <c r="NUC1" s="10"/>
      <c r="NUD1" s="10"/>
      <c r="NUE1" s="10"/>
      <c r="NUF1" s="10"/>
      <c r="NUG1" s="10"/>
      <c r="NUH1" s="10"/>
      <c r="NUI1" s="10"/>
      <c r="NUJ1" s="10"/>
      <c r="NUK1" s="10"/>
      <c r="NUL1" s="10"/>
      <c r="NUM1" s="10"/>
      <c r="NUN1" s="10"/>
      <c r="NUO1" s="10"/>
      <c r="NUP1" s="10"/>
      <c r="NUQ1" s="10"/>
      <c r="NUR1" s="10"/>
      <c r="NUS1" s="10"/>
      <c r="NUT1" s="10"/>
      <c r="NUU1" s="10"/>
      <c r="NUV1" s="10"/>
      <c r="NUW1" s="10"/>
      <c r="NUX1" s="10"/>
      <c r="NUY1" s="10"/>
      <c r="NUZ1" s="10"/>
      <c r="NVA1" s="10"/>
      <c r="NVB1" s="10"/>
      <c r="NVC1" s="10"/>
      <c r="NVD1" s="10"/>
      <c r="NVE1" s="10"/>
      <c r="NVF1" s="10"/>
      <c r="NVG1" s="10"/>
      <c r="NVH1" s="10"/>
      <c r="NVI1" s="10"/>
      <c r="NVJ1" s="10"/>
      <c r="NVK1" s="10"/>
      <c r="NVL1" s="10"/>
      <c r="NVM1" s="10"/>
      <c r="NVN1" s="10"/>
      <c r="NVO1" s="10"/>
      <c r="NVP1" s="10"/>
      <c r="NVQ1" s="10"/>
      <c r="NVR1" s="10"/>
      <c r="NVS1" s="10"/>
      <c r="NVT1" s="10"/>
      <c r="NVU1" s="10"/>
      <c r="NVV1" s="10"/>
      <c r="NVW1" s="10"/>
      <c r="NVX1" s="10"/>
      <c r="NVY1" s="10"/>
      <c r="NVZ1" s="10"/>
      <c r="NWA1" s="10"/>
      <c r="NWB1" s="10"/>
      <c r="NWC1" s="10"/>
      <c r="NWD1" s="10"/>
      <c r="NWE1" s="10"/>
      <c r="NWF1" s="10"/>
      <c r="NWG1" s="10"/>
      <c r="NWH1" s="10"/>
      <c r="NWI1" s="10"/>
      <c r="NWJ1" s="10"/>
      <c r="NWK1" s="10"/>
      <c r="NWL1" s="10"/>
      <c r="NWM1" s="10"/>
      <c r="NWN1" s="10"/>
      <c r="NWO1" s="10"/>
      <c r="NWP1" s="10"/>
      <c r="NWQ1" s="10"/>
      <c r="NWR1" s="10"/>
      <c r="NWS1" s="10"/>
      <c r="NWT1" s="10"/>
      <c r="NWU1" s="10"/>
      <c r="NWV1" s="10"/>
      <c r="NWW1" s="10"/>
      <c r="NWX1" s="10"/>
      <c r="NWY1" s="10"/>
      <c r="NWZ1" s="10"/>
      <c r="NXA1" s="10"/>
      <c r="NXB1" s="10"/>
      <c r="NXC1" s="10"/>
      <c r="NXD1" s="10"/>
      <c r="NXE1" s="10"/>
      <c r="NXF1" s="10"/>
      <c r="NXG1" s="10"/>
      <c r="NXH1" s="10"/>
      <c r="NXI1" s="10"/>
      <c r="NXJ1" s="10"/>
      <c r="NXK1" s="10"/>
      <c r="NXL1" s="10"/>
      <c r="NXM1" s="10"/>
      <c r="NXN1" s="10"/>
      <c r="NXO1" s="10"/>
      <c r="NXP1" s="10"/>
      <c r="NXQ1" s="10"/>
      <c r="NXR1" s="10"/>
      <c r="NXS1" s="10"/>
      <c r="NXT1" s="10"/>
      <c r="NXU1" s="10"/>
      <c r="NXV1" s="10"/>
      <c r="NXW1" s="10"/>
      <c r="NXX1" s="10"/>
      <c r="NXY1" s="10"/>
      <c r="NXZ1" s="10"/>
      <c r="NYA1" s="10"/>
      <c r="NYB1" s="10"/>
      <c r="NYC1" s="10"/>
      <c r="NYD1" s="10"/>
      <c r="NYE1" s="10"/>
      <c r="NYF1" s="10"/>
      <c r="NYG1" s="10"/>
      <c r="NYH1" s="10"/>
      <c r="NYI1" s="10"/>
      <c r="NYJ1" s="10"/>
      <c r="NYK1" s="10"/>
      <c r="NYL1" s="10"/>
      <c r="NYM1" s="10"/>
      <c r="NYN1" s="10"/>
      <c r="NYO1" s="10"/>
      <c r="NYP1" s="10"/>
      <c r="NYQ1" s="10"/>
      <c r="NYR1" s="10"/>
      <c r="NYS1" s="10"/>
      <c r="NYT1" s="10"/>
      <c r="NYU1" s="10"/>
      <c r="NYV1" s="10"/>
      <c r="NYW1" s="10"/>
      <c r="NYX1" s="10"/>
      <c r="NYY1" s="10"/>
      <c r="NYZ1" s="10"/>
      <c r="NZA1" s="10"/>
      <c r="NZB1" s="10"/>
      <c r="NZC1" s="10"/>
      <c r="NZD1" s="10"/>
      <c r="NZE1" s="10"/>
      <c r="NZF1" s="10"/>
      <c r="NZG1" s="10"/>
      <c r="NZH1" s="10"/>
      <c r="NZI1" s="10"/>
      <c r="NZJ1" s="10"/>
      <c r="NZK1" s="10"/>
      <c r="NZL1" s="10"/>
      <c r="NZM1" s="10"/>
      <c r="NZN1" s="10"/>
      <c r="NZO1" s="10"/>
      <c r="NZP1" s="10"/>
      <c r="NZQ1" s="10"/>
      <c r="NZR1" s="10"/>
      <c r="NZS1" s="10"/>
      <c r="NZT1" s="10"/>
      <c r="NZU1" s="10"/>
      <c r="NZV1" s="10"/>
      <c r="NZW1" s="10"/>
      <c r="NZX1" s="10"/>
      <c r="NZY1" s="10"/>
      <c r="NZZ1" s="10"/>
      <c r="OAA1" s="10"/>
      <c r="OAB1" s="10"/>
      <c r="OAC1" s="10"/>
      <c r="OAD1" s="10"/>
      <c r="OAE1" s="10"/>
      <c r="OAF1" s="10"/>
      <c r="OAG1" s="10"/>
      <c r="OAH1" s="10"/>
      <c r="OAI1" s="10"/>
      <c r="OAJ1" s="10"/>
      <c r="OAK1" s="10"/>
      <c r="OAL1" s="10"/>
      <c r="OAM1" s="10"/>
      <c r="OAN1" s="10"/>
      <c r="OAO1" s="10"/>
      <c r="OAP1" s="10"/>
      <c r="OAQ1" s="10"/>
      <c r="OAR1" s="10"/>
      <c r="OAS1" s="10"/>
      <c r="OAT1" s="10"/>
      <c r="OAU1" s="10"/>
      <c r="OAV1" s="10"/>
      <c r="OAW1" s="10"/>
      <c r="OAX1" s="10"/>
      <c r="OAY1" s="10"/>
      <c r="OAZ1" s="10"/>
      <c r="OBA1" s="10"/>
      <c r="OBB1" s="10"/>
      <c r="OBC1" s="10"/>
      <c r="OBD1" s="10"/>
      <c r="OBE1" s="10"/>
      <c r="OBF1" s="10"/>
      <c r="OBG1" s="10"/>
      <c r="OBH1" s="10"/>
      <c r="OBI1" s="10"/>
      <c r="OBJ1" s="10"/>
      <c r="OBK1" s="10"/>
      <c r="OBL1" s="10"/>
      <c r="OBM1" s="10"/>
      <c r="OBN1" s="10"/>
      <c r="OBO1" s="10"/>
      <c r="OBP1" s="10"/>
      <c r="OBQ1" s="10"/>
      <c r="OBR1" s="10"/>
      <c r="OBS1" s="10"/>
      <c r="OBT1" s="10"/>
      <c r="OBU1" s="10"/>
      <c r="OBV1" s="10"/>
      <c r="OBW1" s="10"/>
      <c r="OBX1" s="10"/>
      <c r="OBY1" s="10"/>
      <c r="OBZ1" s="10"/>
      <c r="OCA1" s="10"/>
      <c r="OCB1" s="10"/>
      <c r="OCC1" s="10"/>
      <c r="OCD1" s="10"/>
      <c r="OCE1" s="10"/>
      <c r="OCF1" s="10"/>
      <c r="OCG1" s="10"/>
      <c r="OCH1" s="10"/>
      <c r="OCI1" s="10"/>
      <c r="OCJ1" s="10"/>
      <c r="OCK1" s="10"/>
      <c r="OCL1" s="10"/>
      <c r="OCM1" s="10"/>
      <c r="OCN1" s="10"/>
      <c r="OCO1" s="10"/>
      <c r="OCP1" s="10"/>
      <c r="OCQ1" s="10"/>
      <c r="OCR1" s="10"/>
      <c r="OCS1" s="10"/>
      <c r="OCT1" s="10"/>
      <c r="OCU1" s="10"/>
      <c r="OCV1" s="10"/>
      <c r="OCW1" s="10"/>
      <c r="OCX1" s="10"/>
      <c r="OCY1" s="10"/>
      <c r="OCZ1" s="10"/>
      <c r="ODA1" s="10"/>
      <c r="ODB1" s="10"/>
      <c r="ODC1" s="10"/>
      <c r="ODD1" s="10"/>
      <c r="ODE1" s="10"/>
      <c r="ODF1" s="10"/>
      <c r="ODG1" s="10"/>
      <c r="ODH1" s="10"/>
      <c r="ODI1" s="10"/>
      <c r="ODJ1" s="10"/>
      <c r="ODK1" s="10"/>
      <c r="ODL1" s="10"/>
      <c r="ODM1" s="10"/>
      <c r="ODN1" s="10"/>
      <c r="ODO1" s="10"/>
      <c r="ODP1" s="10"/>
      <c r="ODQ1" s="10"/>
      <c r="ODR1" s="10"/>
      <c r="ODS1" s="10"/>
      <c r="ODT1" s="10"/>
      <c r="ODU1" s="10"/>
      <c r="ODV1" s="10"/>
      <c r="ODW1" s="10"/>
      <c r="ODX1" s="10"/>
      <c r="ODY1" s="10"/>
      <c r="ODZ1" s="10"/>
      <c r="OEA1" s="10"/>
      <c r="OEB1" s="10"/>
      <c r="OEC1" s="10"/>
      <c r="OED1" s="10"/>
      <c r="OEE1" s="10"/>
      <c r="OEF1" s="10"/>
      <c r="OEG1" s="10"/>
      <c r="OEH1" s="10"/>
      <c r="OEI1" s="10"/>
      <c r="OEJ1" s="10"/>
      <c r="OEK1" s="10"/>
      <c r="OEL1" s="10"/>
      <c r="OEM1" s="10"/>
      <c r="OEN1" s="10"/>
      <c r="OEO1" s="10"/>
      <c r="OEP1" s="10"/>
      <c r="OEQ1" s="10"/>
      <c r="OER1" s="10"/>
      <c r="OES1" s="10"/>
      <c r="OET1" s="10"/>
      <c r="OEU1" s="10"/>
      <c r="OEV1" s="10"/>
      <c r="OEW1" s="10"/>
      <c r="OEX1" s="10"/>
      <c r="OEY1" s="10"/>
      <c r="OEZ1" s="10"/>
      <c r="OFA1" s="10"/>
      <c r="OFB1" s="10"/>
      <c r="OFC1" s="10"/>
      <c r="OFD1" s="10"/>
      <c r="OFE1" s="10"/>
      <c r="OFF1" s="10"/>
      <c r="OFG1" s="10"/>
      <c r="OFH1" s="10"/>
      <c r="OFI1" s="10"/>
      <c r="OFJ1" s="10"/>
      <c r="OFK1" s="10"/>
      <c r="OFL1" s="10"/>
      <c r="OFM1" s="10"/>
      <c r="OFN1" s="10"/>
      <c r="OFO1" s="10"/>
      <c r="OFP1" s="10"/>
      <c r="OFQ1" s="10"/>
      <c r="OFR1" s="10"/>
      <c r="OFS1" s="10"/>
      <c r="OFT1" s="10"/>
      <c r="OFU1" s="10"/>
      <c r="OFV1" s="10"/>
      <c r="OFW1" s="10"/>
      <c r="OFX1" s="10"/>
      <c r="OFY1" s="10"/>
      <c r="OFZ1" s="10"/>
      <c r="OGA1" s="10"/>
      <c r="OGB1" s="10"/>
      <c r="OGC1" s="10"/>
      <c r="OGD1" s="10"/>
      <c r="OGE1" s="10"/>
      <c r="OGF1" s="10"/>
      <c r="OGG1" s="10"/>
      <c r="OGH1" s="10"/>
      <c r="OGI1" s="10"/>
      <c r="OGJ1" s="10"/>
      <c r="OGK1" s="10"/>
      <c r="OGL1" s="10"/>
      <c r="OGM1" s="10"/>
      <c r="OGN1" s="10"/>
      <c r="OGO1" s="10"/>
      <c r="OGP1" s="10"/>
      <c r="OGQ1" s="10"/>
      <c r="OGR1" s="10"/>
      <c r="OGS1" s="10"/>
      <c r="OGT1" s="10"/>
      <c r="OGU1" s="10"/>
      <c r="OGV1" s="10"/>
      <c r="OGW1" s="10"/>
      <c r="OGX1" s="10"/>
      <c r="OGY1" s="10"/>
      <c r="OGZ1" s="10"/>
      <c r="OHA1" s="10"/>
      <c r="OHB1" s="10"/>
      <c r="OHC1" s="10"/>
      <c r="OHD1" s="10"/>
      <c r="OHE1" s="10"/>
      <c r="OHF1" s="10"/>
      <c r="OHG1" s="10"/>
      <c r="OHH1" s="10"/>
      <c r="OHI1" s="10"/>
      <c r="OHJ1" s="10"/>
      <c r="OHK1" s="10"/>
      <c r="OHL1" s="10"/>
      <c r="OHM1" s="10"/>
      <c r="OHN1" s="10"/>
      <c r="OHO1" s="10"/>
      <c r="OHP1" s="10"/>
      <c r="OHQ1" s="10"/>
      <c r="OHR1" s="10"/>
      <c r="OHS1" s="10"/>
      <c r="OHT1" s="10"/>
      <c r="OHU1" s="10"/>
      <c r="OHV1" s="10"/>
      <c r="OHW1" s="10"/>
      <c r="OHX1" s="10"/>
      <c r="OHY1" s="10"/>
      <c r="OHZ1" s="10"/>
      <c r="OIA1" s="10"/>
      <c r="OIB1" s="10"/>
      <c r="OIC1" s="10"/>
      <c r="OID1" s="10"/>
      <c r="OIE1" s="10"/>
      <c r="OIF1" s="10"/>
      <c r="OIG1" s="10"/>
      <c r="OIH1" s="10"/>
      <c r="OII1" s="10"/>
      <c r="OIJ1" s="10"/>
      <c r="OIK1" s="10"/>
      <c r="OIL1" s="10"/>
      <c r="OIM1" s="10"/>
      <c r="OIN1" s="10"/>
      <c r="OIO1" s="10"/>
      <c r="OIP1" s="10"/>
      <c r="OIQ1" s="10"/>
      <c r="OIR1" s="10"/>
      <c r="OIS1" s="10"/>
      <c r="OIT1" s="10"/>
      <c r="OIU1" s="10"/>
      <c r="OIV1" s="10"/>
      <c r="OIW1" s="10"/>
      <c r="OIX1" s="10"/>
      <c r="OIY1" s="10"/>
      <c r="OIZ1" s="10"/>
      <c r="OJA1" s="10"/>
      <c r="OJB1" s="10"/>
      <c r="OJC1" s="10"/>
      <c r="OJD1" s="10"/>
      <c r="OJE1" s="10"/>
      <c r="OJF1" s="10"/>
      <c r="OJG1" s="10"/>
      <c r="OJH1" s="10"/>
      <c r="OJI1" s="10"/>
      <c r="OJJ1" s="10"/>
      <c r="OJK1" s="10"/>
      <c r="OJL1" s="10"/>
      <c r="OJM1" s="10"/>
      <c r="OJN1" s="10"/>
      <c r="OJO1" s="10"/>
      <c r="OJP1" s="10"/>
      <c r="OJQ1" s="10"/>
      <c r="OJR1" s="10"/>
      <c r="OJS1" s="10"/>
      <c r="OJT1" s="10"/>
      <c r="OJU1" s="10"/>
      <c r="OJV1" s="10"/>
      <c r="OJW1" s="10"/>
      <c r="OJX1" s="10"/>
      <c r="OJY1" s="10"/>
      <c r="OJZ1" s="10"/>
      <c r="OKA1" s="10"/>
      <c r="OKB1" s="10"/>
      <c r="OKC1" s="10"/>
      <c r="OKD1" s="10"/>
      <c r="OKE1" s="10"/>
      <c r="OKF1" s="10"/>
      <c r="OKG1" s="10"/>
      <c r="OKH1" s="10"/>
      <c r="OKI1" s="10"/>
      <c r="OKJ1" s="10"/>
      <c r="OKK1" s="10"/>
      <c r="OKL1" s="10"/>
      <c r="OKM1" s="10"/>
      <c r="OKN1" s="10"/>
      <c r="OKO1" s="10"/>
      <c r="OKP1" s="10"/>
      <c r="OKQ1" s="10"/>
      <c r="OKR1" s="10"/>
      <c r="OKS1" s="10"/>
      <c r="OKT1" s="10"/>
      <c r="OKU1" s="10"/>
      <c r="OKV1" s="10"/>
      <c r="OKW1" s="10"/>
      <c r="OKX1" s="10"/>
      <c r="OKY1" s="10"/>
      <c r="OKZ1" s="10"/>
      <c r="OLA1" s="10"/>
      <c r="OLB1" s="10"/>
      <c r="OLC1" s="10"/>
      <c r="OLD1" s="10"/>
      <c r="OLE1" s="10"/>
      <c r="OLF1" s="10"/>
      <c r="OLG1" s="10"/>
      <c r="OLH1" s="10"/>
      <c r="OLI1" s="10"/>
      <c r="OLJ1" s="10"/>
      <c r="OLK1" s="10"/>
      <c r="OLL1" s="10"/>
      <c r="OLM1" s="10"/>
      <c r="OLN1" s="10"/>
      <c r="OLO1" s="10"/>
      <c r="OLP1" s="10"/>
      <c r="OLQ1" s="10"/>
      <c r="OLR1" s="10"/>
      <c r="OLS1" s="10"/>
      <c r="OLT1" s="10"/>
      <c r="OLU1" s="10"/>
      <c r="OLV1" s="10"/>
      <c r="OLW1" s="10"/>
      <c r="OLX1" s="10"/>
      <c r="OLY1" s="10"/>
      <c r="OLZ1" s="10"/>
      <c r="OMA1" s="10"/>
      <c r="OMB1" s="10"/>
      <c r="OMC1" s="10"/>
      <c r="OMD1" s="10"/>
      <c r="OME1" s="10"/>
      <c r="OMF1" s="10"/>
      <c r="OMG1" s="10"/>
      <c r="OMH1" s="10"/>
      <c r="OMI1" s="10"/>
      <c r="OMJ1" s="10"/>
      <c r="OMK1" s="10"/>
      <c r="OML1" s="10"/>
      <c r="OMM1" s="10"/>
      <c r="OMN1" s="10"/>
      <c r="OMO1" s="10"/>
      <c r="OMP1" s="10"/>
      <c r="OMQ1" s="10"/>
      <c r="OMR1" s="10"/>
      <c r="OMS1" s="10"/>
      <c r="OMT1" s="10"/>
      <c r="OMU1" s="10"/>
      <c r="OMV1" s="10"/>
      <c r="OMW1" s="10"/>
      <c r="OMX1" s="10"/>
      <c r="OMY1" s="10"/>
      <c r="OMZ1" s="10"/>
      <c r="ONA1" s="10"/>
      <c r="ONB1" s="10"/>
      <c r="ONC1" s="10"/>
      <c r="OND1" s="10"/>
      <c r="ONE1" s="10"/>
      <c r="ONF1" s="10"/>
      <c r="ONG1" s="10"/>
      <c r="ONH1" s="10"/>
      <c r="ONI1" s="10"/>
      <c r="ONJ1" s="10"/>
      <c r="ONK1" s="10"/>
      <c r="ONL1" s="10"/>
      <c r="ONM1" s="10"/>
      <c r="ONN1" s="10"/>
      <c r="ONO1" s="10"/>
      <c r="ONP1" s="10"/>
      <c r="ONQ1" s="10"/>
      <c r="ONR1" s="10"/>
      <c r="ONS1" s="10"/>
      <c r="ONT1" s="10"/>
      <c r="ONU1" s="10"/>
      <c r="ONV1" s="10"/>
      <c r="ONW1" s="10"/>
      <c r="ONX1" s="10"/>
      <c r="ONY1" s="10"/>
      <c r="ONZ1" s="10"/>
      <c r="OOA1" s="10"/>
      <c r="OOB1" s="10"/>
      <c r="OOC1" s="10"/>
      <c r="OOD1" s="10"/>
      <c r="OOE1" s="10"/>
      <c r="OOF1" s="10"/>
      <c r="OOG1" s="10"/>
      <c r="OOH1" s="10"/>
      <c r="OOI1" s="10"/>
      <c r="OOJ1" s="10"/>
      <c r="OOK1" s="10"/>
      <c r="OOL1" s="10"/>
      <c r="OOM1" s="10"/>
      <c r="OON1" s="10"/>
      <c r="OOO1" s="10"/>
      <c r="OOP1" s="10"/>
      <c r="OOQ1" s="10"/>
      <c r="OOR1" s="10"/>
      <c r="OOS1" s="10"/>
      <c r="OOT1" s="10"/>
      <c r="OOU1" s="10"/>
      <c r="OOV1" s="10"/>
      <c r="OOW1" s="10"/>
      <c r="OOX1" s="10"/>
      <c r="OOY1" s="10"/>
      <c r="OOZ1" s="10"/>
      <c r="OPA1" s="10"/>
      <c r="OPB1" s="10"/>
      <c r="OPC1" s="10"/>
      <c r="OPD1" s="10"/>
      <c r="OPE1" s="10"/>
      <c r="OPF1" s="10"/>
      <c r="OPG1" s="10"/>
      <c r="OPH1" s="10"/>
      <c r="OPI1" s="10"/>
      <c r="OPJ1" s="10"/>
      <c r="OPK1" s="10"/>
      <c r="OPL1" s="10"/>
      <c r="OPM1" s="10"/>
      <c r="OPN1" s="10"/>
      <c r="OPO1" s="10"/>
      <c r="OPP1" s="10"/>
      <c r="OPQ1" s="10"/>
      <c r="OPR1" s="10"/>
      <c r="OPS1" s="10"/>
      <c r="OPT1" s="10"/>
      <c r="OPU1" s="10"/>
      <c r="OPV1" s="10"/>
      <c r="OPW1" s="10"/>
      <c r="OPX1" s="10"/>
      <c r="OPY1" s="10"/>
      <c r="OPZ1" s="10"/>
      <c r="OQA1" s="10"/>
      <c r="OQB1" s="10"/>
      <c r="OQC1" s="10"/>
      <c r="OQD1" s="10"/>
      <c r="OQE1" s="10"/>
      <c r="OQF1" s="10"/>
      <c r="OQG1" s="10"/>
      <c r="OQH1" s="10"/>
      <c r="OQI1" s="10"/>
      <c r="OQJ1" s="10"/>
      <c r="OQK1" s="10"/>
      <c r="OQL1" s="10"/>
      <c r="OQM1" s="10"/>
      <c r="OQN1" s="10"/>
      <c r="OQO1" s="10"/>
      <c r="OQP1" s="10"/>
      <c r="OQQ1" s="10"/>
      <c r="OQR1" s="10"/>
      <c r="OQS1" s="10"/>
      <c r="OQT1" s="10"/>
      <c r="OQU1" s="10"/>
      <c r="OQV1" s="10"/>
      <c r="OQW1" s="10"/>
      <c r="OQX1" s="10"/>
      <c r="OQY1" s="10"/>
      <c r="OQZ1" s="10"/>
      <c r="ORA1" s="10"/>
      <c r="ORB1" s="10"/>
      <c r="ORC1" s="10"/>
      <c r="ORD1" s="10"/>
      <c r="ORE1" s="10"/>
      <c r="ORF1" s="10"/>
      <c r="ORG1" s="10"/>
      <c r="ORH1" s="10"/>
      <c r="ORI1" s="10"/>
      <c r="ORJ1" s="10"/>
      <c r="ORK1" s="10"/>
      <c r="ORL1" s="10"/>
      <c r="ORM1" s="10"/>
      <c r="ORN1" s="10"/>
      <c r="ORO1" s="10"/>
      <c r="ORP1" s="10"/>
      <c r="ORQ1" s="10"/>
      <c r="ORR1" s="10"/>
      <c r="ORS1" s="10"/>
      <c r="ORT1" s="10"/>
      <c r="ORU1" s="10"/>
      <c r="ORV1" s="10"/>
      <c r="ORW1" s="10"/>
      <c r="ORX1" s="10"/>
      <c r="ORY1" s="10"/>
      <c r="ORZ1" s="10"/>
      <c r="OSA1" s="10"/>
      <c r="OSB1" s="10"/>
      <c r="OSC1" s="10"/>
      <c r="OSD1" s="10"/>
      <c r="OSE1" s="10"/>
      <c r="OSF1" s="10"/>
      <c r="OSG1" s="10"/>
      <c r="OSH1" s="10"/>
      <c r="OSI1" s="10"/>
      <c r="OSJ1" s="10"/>
      <c r="OSK1" s="10"/>
      <c r="OSL1" s="10"/>
      <c r="OSM1" s="10"/>
      <c r="OSN1" s="10"/>
      <c r="OSO1" s="10"/>
      <c r="OSP1" s="10"/>
      <c r="OSQ1" s="10"/>
      <c r="OSR1" s="10"/>
      <c r="OSS1" s="10"/>
      <c r="OST1" s="10"/>
      <c r="OSU1" s="10"/>
      <c r="OSV1" s="10"/>
      <c r="OSW1" s="10"/>
      <c r="OSX1" s="10"/>
      <c r="OSY1" s="10"/>
      <c r="OSZ1" s="10"/>
      <c r="OTA1" s="10"/>
      <c r="OTB1" s="10"/>
      <c r="OTC1" s="10"/>
      <c r="OTD1" s="10"/>
      <c r="OTE1" s="10"/>
      <c r="OTF1" s="10"/>
      <c r="OTG1" s="10"/>
      <c r="OTH1" s="10"/>
      <c r="OTI1" s="10"/>
      <c r="OTJ1" s="10"/>
      <c r="OTK1" s="10"/>
      <c r="OTL1" s="10"/>
      <c r="OTM1" s="10"/>
      <c r="OTN1" s="10"/>
      <c r="OTO1" s="10"/>
      <c r="OTP1" s="10"/>
      <c r="OTQ1" s="10"/>
      <c r="OTR1" s="10"/>
      <c r="OTS1" s="10"/>
      <c r="OTT1" s="10"/>
      <c r="OTU1" s="10"/>
      <c r="OTV1" s="10"/>
      <c r="OTW1" s="10"/>
      <c r="OTX1" s="10"/>
      <c r="OTY1" s="10"/>
      <c r="OTZ1" s="10"/>
      <c r="OUA1" s="10"/>
      <c r="OUB1" s="10"/>
      <c r="OUC1" s="10"/>
      <c r="OUD1" s="10"/>
      <c r="OUE1" s="10"/>
      <c r="OUF1" s="10"/>
      <c r="OUG1" s="10"/>
      <c r="OUH1" s="10"/>
      <c r="OUI1" s="10"/>
      <c r="OUJ1" s="10"/>
      <c r="OUK1" s="10"/>
      <c r="OUL1" s="10"/>
      <c r="OUM1" s="10"/>
      <c r="OUN1" s="10"/>
      <c r="OUO1" s="10"/>
      <c r="OUP1" s="10"/>
      <c r="OUQ1" s="10"/>
      <c r="OUR1" s="10"/>
      <c r="OUS1" s="10"/>
      <c r="OUT1" s="10"/>
      <c r="OUU1" s="10"/>
      <c r="OUV1" s="10"/>
      <c r="OUW1" s="10"/>
      <c r="OUX1" s="10"/>
      <c r="OUY1" s="10"/>
      <c r="OUZ1" s="10"/>
      <c r="OVA1" s="10"/>
      <c r="OVB1" s="10"/>
      <c r="OVC1" s="10"/>
      <c r="OVD1" s="10"/>
      <c r="OVE1" s="10"/>
      <c r="OVF1" s="10"/>
      <c r="OVG1" s="10"/>
      <c r="OVH1" s="10"/>
      <c r="OVI1" s="10"/>
      <c r="OVJ1" s="10"/>
      <c r="OVK1" s="10"/>
      <c r="OVL1" s="10"/>
      <c r="OVM1" s="10"/>
      <c r="OVN1" s="10"/>
      <c r="OVO1" s="10"/>
      <c r="OVP1" s="10"/>
      <c r="OVQ1" s="10"/>
      <c r="OVR1" s="10"/>
      <c r="OVS1" s="10"/>
      <c r="OVT1" s="10"/>
      <c r="OVU1" s="10"/>
      <c r="OVV1" s="10"/>
      <c r="OVW1" s="10"/>
      <c r="OVX1" s="10"/>
      <c r="OVY1" s="10"/>
      <c r="OVZ1" s="10"/>
      <c r="OWA1" s="10"/>
      <c r="OWB1" s="10"/>
      <c r="OWC1" s="10"/>
      <c r="OWD1" s="10"/>
      <c r="OWE1" s="10"/>
      <c r="OWF1" s="10"/>
      <c r="OWG1" s="10"/>
      <c r="OWH1" s="10"/>
      <c r="OWI1" s="10"/>
      <c r="OWJ1" s="10"/>
      <c r="OWK1" s="10"/>
      <c r="OWL1" s="10"/>
      <c r="OWM1" s="10"/>
      <c r="OWN1" s="10"/>
      <c r="OWO1" s="10"/>
      <c r="OWP1" s="10"/>
      <c r="OWQ1" s="10"/>
      <c r="OWR1" s="10"/>
      <c r="OWS1" s="10"/>
      <c r="OWT1" s="10"/>
      <c r="OWU1" s="10"/>
      <c r="OWV1" s="10"/>
      <c r="OWW1" s="10"/>
      <c r="OWX1" s="10"/>
      <c r="OWY1" s="10"/>
      <c r="OWZ1" s="10"/>
      <c r="OXA1" s="10"/>
      <c r="OXB1" s="10"/>
      <c r="OXC1" s="10"/>
      <c r="OXD1" s="10"/>
      <c r="OXE1" s="10"/>
      <c r="OXF1" s="10"/>
      <c r="OXG1" s="10"/>
      <c r="OXH1" s="10"/>
      <c r="OXI1" s="10"/>
      <c r="OXJ1" s="10"/>
      <c r="OXK1" s="10"/>
      <c r="OXL1" s="10"/>
      <c r="OXM1" s="10"/>
      <c r="OXN1" s="10"/>
      <c r="OXO1" s="10"/>
      <c r="OXP1" s="10"/>
      <c r="OXQ1" s="10"/>
      <c r="OXR1" s="10"/>
      <c r="OXS1" s="10"/>
      <c r="OXT1" s="10"/>
      <c r="OXU1" s="10"/>
      <c r="OXV1" s="10"/>
      <c r="OXW1" s="10"/>
      <c r="OXX1" s="10"/>
      <c r="OXY1" s="10"/>
      <c r="OXZ1" s="10"/>
      <c r="OYA1" s="10"/>
      <c r="OYB1" s="10"/>
      <c r="OYC1" s="10"/>
      <c r="OYD1" s="10"/>
      <c r="OYE1" s="10"/>
      <c r="OYF1" s="10"/>
      <c r="OYG1" s="10"/>
      <c r="OYH1" s="10"/>
      <c r="OYI1" s="10"/>
      <c r="OYJ1" s="10"/>
      <c r="OYK1" s="10"/>
      <c r="OYL1" s="10"/>
      <c r="OYM1" s="10"/>
      <c r="OYN1" s="10"/>
      <c r="OYO1" s="10"/>
      <c r="OYP1" s="10"/>
      <c r="OYQ1" s="10"/>
      <c r="OYR1" s="10"/>
      <c r="OYS1" s="10"/>
      <c r="OYT1" s="10"/>
      <c r="OYU1" s="10"/>
      <c r="OYV1" s="10"/>
      <c r="OYW1" s="10"/>
      <c r="OYX1" s="10"/>
      <c r="OYY1" s="10"/>
      <c r="OYZ1" s="10"/>
      <c r="OZA1" s="10"/>
      <c r="OZB1" s="10"/>
      <c r="OZC1" s="10"/>
      <c r="OZD1" s="10"/>
      <c r="OZE1" s="10"/>
      <c r="OZF1" s="10"/>
      <c r="OZG1" s="10"/>
      <c r="OZH1" s="10"/>
      <c r="OZI1" s="10"/>
      <c r="OZJ1" s="10"/>
      <c r="OZK1" s="10"/>
      <c r="OZL1" s="10"/>
      <c r="OZM1" s="10"/>
      <c r="OZN1" s="10"/>
      <c r="OZO1" s="10"/>
      <c r="OZP1" s="10"/>
      <c r="OZQ1" s="10"/>
      <c r="OZR1" s="10"/>
      <c r="OZS1" s="10"/>
      <c r="OZT1" s="10"/>
      <c r="OZU1" s="10"/>
      <c r="OZV1" s="10"/>
      <c r="OZW1" s="10"/>
      <c r="OZX1" s="10"/>
      <c r="OZY1" s="10"/>
      <c r="OZZ1" s="10"/>
      <c r="PAA1" s="10"/>
      <c r="PAB1" s="10"/>
      <c r="PAC1" s="10"/>
      <c r="PAD1" s="10"/>
      <c r="PAE1" s="10"/>
      <c r="PAF1" s="10"/>
      <c r="PAG1" s="10"/>
      <c r="PAH1" s="10"/>
      <c r="PAI1" s="10"/>
      <c r="PAJ1" s="10"/>
      <c r="PAK1" s="10"/>
      <c r="PAL1" s="10"/>
      <c r="PAM1" s="10"/>
      <c r="PAN1" s="10"/>
      <c r="PAO1" s="10"/>
      <c r="PAP1" s="10"/>
      <c r="PAQ1" s="10"/>
      <c r="PAR1" s="10"/>
      <c r="PAS1" s="10"/>
      <c r="PAT1" s="10"/>
      <c r="PAU1" s="10"/>
      <c r="PAV1" s="10"/>
      <c r="PAW1" s="10"/>
      <c r="PAX1" s="10"/>
      <c r="PAY1" s="10"/>
      <c r="PAZ1" s="10"/>
      <c r="PBA1" s="10"/>
      <c r="PBB1" s="10"/>
      <c r="PBC1" s="10"/>
      <c r="PBD1" s="10"/>
      <c r="PBE1" s="10"/>
      <c r="PBF1" s="10"/>
      <c r="PBG1" s="10"/>
      <c r="PBH1" s="10"/>
      <c r="PBI1" s="10"/>
      <c r="PBJ1" s="10"/>
      <c r="PBK1" s="10"/>
      <c r="PBL1" s="10"/>
      <c r="PBM1" s="10"/>
      <c r="PBN1" s="10"/>
      <c r="PBO1" s="10"/>
      <c r="PBP1" s="10"/>
      <c r="PBQ1" s="10"/>
      <c r="PBR1" s="10"/>
      <c r="PBS1" s="10"/>
      <c r="PBT1" s="10"/>
      <c r="PBU1" s="10"/>
      <c r="PBV1" s="10"/>
      <c r="PBW1" s="10"/>
      <c r="PBX1" s="10"/>
      <c r="PBY1" s="10"/>
      <c r="PBZ1" s="10"/>
      <c r="PCA1" s="10"/>
      <c r="PCB1" s="10"/>
      <c r="PCC1" s="10"/>
      <c r="PCD1" s="10"/>
      <c r="PCE1" s="10"/>
      <c r="PCF1" s="10"/>
      <c r="PCG1" s="10"/>
      <c r="PCH1" s="10"/>
      <c r="PCI1" s="10"/>
      <c r="PCJ1" s="10"/>
      <c r="PCK1" s="10"/>
      <c r="PCL1" s="10"/>
      <c r="PCM1" s="10"/>
      <c r="PCN1" s="10"/>
      <c r="PCO1" s="10"/>
      <c r="PCP1" s="10"/>
      <c r="PCQ1" s="10"/>
      <c r="PCR1" s="10"/>
      <c r="PCS1" s="10"/>
      <c r="PCT1" s="10"/>
      <c r="PCU1" s="10"/>
      <c r="PCV1" s="10"/>
      <c r="PCW1" s="10"/>
      <c r="PCX1" s="10"/>
      <c r="PCY1" s="10"/>
      <c r="PCZ1" s="10"/>
      <c r="PDA1" s="10"/>
      <c r="PDB1" s="10"/>
      <c r="PDC1" s="10"/>
      <c r="PDD1" s="10"/>
      <c r="PDE1" s="10"/>
      <c r="PDF1" s="10"/>
      <c r="PDG1" s="10"/>
      <c r="PDH1" s="10"/>
      <c r="PDI1" s="10"/>
      <c r="PDJ1" s="10"/>
      <c r="PDK1" s="10"/>
      <c r="PDL1" s="10"/>
      <c r="PDM1" s="10"/>
      <c r="PDN1" s="10"/>
      <c r="PDO1" s="10"/>
      <c r="PDP1" s="10"/>
      <c r="PDQ1" s="10"/>
      <c r="PDR1" s="10"/>
      <c r="PDS1" s="10"/>
      <c r="PDT1" s="10"/>
      <c r="PDU1" s="10"/>
      <c r="PDV1" s="10"/>
      <c r="PDW1" s="10"/>
      <c r="PDX1" s="10"/>
      <c r="PDY1" s="10"/>
      <c r="PDZ1" s="10"/>
      <c r="PEA1" s="10"/>
      <c r="PEB1" s="10"/>
      <c r="PEC1" s="10"/>
      <c r="PED1" s="10"/>
      <c r="PEE1" s="10"/>
      <c r="PEF1" s="10"/>
      <c r="PEG1" s="10"/>
      <c r="PEH1" s="10"/>
      <c r="PEI1" s="10"/>
      <c r="PEJ1" s="10"/>
      <c r="PEK1" s="10"/>
      <c r="PEL1" s="10"/>
      <c r="PEM1" s="10"/>
      <c r="PEN1" s="10"/>
      <c r="PEO1" s="10"/>
      <c r="PEP1" s="10"/>
      <c r="PEQ1" s="10"/>
      <c r="PER1" s="10"/>
      <c r="PES1" s="10"/>
      <c r="PET1" s="10"/>
      <c r="PEU1" s="10"/>
      <c r="PEV1" s="10"/>
      <c r="PEW1" s="10"/>
      <c r="PEX1" s="10"/>
      <c r="PEY1" s="10"/>
      <c r="PEZ1" s="10"/>
      <c r="PFA1" s="10"/>
      <c r="PFB1" s="10"/>
      <c r="PFC1" s="10"/>
      <c r="PFD1" s="10"/>
      <c r="PFE1" s="10"/>
      <c r="PFF1" s="10"/>
      <c r="PFG1" s="10"/>
      <c r="PFH1" s="10"/>
      <c r="PFI1" s="10"/>
      <c r="PFJ1" s="10"/>
      <c r="PFK1" s="10"/>
      <c r="PFL1" s="10"/>
      <c r="PFM1" s="10"/>
      <c r="PFN1" s="10"/>
      <c r="PFO1" s="10"/>
      <c r="PFP1" s="10"/>
      <c r="PFQ1" s="10"/>
      <c r="PFR1" s="10"/>
      <c r="PFS1" s="10"/>
      <c r="PFT1" s="10"/>
      <c r="PFU1" s="10"/>
      <c r="PFV1" s="10"/>
      <c r="PFW1" s="10"/>
      <c r="PFX1" s="10"/>
      <c r="PFY1" s="10"/>
      <c r="PFZ1" s="10"/>
      <c r="PGA1" s="10"/>
      <c r="PGB1" s="10"/>
      <c r="PGC1" s="10"/>
      <c r="PGD1" s="10"/>
      <c r="PGE1" s="10"/>
      <c r="PGF1" s="10"/>
      <c r="PGG1" s="10"/>
      <c r="PGH1" s="10"/>
      <c r="PGI1" s="10"/>
      <c r="PGJ1" s="10"/>
      <c r="PGK1" s="10"/>
      <c r="PGL1" s="10"/>
      <c r="PGM1" s="10"/>
      <c r="PGN1" s="10"/>
      <c r="PGO1" s="10"/>
      <c r="PGP1" s="10"/>
      <c r="PGQ1" s="10"/>
      <c r="PGR1" s="10"/>
      <c r="PGS1" s="10"/>
      <c r="PGT1" s="10"/>
      <c r="PGU1" s="10"/>
      <c r="PGV1" s="10"/>
      <c r="PGW1" s="10"/>
      <c r="PGX1" s="10"/>
      <c r="PGY1" s="10"/>
      <c r="PGZ1" s="10"/>
      <c r="PHA1" s="10"/>
      <c r="PHB1" s="10"/>
      <c r="PHC1" s="10"/>
      <c r="PHD1" s="10"/>
      <c r="PHE1" s="10"/>
      <c r="PHF1" s="10"/>
      <c r="PHG1" s="10"/>
      <c r="PHH1" s="10"/>
      <c r="PHI1" s="10"/>
      <c r="PHJ1" s="10"/>
      <c r="PHK1" s="10"/>
      <c r="PHL1" s="10"/>
      <c r="PHM1" s="10"/>
      <c r="PHN1" s="10"/>
      <c r="PHO1" s="10"/>
      <c r="PHP1" s="10"/>
      <c r="PHQ1" s="10"/>
      <c r="PHR1" s="10"/>
      <c r="PHS1" s="10"/>
      <c r="PHT1" s="10"/>
      <c r="PHU1" s="10"/>
      <c r="PHV1" s="10"/>
      <c r="PHW1" s="10"/>
      <c r="PHX1" s="10"/>
      <c r="PHY1" s="10"/>
      <c r="PHZ1" s="10"/>
      <c r="PIA1" s="10"/>
      <c r="PIB1" s="10"/>
      <c r="PIC1" s="10"/>
      <c r="PID1" s="10"/>
      <c r="PIE1" s="10"/>
      <c r="PIF1" s="10"/>
      <c r="PIG1" s="10"/>
      <c r="PIH1" s="10"/>
      <c r="PII1" s="10"/>
      <c r="PIJ1" s="10"/>
      <c r="PIK1" s="10"/>
      <c r="PIL1" s="10"/>
      <c r="PIM1" s="10"/>
      <c r="PIN1" s="10"/>
      <c r="PIO1" s="10"/>
      <c r="PIP1" s="10"/>
      <c r="PIQ1" s="10"/>
      <c r="PIR1" s="10"/>
      <c r="PIS1" s="10"/>
      <c r="PIT1" s="10"/>
      <c r="PIU1" s="10"/>
      <c r="PIV1" s="10"/>
      <c r="PIW1" s="10"/>
      <c r="PIX1" s="10"/>
      <c r="PIY1" s="10"/>
      <c r="PIZ1" s="10"/>
      <c r="PJA1" s="10"/>
      <c r="PJB1" s="10"/>
      <c r="PJC1" s="10"/>
      <c r="PJD1" s="10"/>
      <c r="PJE1" s="10"/>
      <c r="PJF1" s="10"/>
      <c r="PJG1" s="10"/>
      <c r="PJH1" s="10"/>
      <c r="PJI1" s="10"/>
      <c r="PJJ1" s="10"/>
      <c r="PJK1" s="10"/>
      <c r="PJL1" s="10"/>
      <c r="PJM1" s="10"/>
      <c r="PJN1" s="10"/>
      <c r="PJO1" s="10"/>
      <c r="PJP1" s="10"/>
      <c r="PJQ1" s="10"/>
      <c r="PJR1" s="10"/>
      <c r="PJS1" s="10"/>
      <c r="PJT1" s="10"/>
      <c r="PJU1" s="10"/>
      <c r="PJV1" s="10"/>
      <c r="PJW1" s="10"/>
      <c r="PJX1" s="10"/>
      <c r="PJY1" s="10"/>
      <c r="PJZ1" s="10"/>
      <c r="PKA1" s="10"/>
      <c r="PKB1" s="10"/>
      <c r="PKC1" s="10"/>
      <c r="PKD1" s="10"/>
      <c r="PKE1" s="10"/>
      <c r="PKF1" s="10"/>
      <c r="PKG1" s="10"/>
      <c r="PKH1" s="10"/>
      <c r="PKI1" s="10"/>
      <c r="PKJ1" s="10"/>
      <c r="PKK1" s="10"/>
      <c r="PKL1" s="10"/>
      <c r="PKM1" s="10"/>
      <c r="PKN1" s="10"/>
      <c r="PKO1" s="10"/>
      <c r="PKP1" s="10"/>
      <c r="PKQ1" s="10"/>
      <c r="PKR1" s="10"/>
      <c r="PKS1" s="10"/>
      <c r="PKT1" s="10"/>
      <c r="PKU1" s="10"/>
      <c r="PKV1" s="10"/>
      <c r="PKW1" s="10"/>
      <c r="PKX1" s="10"/>
      <c r="PKY1" s="10"/>
      <c r="PKZ1" s="10"/>
      <c r="PLA1" s="10"/>
      <c r="PLB1" s="10"/>
      <c r="PLC1" s="10"/>
      <c r="PLD1" s="10"/>
      <c r="PLE1" s="10"/>
      <c r="PLF1" s="10"/>
      <c r="PLG1" s="10"/>
      <c r="PLH1" s="10"/>
      <c r="PLI1" s="10"/>
      <c r="PLJ1" s="10"/>
      <c r="PLK1" s="10"/>
      <c r="PLL1" s="10"/>
      <c r="PLM1" s="10"/>
      <c r="PLN1" s="10"/>
      <c r="PLO1" s="10"/>
      <c r="PLP1" s="10"/>
      <c r="PLQ1" s="10"/>
      <c r="PLR1" s="10"/>
      <c r="PLS1" s="10"/>
      <c r="PLT1" s="10"/>
      <c r="PLU1" s="10"/>
      <c r="PLV1" s="10"/>
      <c r="PLW1" s="10"/>
      <c r="PLX1" s="10"/>
      <c r="PLY1" s="10"/>
      <c r="PLZ1" s="10"/>
      <c r="PMA1" s="10"/>
      <c r="PMB1" s="10"/>
      <c r="PMC1" s="10"/>
      <c r="PMD1" s="10"/>
      <c r="PME1" s="10"/>
      <c r="PMF1" s="10"/>
      <c r="PMG1" s="10"/>
      <c r="PMH1" s="10"/>
      <c r="PMI1" s="10"/>
      <c r="PMJ1" s="10"/>
      <c r="PMK1" s="10"/>
      <c r="PML1" s="10"/>
      <c r="PMM1" s="10"/>
      <c r="PMN1" s="10"/>
      <c r="PMO1" s="10"/>
      <c r="PMP1" s="10"/>
      <c r="PMQ1" s="10"/>
      <c r="PMR1" s="10"/>
      <c r="PMS1" s="10"/>
      <c r="PMT1" s="10"/>
      <c r="PMU1" s="10"/>
      <c r="PMV1" s="10"/>
      <c r="PMW1" s="10"/>
      <c r="PMX1" s="10"/>
      <c r="PMY1" s="10"/>
      <c r="PMZ1" s="10"/>
      <c r="PNA1" s="10"/>
      <c r="PNB1" s="10"/>
      <c r="PNC1" s="10"/>
      <c r="PND1" s="10"/>
      <c r="PNE1" s="10"/>
      <c r="PNF1" s="10"/>
      <c r="PNG1" s="10"/>
      <c r="PNH1" s="10"/>
      <c r="PNI1" s="10"/>
      <c r="PNJ1" s="10"/>
      <c r="PNK1" s="10"/>
      <c r="PNL1" s="10"/>
      <c r="PNM1" s="10"/>
      <c r="PNN1" s="10"/>
      <c r="PNO1" s="10"/>
      <c r="PNP1" s="10"/>
      <c r="PNQ1" s="10"/>
      <c r="PNR1" s="10"/>
      <c r="PNS1" s="10"/>
      <c r="PNT1" s="10"/>
      <c r="PNU1" s="10"/>
      <c r="PNV1" s="10"/>
      <c r="PNW1" s="10"/>
      <c r="PNX1" s="10"/>
      <c r="PNY1" s="10"/>
      <c r="PNZ1" s="10"/>
      <c r="POA1" s="10"/>
      <c r="POB1" s="10"/>
      <c r="POC1" s="10"/>
      <c r="POD1" s="10"/>
      <c r="POE1" s="10"/>
      <c r="POF1" s="10"/>
      <c r="POG1" s="10"/>
      <c r="POH1" s="10"/>
      <c r="POI1" s="10"/>
      <c r="POJ1" s="10"/>
      <c r="POK1" s="10"/>
      <c r="POL1" s="10"/>
      <c r="POM1" s="10"/>
      <c r="PON1" s="10"/>
      <c r="POO1" s="10"/>
      <c r="POP1" s="10"/>
      <c r="POQ1" s="10"/>
      <c r="POR1" s="10"/>
      <c r="POS1" s="10"/>
      <c r="POT1" s="10"/>
      <c r="POU1" s="10"/>
      <c r="POV1" s="10"/>
      <c r="POW1" s="10"/>
      <c r="POX1" s="10"/>
      <c r="POY1" s="10"/>
      <c r="POZ1" s="10"/>
      <c r="PPA1" s="10"/>
      <c r="PPB1" s="10"/>
      <c r="PPC1" s="10"/>
      <c r="PPD1" s="10"/>
      <c r="PPE1" s="10"/>
      <c r="PPF1" s="10"/>
      <c r="PPG1" s="10"/>
      <c r="PPH1" s="10"/>
      <c r="PPI1" s="10"/>
      <c r="PPJ1" s="10"/>
      <c r="PPK1" s="10"/>
      <c r="PPL1" s="10"/>
      <c r="PPM1" s="10"/>
      <c r="PPN1" s="10"/>
      <c r="PPO1" s="10"/>
      <c r="PPP1" s="10"/>
      <c r="PPQ1" s="10"/>
      <c r="PPR1" s="10"/>
      <c r="PPS1" s="10"/>
      <c r="PPT1" s="10"/>
      <c r="PPU1" s="10"/>
      <c r="PPV1" s="10"/>
      <c r="PPW1" s="10"/>
      <c r="PPX1" s="10"/>
      <c r="PPY1" s="10"/>
      <c r="PPZ1" s="10"/>
      <c r="PQA1" s="10"/>
      <c r="PQB1" s="10"/>
      <c r="PQC1" s="10"/>
      <c r="PQD1" s="10"/>
      <c r="PQE1" s="10"/>
      <c r="PQF1" s="10"/>
      <c r="PQG1" s="10"/>
      <c r="PQH1" s="10"/>
      <c r="PQI1" s="10"/>
      <c r="PQJ1" s="10"/>
      <c r="PQK1" s="10"/>
      <c r="PQL1" s="10"/>
      <c r="PQM1" s="10"/>
      <c r="PQN1" s="10"/>
      <c r="PQO1" s="10"/>
      <c r="PQP1" s="10"/>
      <c r="PQQ1" s="10"/>
      <c r="PQR1" s="10"/>
      <c r="PQS1" s="10"/>
      <c r="PQT1" s="10"/>
      <c r="PQU1" s="10"/>
      <c r="PQV1" s="10"/>
      <c r="PQW1" s="10"/>
      <c r="PQX1" s="10"/>
      <c r="PQY1" s="10"/>
      <c r="PQZ1" s="10"/>
      <c r="PRA1" s="10"/>
      <c r="PRB1" s="10"/>
      <c r="PRC1" s="10"/>
      <c r="PRD1" s="10"/>
      <c r="PRE1" s="10"/>
      <c r="PRF1" s="10"/>
      <c r="PRG1" s="10"/>
      <c r="PRH1" s="10"/>
      <c r="PRI1" s="10"/>
      <c r="PRJ1" s="10"/>
      <c r="PRK1" s="10"/>
      <c r="PRL1" s="10"/>
      <c r="PRM1" s="10"/>
      <c r="PRN1" s="10"/>
      <c r="PRO1" s="10"/>
      <c r="PRP1" s="10"/>
      <c r="PRQ1" s="10"/>
      <c r="PRR1" s="10"/>
      <c r="PRS1" s="10"/>
      <c r="PRT1" s="10"/>
      <c r="PRU1" s="10"/>
      <c r="PRV1" s="10"/>
      <c r="PRW1" s="10"/>
      <c r="PRX1" s="10"/>
      <c r="PRY1" s="10"/>
      <c r="PRZ1" s="10"/>
      <c r="PSA1" s="10"/>
      <c r="PSB1" s="10"/>
      <c r="PSC1" s="10"/>
      <c r="PSD1" s="10"/>
      <c r="PSE1" s="10"/>
      <c r="PSF1" s="10"/>
      <c r="PSG1" s="10"/>
      <c r="PSH1" s="10"/>
      <c r="PSI1" s="10"/>
      <c r="PSJ1" s="10"/>
      <c r="PSK1" s="10"/>
      <c r="PSL1" s="10"/>
      <c r="PSM1" s="10"/>
      <c r="PSN1" s="10"/>
      <c r="PSO1" s="10"/>
      <c r="PSP1" s="10"/>
      <c r="PSQ1" s="10"/>
      <c r="PSR1" s="10"/>
      <c r="PSS1" s="10"/>
      <c r="PST1" s="10"/>
      <c r="PSU1" s="10"/>
      <c r="PSV1" s="10"/>
      <c r="PSW1" s="10"/>
      <c r="PSX1" s="10"/>
      <c r="PSY1" s="10"/>
      <c r="PSZ1" s="10"/>
      <c r="PTA1" s="10"/>
      <c r="PTB1" s="10"/>
      <c r="PTC1" s="10"/>
      <c r="PTD1" s="10"/>
      <c r="PTE1" s="10"/>
      <c r="PTF1" s="10"/>
      <c r="PTG1" s="10"/>
      <c r="PTH1" s="10"/>
      <c r="PTI1" s="10"/>
      <c r="PTJ1" s="10"/>
      <c r="PTK1" s="10"/>
      <c r="PTL1" s="10"/>
      <c r="PTM1" s="10"/>
      <c r="PTN1" s="10"/>
      <c r="PTO1" s="10"/>
      <c r="PTP1" s="10"/>
      <c r="PTQ1" s="10"/>
      <c r="PTR1" s="10"/>
      <c r="PTS1" s="10"/>
      <c r="PTT1" s="10"/>
      <c r="PTU1" s="10"/>
      <c r="PTV1" s="10"/>
      <c r="PTW1" s="10"/>
      <c r="PTX1" s="10"/>
      <c r="PTY1" s="10"/>
      <c r="PTZ1" s="10"/>
      <c r="PUA1" s="10"/>
      <c r="PUB1" s="10"/>
      <c r="PUC1" s="10"/>
      <c r="PUD1" s="10"/>
      <c r="PUE1" s="10"/>
      <c r="PUF1" s="10"/>
      <c r="PUG1" s="10"/>
      <c r="PUH1" s="10"/>
      <c r="PUI1" s="10"/>
      <c r="PUJ1" s="10"/>
      <c r="PUK1" s="10"/>
      <c r="PUL1" s="10"/>
      <c r="PUM1" s="10"/>
      <c r="PUN1" s="10"/>
      <c r="PUO1" s="10"/>
      <c r="PUP1" s="10"/>
      <c r="PUQ1" s="10"/>
      <c r="PUR1" s="10"/>
      <c r="PUS1" s="10"/>
      <c r="PUT1" s="10"/>
      <c r="PUU1" s="10"/>
      <c r="PUV1" s="10"/>
      <c r="PUW1" s="10"/>
      <c r="PUX1" s="10"/>
      <c r="PUY1" s="10"/>
      <c r="PUZ1" s="10"/>
      <c r="PVA1" s="10"/>
      <c r="PVB1" s="10"/>
      <c r="PVC1" s="10"/>
      <c r="PVD1" s="10"/>
      <c r="PVE1" s="10"/>
      <c r="PVF1" s="10"/>
      <c r="PVG1" s="10"/>
      <c r="PVH1" s="10"/>
      <c r="PVI1" s="10"/>
      <c r="PVJ1" s="10"/>
      <c r="PVK1" s="10"/>
      <c r="PVL1" s="10"/>
      <c r="PVM1" s="10"/>
      <c r="PVN1" s="10"/>
      <c r="PVO1" s="10"/>
      <c r="PVP1" s="10"/>
      <c r="PVQ1" s="10"/>
      <c r="PVR1" s="10"/>
      <c r="PVS1" s="10"/>
      <c r="PVT1" s="10"/>
      <c r="PVU1" s="10"/>
      <c r="PVV1" s="10"/>
      <c r="PVW1" s="10"/>
      <c r="PVX1" s="10"/>
      <c r="PVY1" s="10"/>
      <c r="PVZ1" s="10"/>
      <c r="PWA1" s="10"/>
      <c r="PWB1" s="10"/>
      <c r="PWC1" s="10"/>
      <c r="PWD1" s="10"/>
      <c r="PWE1" s="10"/>
      <c r="PWF1" s="10"/>
      <c r="PWG1" s="10"/>
      <c r="PWH1" s="10"/>
      <c r="PWI1" s="10"/>
      <c r="PWJ1" s="10"/>
      <c r="PWK1" s="10"/>
      <c r="PWL1" s="10"/>
      <c r="PWM1" s="10"/>
      <c r="PWN1" s="10"/>
      <c r="PWO1" s="10"/>
      <c r="PWP1" s="10"/>
      <c r="PWQ1" s="10"/>
      <c r="PWR1" s="10"/>
      <c r="PWS1" s="10"/>
      <c r="PWT1" s="10"/>
      <c r="PWU1" s="10"/>
      <c r="PWV1" s="10"/>
      <c r="PWW1" s="10"/>
      <c r="PWX1" s="10"/>
      <c r="PWY1" s="10"/>
      <c r="PWZ1" s="10"/>
      <c r="PXA1" s="10"/>
      <c r="PXB1" s="10"/>
      <c r="PXC1" s="10"/>
      <c r="PXD1" s="10"/>
      <c r="PXE1" s="10"/>
      <c r="PXF1" s="10"/>
      <c r="PXG1" s="10"/>
      <c r="PXH1" s="10"/>
      <c r="PXI1" s="10"/>
      <c r="PXJ1" s="10"/>
      <c r="PXK1" s="10"/>
      <c r="PXL1" s="10"/>
      <c r="PXM1" s="10"/>
      <c r="PXN1" s="10"/>
      <c r="PXO1" s="10"/>
      <c r="PXP1" s="10"/>
      <c r="PXQ1" s="10"/>
      <c r="PXR1" s="10"/>
      <c r="PXS1" s="10"/>
      <c r="PXT1" s="10"/>
      <c r="PXU1" s="10"/>
      <c r="PXV1" s="10"/>
      <c r="PXW1" s="10"/>
      <c r="PXX1" s="10"/>
      <c r="PXY1" s="10"/>
      <c r="PXZ1" s="10"/>
      <c r="PYA1" s="10"/>
      <c r="PYB1" s="10"/>
      <c r="PYC1" s="10"/>
      <c r="PYD1" s="10"/>
      <c r="PYE1" s="10"/>
      <c r="PYF1" s="10"/>
      <c r="PYG1" s="10"/>
      <c r="PYH1" s="10"/>
      <c r="PYI1" s="10"/>
      <c r="PYJ1" s="10"/>
      <c r="PYK1" s="10"/>
      <c r="PYL1" s="10"/>
      <c r="PYM1" s="10"/>
      <c r="PYN1" s="10"/>
      <c r="PYO1" s="10"/>
      <c r="PYP1" s="10"/>
      <c r="PYQ1" s="10"/>
      <c r="PYR1" s="10"/>
      <c r="PYS1" s="10"/>
      <c r="PYT1" s="10"/>
      <c r="PYU1" s="10"/>
      <c r="PYV1" s="10"/>
      <c r="PYW1" s="10"/>
      <c r="PYX1" s="10"/>
      <c r="PYY1" s="10"/>
      <c r="PYZ1" s="10"/>
      <c r="PZA1" s="10"/>
      <c r="PZB1" s="10"/>
      <c r="PZC1" s="10"/>
      <c r="PZD1" s="10"/>
      <c r="PZE1" s="10"/>
      <c r="PZF1" s="10"/>
      <c r="PZG1" s="10"/>
      <c r="PZH1" s="10"/>
      <c r="PZI1" s="10"/>
      <c r="PZJ1" s="10"/>
      <c r="PZK1" s="10"/>
      <c r="PZL1" s="10"/>
      <c r="PZM1" s="10"/>
      <c r="PZN1" s="10"/>
      <c r="PZO1" s="10"/>
      <c r="PZP1" s="10"/>
      <c r="PZQ1" s="10"/>
      <c r="PZR1" s="10"/>
      <c r="PZS1" s="10"/>
      <c r="PZT1" s="10"/>
      <c r="PZU1" s="10"/>
      <c r="PZV1" s="10"/>
      <c r="PZW1" s="10"/>
      <c r="PZX1" s="10"/>
      <c r="PZY1" s="10"/>
      <c r="PZZ1" s="10"/>
      <c r="QAA1" s="10"/>
      <c r="QAB1" s="10"/>
      <c r="QAC1" s="10"/>
      <c r="QAD1" s="10"/>
      <c r="QAE1" s="10"/>
      <c r="QAF1" s="10"/>
      <c r="QAG1" s="10"/>
      <c r="QAH1" s="10"/>
      <c r="QAI1" s="10"/>
      <c r="QAJ1" s="10"/>
      <c r="QAK1" s="10"/>
      <c r="QAL1" s="10"/>
      <c r="QAM1" s="10"/>
      <c r="QAN1" s="10"/>
      <c r="QAO1" s="10"/>
      <c r="QAP1" s="10"/>
      <c r="QAQ1" s="10"/>
      <c r="QAR1" s="10"/>
      <c r="QAS1" s="10"/>
      <c r="QAT1" s="10"/>
      <c r="QAU1" s="10"/>
      <c r="QAV1" s="10"/>
      <c r="QAW1" s="10"/>
      <c r="QAX1" s="10"/>
      <c r="QAY1" s="10"/>
      <c r="QAZ1" s="10"/>
      <c r="QBA1" s="10"/>
      <c r="QBB1" s="10"/>
      <c r="QBC1" s="10"/>
      <c r="QBD1" s="10"/>
      <c r="QBE1" s="10"/>
      <c r="QBF1" s="10"/>
      <c r="QBG1" s="10"/>
      <c r="QBH1" s="10"/>
      <c r="QBI1" s="10"/>
      <c r="QBJ1" s="10"/>
      <c r="QBK1" s="10"/>
      <c r="QBL1" s="10"/>
      <c r="QBM1" s="10"/>
      <c r="QBN1" s="10"/>
      <c r="QBO1" s="10"/>
      <c r="QBP1" s="10"/>
      <c r="QBQ1" s="10"/>
      <c r="QBR1" s="10"/>
      <c r="QBS1" s="10"/>
      <c r="QBT1" s="10"/>
      <c r="QBU1" s="10"/>
      <c r="QBV1" s="10"/>
      <c r="QBW1" s="10"/>
      <c r="QBX1" s="10"/>
      <c r="QBY1" s="10"/>
      <c r="QBZ1" s="10"/>
      <c r="QCA1" s="10"/>
      <c r="QCB1" s="10"/>
      <c r="QCC1" s="10"/>
      <c r="QCD1" s="10"/>
      <c r="QCE1" s="10"/>
      <c r="QCF1" s="10"/>
      <c r="QCG1" s="10"/>
      <c r="QCH1" s="10"/>
      <c r="QCI1" s="10"/>
      <c r="QCJ1" s="10"/>
      <c r="QCK1" s="10"/>
      <c r="QCL1" s="10"/>
      <c r="QCM1" s="10"/>
      <c r="QCN1" s="10"/>
      <c r="QCO1" s="10"/>
      <c r="QCP1" s="10"/>
      <c r="QCQ1" s="10"/>
      <c r="QCR1" s="10"/>
      <c r="QCS1" s="10"/>
      <c r="QCT1" s="10"/>
      <c r="QCU1" s="10"/>
      <c r="QCV1" s="10"/>
      <c r="QCW1" s="10"/>
      <c r="QCX1" s="10"/>
      <c r="QCY1" s="10"/>
      <c r="QCZ1" s="10"/>
      <c r="QDA1" s="10"/>
      <c r="QDB1" s="10"/>
      <c r="QDC1" s="10"/>
      <c r="QDD1" s="10"/>
      <c r="QDE1" s="10"/>
      <c r="QDF1" s="10"/>
      <c r="QDG1" s="10"/>
      <c r="QDH1" s="10"/>
      <c r="QDI1" s="10"/>
      <c r="QDJ1" s="10"/>
      <c r="QDK1" s="10"/>
      <c r="QDL1" s="10"/>
      <c r="QDM1" s="10"/>
      <c r="QDN1" s="10"/>
      <c r="QDO1" s="10"/>
      <c r="QDP1" s="10"/>
      <c r="QDQ1" s="10"/>
      <c r="QDR1" s="10"/>
      <c r="QDS1" s="10"/>
      <c r="QDT1" s="10"/>
      <c r="QDU1" s="10"/>
      <c r="QDV1" s="10"/>
      <c r="QDW1" s="10"/>
      <c r="QDX1" s="10"/>
      <c r="QDY1" s="10"/>
      <c r="QDZ1" s="10"/>
      <c r="QEA1" s="10"/>
      <c r="QEB1" s="10"/>
      <c r="QEC1" s="10"/>
      <c r="QED1" s="10"/>
      <c r="QEE1" s="10"/>
      <c r="QEF1" s="10"/>
      <c r="QEG1" s="10"/>
      <c r="QEH1" s="10"/>
      <c r="QEI1" s="10"/>
      <c r="QEJ1" s="10"/>
      <c r="QEK1" s="10"/>
      <c r="QEL1" s="10"/>
      <c r="QEM1" s="10"/>
      <c r="QEN1" s="10"/>
      <c r="QEO1" s="10"/>
      <c r="QEP1" s="10"/>
      <c r="QEQ1" s="10"/>
      <c r="QER1" s="10"/>
      <c r="QES1" s="10"/>
      <c r="QET1" s="10"/>
      <c r="QEU1" s="10"/>
      <c r="QEV1" s="10"/>
      <c r="QEW1" s="10"/>
      <c r="QEX1" s="10"/>
      <c r="QEY1" s="10"/>
      <c r="QEZ1" s="10"/>
      <c r="QFA1" s="10"/>
      <c r="QFB1" s="10"/>
      <c r="QFC1" s="10"/>
      <c r="QFD1" s="10"/>
      <c r="QFE1" s="10"/>
      <c r="QFF1" s="10"/>
      <c r="QFG1" s="10"/>
      <c r="QFH1" s="10"/>
      <c r="QFI1" s="10"/>
      <c r="QFJ1" s="10"/>
      <c r="QFK1" s="10"/>
      <c r="QFL1" s="10"/>
      <c r="QFM1" s="10"/>
      <c r="QFN1" s="10"/>
      <c r="QFO1" s="10"/>
      <c r="QFP1" s="10"/>
      <c r="QFQ1" s="10"/>
      <c r="QFR1" s="10"/>
      <c r="QFS1" s="10"/>
      <c r="QFT1" s="10"/>
      <c r="QFU1" s="10"/>
      <c r="QFV1" s="10"/>
      <c r="QFW1" s="10"/>
      <c r="QFX1" s="10"/>
      <c r="QFY1" s="10"/>
      <c r="QFZ1" s="10"/>
      <c r="QGA1" s="10"/>
      <c r="QGB1" s="10"/>
      <c r="QGC1" s="10"/>
      <c r="QGD1" s="10"/>
      <c r="QGE1" s="10"/>
      <c r="QGF1" s="10"/>
      <c r="QGG1" s="10"/>
      <c r="QGH1" s="10"/>
      <c r="QGI1" s="10"/>
      <c r="QGJ1" s="10"/>
      <c r="QGK1" s="10"/>
      <c r="QGL1" s="10"/>
      <c r="QGM1" s="10"/>
      <c r="QGN1" s="10"/>
      <c r="QGO1" s="10"/>
      <c r="QGP1" s="10"/>
      <c r="QGQ1" s="10"/>
      <c r="QGR1" s="10"/>
      <c r="QGS1" s="10"/>
      <c r="QGT1" s="10"/>
      <c r="QGU1" s="10"/>
      <c r="QGV1" s="10"/>
      <c r="QGW1" s="10"/>
      <c r="QGX1" s="10"/>
      <c r="QGY1" s="10"/>
      <c r="QGZ1" s="10"/>
      <c r="QHA1" s="10"/>
      <c r="QHB1" s="10"/>
      <c r="QHC1" s="10"/>
      <c r="QHD1" s="10"/>
      <c r="QHE1" s="10"/>
      <c r="QHF1" s="10"/>
      <c r="QHG1" s="10"/>
      <c r="QHH1" s="10"/>
      <c r="QHI1" s="10"/>
      <c r="QHJ1" s="10"/>
      <c r="QHK1" s="10"/>
      <c r="QHL1" s="10"/>
      <c r="QHM1" s="10"/>
      <c r="QHN1" s="10"/>
      <c r="QHO1" s="10"/>
      <c r="QHP1" s="10"/>
      <c r="QHQ1" s="10"/>
      <c r="QHR1" s="10"/>
      <c r="QHS1" s="10"/>
      <c r="QHT1" s="10"/>
      <c r="QHU1" s="10"/>
      <c r="QHV1" s="10"/>
      <c r="QHW1" s="10"/>
      <c r="QHX1" s="10"/>
      <c r="QHY1" s="10"/>
      <c r="QHZ1" s="10"/>
      <c r="QIA1" s="10"/>
      <c r="QIB1" s="10"/>
      <c r="QIC1" s="10"/>
      <c r="QID1" s="10"/>
      <c r="QIE1" s="10"/>
      <c r="QIF1" s="10"/>
      <c r="QIG1" s="10"/>
      <c r="QIH1" s="10"/>
      <c r="QII1" s="10"/>
      <c r="QIJ1" s="10"/>
      <c r="QIK1" s="10"/>
      <c r="QIL1" s="10"/>
      <c r="QIM1" s="10"/>
      <c r="QIN1" s="10"/>
      <c r="QIO1" s="10"/>
      <c r="QIP1" s="10"/>
      <c r="QIQ1" s="10"/>
      <c r="QIR1" s="10"/>
      <c r="QIS1" s="10"/>
      <c r="QIT1" s="10"/>
      <c r="QIU1" s="10"/>
      <c r="QIV1" s="10"/>
      <c r="QIW1" s="10"/>
      <c r="QIX1" s="10"/>
      <c r="QIY1" s="10"/>
      <c r="QIZ1" s="10"/>
      <c r="QJA1" s="10"/>
      <c r="QJB1" s="10"/>
      <c r="QJC1" s="10"/>
      <c r="QJD1" s="10"/>
      <c r="QJE1" s="10"/>
      <c r="QJF1" s="10"/>
      <c r="QJG1" s="10"/>
      <c r="QJH1" s="10"/>
      <c r="QJI1" s="10"/>
      <c r="QJJ1" s="10"/>
      <c r="QJK1" s="10"/>
      <c r="QJL1" s="10"/>
      <c r="QJM1" s="10"/>
      <c r="QJN1" s="10"/>
      <c r="QJO1" s="10"/>
      <c r="QJP1" s="10"/>
      <c r="QJQ1" s="10"/>
      <c r="QJR1" s="10"/>
      <c r="QJS1" s="10"/>
      <c r="QJT1" s="10"/>
      <c r="QJU1" s="10"/>
      <c r="QJV1" s="10"/>
      <c r="QJW1" s="10"/>
      <c r="QJX1" s="10"/>
      <c r="QJY1" s="10"/>
      <c r="QJZ1" s="10"/>
      <c r="QKA1" s="10"/>
      <c r="QKB1" s="10"/>
      <c r="QKC1" s="10"/>
      <c r="QKD1" s="10"/>
      <c r="QKE1" s="10"/>
      <c r="QKF1" s="10"/>
      <c r="QKG1" s="10"/>
      <c r="QKH1" s="10"/>
      <c r="QKI1" s="10"/>
      <c r="QKJ1" s="10"/>
      <c r="QKK1" s="10"/>
      <c r="QKL1" s="10"/>
      <c r="QKM1" s="10"/>
      <c r="QKN1" s="10"/>
      <c r="QKO1" s="10"/>
      <c r="QKP1" s="10"/>
      <c r="QKQ1" s="10"/>
      <c r="QKR1" s="10"/>
      <c r="QKS1" s="10"/>
      <c r="QKT1" s="10"/>
      <c r="QKU1" s="10"/>
      <c r="QKV1" s="10"/>
      <c r="QKW1" s="10"/>
      <c r="QKX1" s="10"/>
      <c r="QKY1" s="10"/>
      <c r="QKZ1" s="10"/>
      <c r="QLA1" s="10"/>
      <c r="QLB1" s="10"/>
      <c r="QLC1" s="10"/>
      <c r="QLD1" s="10"/>
      <c r="QLE1" s="10"/>
      <c r="QLF1" s="10"/>
      <c r="QLG1" s="10"/>
      <c r="QLH1" s="10"/>
      <c r="QLI1" s="10"/>
      <c r="QLJ1" s="10"/>
      <c r="QLK1" s="10"/>
      <c r="QLL1" s="10"/>
      <c r="QLM1" s="10"/>
      <c r="QLN1" s="10"/>
      <c r="QLO1" s="10"/>
      <c r="QLP1" s="10"/>
      <c r="QLQ1" s="10"/>
      <c r="QLR1" s="10"/>
      <c r="QLS1" s="10"/>
      <c r="QLT1" s="10"/>
      <c r="QLU1" s="10"/>
      <c r="QLV1" s="10"/>
      <c r="QLW1" s="10"/>
      <c r="QLX1" s="10"/>
      <c r="QLY1" s="10"/>
      <c r="QLZ1" s="10"/>
      <c r="QMA1" s="10"/>
      <c r="QMB1" s="10"/>
      <c r="QMC1" s="10"/>
      <c r="QMD1" s="10"/>
      <c r="QME1" s="10"/>
      <c r="QMF1" s="10"/>
      <c r="QMG1" s="10"/>
      <c r="QMH1" s="10"/>
      <c r="QMI1" s="10"/>
      <c r="QMJ1" s="10"/>
      <c r="QMK1" s="10"/>
      <c r="QML1" s="10"/>
      <c r="QMM1" s="10"/>
      <c r="QMN1" s="10"/>
      <c r="QMO1" s="10"/>
      <c r="QMP1" s="10"/>
      <c r="QMQ1" s="10"/>
      <c r="QMR1" s="10"/>
      <c r="QMS1" s="10"/>
      <c r="QMT1" s="10"/>
      <c r="QMU1" s="10"/>
      <c r="QMV1" s="10"/>
      <c r="QMW1" s="10"/>
      <c r="QMX1" s="10"/>
      <c r="QMY1" s="10"/>
      <c r="QMZ1" s="10"/>
      <c r="QNA1" s="10"/>
      <c r="QNB1" s="10"/>
      <c r="QNC1" s="10"/>
      <c r="QND1" s="10"/>
      <c r="QNE1" s="10"/>
      <c r="QNF1" s="10"/>
      <c r="QNG1" s="10"/>
      <c r="QNH1" s="10"/>
      <c r="QNI1" s="10"/>
      <c r="QNJ1" s="10"/>
      <c r="QNK1" s="10"/>
      <c r="QNL1" s="10"/>
      <c r="QNM1" s="10"/>
      <c r="QNN1" s="10"/>
      <c r="QNO1" s="10"/>
      <c r="QNP1" s="10"/>
      <c r="QNQ1" s="10"/>
      <c r="QNR1" s="10"/>
      <c r="QNS1" s="10"/>
      <c r="QNT1" s="10"/>
      <c r="QNU1" s="10"/>
      <c r="QNV1" s="10"/>
      <c r="QNW1" s="10"/>
      <c r="QNX1" s="10"/>
      <c r="QNY1" s="10"/>
      <c r="QNZ1" s="10"/>
      <c r="QOA1" s="10"/>
      <c r="QOB1" s="10"/>
      <c r="QOC1" s="10"/>
      <c r="QOD1" s="10"/>
      <c r="QOE1" s="10"/>
      <c r="QOF1" s="10"/>
      <c r="QOG1" s="10"/>
      <c r="QOH1" s="10"/>
      <c r="QOI1" s="10"/>
      <c r="QOJ1" s="10"/>
      <c r="QOK1" s="10"/>
      <c r="QOL1" s="10"/>
      <c r="QOM1" s="10"/>
      <c r="QON1" s="10"/>
      <c r="QOO1" s="10"/>
      <c r="QOP1" s="10"/>
      <c r="QOQ1" s="10"/>
      <c r="QOR1" s="10"/>
      <c r="QOS1" s="10"/>
      <c r="QOT1" s="10"/>
      <c r="QOU1" s="10"/>
      <c r="QOV1" s="10"/>
      <c r="QOW1" s="10"/>
      <c r="QOX1" s="10"/>
      <c r="QOY1" s="10"/>
      <c r="QOZ1" s="10"/>
      <c r="QPA1" s="10"/>
      <c r="QPB1" s="10"/>
      <c r="QPC1" s="10"/>
      <c r="QPD1" s="10"/>
      <c r="QPE1" s="10"/>
      <c r="QPF1" s="10"/>
      <c r="QPG1" s="10"/>
      <c r="QPH1" s="10"/>
      <c r="QPI1" s="10"/>
      <c r="QPJ1" s="10"/>
      <c r="QPK1" s="10"/>
      <c r="QPL1" s="10"/>
      <c r="QPM1" s="10"/>
      <c r="QPN1" s="10"/>
      <c r="QPO1" s="10"/>
      <c r="QPP1" s="10"/>
      <c r="QPQ1" s="10"/>
      <c r="QPR1" s="10"/>
      <c r="QPS1" s="10"/>
      <c r="QPT1" s="10"/>
      <c r="QPU1" s="10"/>
      <c r="QPV1" s="10"/>
      <c r="QPW1" s="10"/>
      <c r="QPX1" s="10"/>
      <c r="QPY1" s="10"/>
      <c r="QPZ1" s="10"/>
      <c r="QQA1" s="10"/>
      <c r="QQB1" s="10"/>
      <c r="QQC1" s="10"/>
      <c r="QQD1" s="10"/>
      <c r="QQE1" s="10"/>
      <c r="QQF1" s="10"/>
      <c r="QQG1" s="10"/>
      <c r="QQH1" s="10"/>
      <c r="QQI1" s="10"/>
      <c r="QQJ1" s="10"/>
      <c r="QQK1" s="10"/>
      <c r="QQL1" s="10"/>
      <c r="QQM1" s="10"/>
      <c r="QQN1" s="10"/>
      <c r="QQO1" s="10"/>
      <c r="QQP1" s="10"/>
      <c r="QQQ1" s="10"/>
      <c r="QQR1" s="10"/>
      <c r="QQS1" s="10"/>
      <c r="QQT1" s="10"/>
      <c r="QQU1" s="10"/>
      <c r="QQV1" s="10"/>
      <c r="QQW1" s="10"/>
      <c r="QQX1" s="10"/>
      <c r="QQY1" s="10"/>
      <c r="QQZ1" s="10"/>
      <c r="QRA1" s="10"/>
      <c r="QRB1" s="10"/>
      <c r="QRC1" s="10"/>
      <c r="QRD1" s="10"/>
      <c r="QRE1" s="10"/>
      <c r="QRF1" s="10"/>
      <c r="QRG1" s="10"/>
      <c r="QRH1" s="10"/>
      <c r="QRI1" s="10"/>
      <c r="QRJ1" s="10"/>
      <c r="QRK1" s="10"/>
      <c r="QRL1" s="10"/>
      <c r="QRM1" s="10"/>
      <c r="QRN1" s="10"/>
      <c r="QRO1" s="10"/>
      <c r="QRP1" s="10"/>
      <c r="QRQ1" s="10"/>
      <c r="QRR1" s="10"/>
      <c r="QRS1" s="10"/>
      <c r="QRT1" s="10"/>
      <c r="QRU1" s="10"/>
      <c r="QRV1" s="10"/>
      <c r="QRW1" s="10"/>
      <c r="QRX1" s="10"/>
      <c r="QRY1" s="10"/>
      <c r="QRZ1" s="10"/>
      <c r="QSA1" s="10"/>
      <c r="QSB1" s="10"/>
      <c r="QSC1" s="10"/>
      <c r="QSD1" s="10"/>
      <c r="QSE1" s="10"/>
      <c r="QSF1" s="10"/>
      <c r="QSG1" s="10"/>
      <c r="QSH1" s="10"/>
      <c r="QSI1" s="10"/>
      <c r="QSJ1" s="10"/>
      <c r="QSK1" s="10"/>
      <c r="QSL1" s="10"/>
      <c r="QSM1" s="10"/>
      <c r="QSN1" s="10"/>
      <c r="QSO1" s="10"/>
      <c r="QSP1" s="10"/>
      <c r="QSQ1" s="10"/>
      <c r="QSR1" s="10"/>
      <c r="QSS1" s="10"/>
      <c r="QST1" s="10"/>
      <c r="QSU1" s="10"/>
      <c r="QSV1" s="10"/>
      <c r="QSW1" s="10"/>
      <c r="QSX1" s="10"/>
      <c r="QSY1" s="10"/>
      <c r="QSZ1" s="10"/>
      <c r="QTA1" s="10"/>
      <c r="QTB1" s="10"/>
      <c r="QTC1" s="10"/>
      <c r="QTD1" s="10"/>
      <c r="QTE1" s="10"/>
      <c r="QTF1" s="10"/>
      <c r="QTG1" s="10"/>
      <c r="QTH1" s="10"/>
      <c r="QTI1" s="10"/>
      <c r="QTJ1" s="10"/>
      <c r="QTK1" s="10"/>
      <c r="QTL1" s="10"/>
      <c r="QTM1" s="10"/>
      <c r="QTN1" s="10"/>
      <c r="QTO1" s="10"/>
      <c r="QTP1" s="10"/>
      <c r="QTQ1" s="10"/>
      <c r="QTR1" s="10"/>
      <c r="QTS1" s="10"/>
      <c r="QTT1" s="10"/>
      <c r="QTU1" s="10"/>
      <c r="QTV1" s="10"/>
      <c r="QTW1" s="10"/>
      <c r="QTX1" s="10"/>
      <c r="QTY1" s="10"/>
      <c r="QTZ1" s="10"/>
      <c r="QUA1" s="10"/>
      <c r="QUB1" s="10"/>
      <c r="QUC1" s="10"/>
      <c r="QUD1" s="10"/>
      <c r="QUE1" s="10"/>
      <c r="QUF1" s="10"/>
      <c r="QUG1" s="10"/>
      <c r="QUH1" s="10"/>
      <c r="QUI1" s="10"/>
      <c r="QUJ1" s="10"/>
      <c r="QUK1" s="10"/>
      <c r="QUL1" s="10"/>
      <c r="QUM1" s="10"/>
      <c r="QUN1" s="10"/>
      <c r="QUO1" s="10"/>
      <c r="QUP1" s="10"/>
      <c r="QUQ1" s="10"/>
      <c r="QUR1" s="10"/>
      <c r="QUS1" s="10"/>
      <c r="QUT1" s="10"/>
      <c r="QUU1" s="10"/>
      <c r="QUV1" s="10"/>
      <c r="QUW1" s="10"/>
      <c r="QUX1" s="10"/>
      <c r="QUY1" s="10"/>
      <c r="QUZ1" s="10"/>
      <c r="QVA1" s="10"/>
      <c r="QVB1" s="10"/>
      <c r="QVC1" s="10"/>
      <c r="QVD1" s="10"/>
      <c r="QVE1" s="10"/>
      <c r="QVF1" s="10"/>
      <c r="QVG1" s="10"/>
      <c r="QVH1" s="10"/>
      <c r="QVI1" s="10"/>
      <c r="QVJ1" s="10"/>
      <c r="QVK1" s="10"/>
      <c r="QVL1" s="10"/>
      <c r="QVM1" s="10"/>
      <c r="QVN1" s="10"/>
      <c r="QVO1" s="10"/>
      <c r="QVP1" s="10"/>
      <c r="QVQ1" s="10"/>
      <c r="QVR1" s="10"/>
      <c r="QVS1" s="10"/>
      <c r="QVT1" s="10"/>
      <c r="QVU1" s="10"/>
      <c r="QVV1" s="10"/>
      <c r="QVW1" s="10"/>
      <c r="QVX1" s="10"/>
      <c r="QVY1" s="10"/>
      <c r="QVZ1" s="10"/>
      <c r="QWA1" s="10"/>
      <c r="QWB1" s="10"/>
      <c r="QWC1" s="10"/>
      <c r="QWD1" s="10"/>
      <c r="QWE1" s="10"/>
      <c r="QWF1" s="10"/>
      <c r="QWG1" s="10"/>
      <c r="QWH1" s="10"/>
      <c r="QWI1" s="10"/>
      <c r="QWJ1" s="10"/>
      <c r="QWK1" s="10"/>
      <c r="QWL1" s="10"/>
      <c r="QWM1" s="10"/>
      <c r="QWN1" s="10"/>
      <c r="QWO1" s="10"/>
      <c r="QWP1" s="10"/>
      <c r="QWQ1" s="10"/>
      <c r="QWR1" s="10"/>
      <c r="QWS1" s="10"/>
      <c r="QWT1" s="10"/>
      <c r="QWU1" s="10"/>
      <c r="QWV1" s="10"/>
      <c r="QWW1" s="10"/>
      <c r="QWX1" s="10"/>
      <c r="QWY1" s="10"/>
      <c r="QWZ1" s="10"/>
      <c r="QXA1" s="10"/>
      <c r="QXB1" s="10"/>
      <c r="QXC1" s="10"/>
      <c r="QXD1" s="10"/>
      <c r="QXE1" s="10"/>
      <c r="QXF1" s="10"/>
      <c r="QXG1" s="10"/>
      <c r="QXH1" s="10"/>
      <c r="QXI1" s="10"/>
      <c r="QXJ1" s="10"/>
      <c r="QXK1" s="10"/>
      <c r="QXL1" s="10"/>
      <c r="QXM1" s="10"/>
      <c r="QXN1" s="10"/>
      <c r="QXO1" s="10"/>
      <c r="QXP1" s="10"/>
      <c r="QXQ1" s="10"/>
      <c r="QXR1" s="10"/>
      <c r="QXS1" s="10"/>
      <c r="QXT1" s="10"/>
      <c r="QXU1" s="10"/>
      <c r="QXV1" s="10"/>
      <c r="QXW1" s="10"/>
      <c r="QXX1" s="10"/>
      <c r="QXY1" s="10"/>
      <c r="QXZ1" s="10"/>
      <c r="QYA1" s="10"/>
      <c r="QYB1" s="10"/>
      <c r="QYC1" s="10"/>
      <c r="QYD1" s="10"/>
      <c r="QYE1" s="10"/>
      <c r="QYF1" s="10"/>
      <c r="QYG1" s="10"/>
      <c r="QYH1" s="10"/>
      <c r="QYI1" s="10"/>
      <c r="QYJ1" s="10"/>
      <c r="QYK1" s="10"/>
      <c r="QYL1" s="10"/>
      <c r="QYM1" s="10"/>
      <c r="QYN1" s="10"/>
      <c r="QYO1" s="10"/>
      <c r="QYP1" s="10"/>
      <c r="QYQ1" s="10"/>
      <c r="QYR1" s="10"/>
      <c r="QYS1" s="10"/>
      <c r="QYT1" s="10"/>
      <c r="QYU1" s="10"/>
      <c r="QYV1" s="10"/>
      <c r="QYW1" s="10"/>
      <c r="QYX1" s="10"/>
      <c r="QYY1" s="10"/>
      <c r="QYZ1" s="10"/>
      <c r="QZA1" s="10"/>
      <c r="QZB1" s="10"/>
      <c r="QZC1" s="10"/>
      <c r="QZD1" s="10"/>
      <c r="QZE1" s="10"/>
      <c r="QZF1" s="10"/>
      <c r="QZG1" s="10"/>
      <c r="QZH1" s="10"/>
      <c r="QZI1" s="10"/>
      <c r="QZJ1" s="10"/>
      <c r="QZK1" s="10"/>
      <c r="QZL1" s="10"/>
      <c r="QZM1" s="10"/>
      <c r="QZN1" s="10"/>
      <c r="QZO1" s="10"/>
      <c r="QZP1" s="10"/>
      <c r="QZQ1" s="10"/>
      <c r="QZR1" s="10"/>
      <c r="QZS1" s="10"/>
      <c r="QZT1" s="10"/>
      <c r="QZU1" s="10"/>
      <c r="QZV1" s="10"/>
      <c r="QZW1" s="10"/>
      <c r="QZX1" s="10"/>
      <c r="QZY1" s="10"/>
      <c r="QZZ1" s="10"/>
      <c r="RAA1" s="10"/>
      <c r="RAB1" s="10"/>
      <c r="RAC1" s="10"/>
      <c r="RAD1" s="10"/>
      <c r="RAE1" s="10"/>
      <c r="RAF1" s="10"/>
      <c r="RAG1" s="10"/>
      <c r="RAH1" s="10"/>
      <c r="RAI1" s="10"/>
      <c r="RAJ1" s="10"/>
      <c r="RAK1" s="10"/>
      <c r="RAL1" s="10"/>
      <c r="RAM1" s="10"/>
      <c r="RAN1" s="10"/>
      <c r="RAO1" s="10"/>
      <c r="RAP1" s="10"/>
      <c r="RAQ1" s="10"/>
      <c r="RAR1" s="10"/>
      <c r="RAS1" s="10"/>
      <c r="RAT1" s="10"/>
      <c r="RAU1" s="10"/>
      <c r="RAV1" s="10"/>
      <c r="RAW1" s="10"/>
      <c r="RAX1" s="10"/>
      <c r="RAY1" s="10"/>
      <c r="RAZ1" s="10"/>
      <c r="RBA1" s="10"/>
      <c r="RBB1" s="10"/>
      <c r="RBC1" s="10"/>
      <c r="RBD1" s="10"/>
      <c r="RBE1" s="10"/>
      <c r="RBF1" s="10"/>
      <c r="RBG1" s="10"/>
      <c r="RBH1" s="10"/>
      <c r="RBI1" s="10"/>
      <c r="RBJ1" s="10"/>
      <c r="RBK1" s="10"/>
      <c r="RBL1" s="10"/>
      <c r="RBM1" s="10"/>
      <c r="RBN1" s="10"/>
      <c r="RBO1" s="10"/>
      <c r="RBP1" s="10"/>
      <c r="RBQ1" s="10"/>
      <c r="RBR1" s="10"/>
      <c r="RBS1" s="10"/>
      <c r="RBT1" s="10"/>
      <c r="RBU1" s="10"/>
      <c r="RBV1" s="10"/>
      <c r="RBW1" s="10"/>
      <c r="RBX1" s="10"/>
      <c r="RBY1" s="10"/>
      <c r="RBZ1" s="10"/>
      <c r="RCA1" s="10"/>
      <c r="RCB1" s="10"/>
      <c r="RCC1" s="10"/>
      <c r="RCD1" s="10"/>
      <c r="RCE1" s="10"/>
      <c r="RCF1" s="10"/>
      <c r="RCG1" s="10"/>
      <c r="RCH1" s="10"/>
      <c r="RCI1" s="10"/>
      <c r="RCJ1" s="10"/>
      <c r="RCK1" s="10"/>
      <c r="RCL1" s="10"/>
      <c r="RCM1" s="10"/>
      <c r="RCN1" s="10"/>
      <c r="RCO1" s="10"/>
      <c r="RCP1" s="10"/>
      <c r="RCQ1" s="10"/>
      <c r="RCR1" s="10"/>
      <c r="RCS1" s="10"/>
      <c r="RCT1" s="10"/>
      <c r="RCU1" s="10"/>
      <c r="RCV1" s="10"/>
      <c r="RCW1" s="10"/>
      <c r="RCX1" s="10"/>
      <c r="RCY1" s="10"/>
      <c r="RCZ1" s="10"/>
      <c r="RDA1" s="10"/>
      <c r="RDB1" s="10"/>
      <c r="RDC1" s="10"/>
      <c r="RDD1" s="10"/>
      <c r="RDE1" s="10"/>
      <c r="RDF1" s="10"/>
      <c r="RDG1" s="10"/>
      <c r="RDH1" s="10"/>
      <c r="RDI1" s="10"/>
      <c r="RDJ1" s="10"/>
      <c r="RDK1" s="10"/>
      <c r="RDL1" s="10"/>
      <c r="RDM1" s="10"/>
      <c r="RDN1" s="10"/>
      <c r="RDO1" s="10"/>
      <c r="RDP1" s="10"/>
      <c r="RDQ1" s="10"/>
      <c r="RDR1" s="10"/>
      <c r="RDS1" s="10"/>
      <c r="RDT1" s="10"/>
      <c r="RDU1" s="10"/>
      <c r="RDV1" s="10"/>
      <c r="RDW1" s="10"/>
      <c r="RDX1" s="10"/>
      <c r="RDY1" s="10"/>
      <c r="RDZ1" s="10"/>
      <c r="REA1" s="10"/>
      <c r="REB1" s="10"/>
      <c r="REC1" s="10"/>
      <c r="RED1" s="10"/>
      <c r="REE1" s="10"/>
      <c r="REF1" s="10"/>
      <c r="REG1" s="10"/>
      <c r="REH1" s="10"/>
      <c r="REI1" s="10"/>
      <c r="REJ1" s="10"/>
      <c r="REK1" s="10"/>
      <c r="REL1" s="10"/>
      <c r="REM1" s="10"/>
      <c r="REN1" s="10"/>
      <c r="REO1" s="10"/>
      <c r="REP1" s="10"/>
      <c r="REQ1" s="10"/>
      <c r="RER1" s="10"/>
      <c r="RES1" s="10"/>
      <c r="RET1" s="10"/>
      <c r="REU1" s="10"/>
      <c r="REV1" s="10"/>
      <c r="REW1" s="10"/>
      <c r="REX1" s="10"/>
      <c r="REY1" s="10"/>
      <c r="REZ1" s="10"/>
      <c r="RFA1" s="10"/>
      <c r="RFB1" s="10"/>
      <c r="RFC1" s="10"/>
      <c r="RFD1" s="10"/>
      <c r="RFE1" s="10"/>
      <c r="RFF1" s="10"/>
      <c r="RFG1" s="10"/>
      <c r="RFH1" s="10"/>
      <c r="RFI1" s="10"/>
      <c r="RFJ1" s="10"/>
      <c r="RFK1" s="10"/>
      <c r="RFL1" s="10"/>
      <c r="RFM1" s="10"/>
      <c r="RFN1" s="10"/>
      <c r="RFO1" s="10"/>
      <c r="RFP1" s="10"/>
      <c r="RFQ1" s="10"/>
      <c r="RFR1" s="10"/>
      <c r="RFS1" s="10"/>
      <c r="RFT1" s="10"/>
      <c r="RFU1" s="10"/>
      <c r="RFV1" s="10"/>
      <c r="RFW1" s="10"/>
      <c r="RFX1" s="10"/>
      <c r="RFY1" s="10"/>
      <c r="RFZ1" s="10"/>
      <c r="RGA1" s="10"/>
      <c r="RGB1" s="10"/>
      <c r="RGC1" s="10"/>
      <c r="RGD1" s="10"/>
      <c r="RGE1" s="10"/>
      <c r="RGF1" s="10"/>
      <c r="RGG1" s="10"/>
      <c r="RGH1" s="10"/>
      <c r="RGI1" s="10"/>
      <c r="RGJ1" s="10"/>
      <c r="RGK1" s="10"/>
      <c r="RGL1" s="10"/>
      <c r="RGM1" s="10"/>
      <c r="RGN1" s="10"/>
      <c r="RGO1" s="10"/>
      <c r="RGP1" s="10"/>
      <c r="RGQ1" s="10"/>
      <c r="RGR1" s="10"/>
      <c r="RGS1" s="10"/>
      <c r="RGT1" s="10"/>
      <c r="RGU1" s="10"/>
      <c r="RGV1" s="10"/>
      <c r="RGW1" s="10"/>
      <c r="RGX1" s="10"/>
      <c r="RGY1" s="10"/>
      <c r="RGZ1" s="10"/>
      <c r="RHA1" s="10"/>
      <c r="RHB1" s="10"/>
      <c r="RHC1" s="10"/>
      <c r="RHD1" s="10"/>
      <c r="RHE1" s="10"/>
      <c r="RHF1" s="10"/>
      <c r="RHG1" s="10"/>
      <c r="RHH1" s="10"/>
      <c r="RHI1" s="10"/>
      <c r="RHJ1" s="10"/>
      <c r="RHK1" s="10"/>
      <c r="RHL1" s="10"/>
      <c r="RHM1" s="10"/>
      <c r="RHN1" s="10"/>
      <c r="RHO1" s="10"/>
      <c r="RHP1" s="10"/>
      <c r="RHQ1" s="10"/>
      <c r="RHR1" s="10"/>
      <c r="RHS1" s="10"/>
      <c r="RHT1" s="10"/>
      <c r="RHU1" s="10"/>
      <c r="RHV1" s="10"/>
      <c r="RHW1" s="10"/>
      <c r="RHX1" s="10"/>
      <c r="RHY1" s="10"/>
      <c r="RHZ1" s="10"/>
      <c r="RIA1" s="10"/>
      <c r="RIB1" s="10"/>
      <c r="RIC1" s="10"/>
      <c r="RID1" s="10"/>
      <c r="RIE1" s="10"/>
      <c r="RIF1" s="10"/>
      <c r="RIG1" s="10"/>
      <c r="RIH1" s="10"/>
      <c r="RII1" s="10"/>
      <c r="RIJ1" s="10"/>
      <c r="RIK1" s="10"/>
      <c r="RIL1" s="10"/>
      <c r="RIM1" s="10"/>
      <c r="RIN1" s="10"/>
      <c r="RIO1" s="10"/>
      <c r="RIP1" s="10"/>
      <c r="RIQ1" s="10"/>
      <c r="RIR1" s="10"/>
      <c r="RIS1" s="10"/>
      <c r="RIT1" s="10"/>
      <c r="RIU1" s="10"/>
      <c r="RIV1" s="10"/>
      <c r="RIW1" s="10"/>
      <c r="RIX1" s="10"/>
      <c r="RIY1" s="10"/>
      <c r="RIZ1" s="10"/>
      <c r="RJA1" s="10"/>
      <c r="RJB1" s="10"/>
      <c r="RJC1" s="10"/>
      <c r="RJD1" s="10"/>
      <c r="RJE1" s="10"/>
      <c r="RJF1" s="10"/>
      <c r="RJG1" s="10"/>
      <c r="RJH1" s="10"/>
      <c r="RJI1" s="10"/>
      <c r="RJJ1" s="10"/>
      <c r="RJK1" s="10"/>
      <c r="RJL1" s="10"/>
      <c r="RJM1" s="10"/>
      <c r="RJN1" s="10"/>
      <c r="RJO1" s="10"/>
      <c r="RJP1" s="10"/>
      <c r="RJQ1" s="10"/>
      <c r="RJR1" s="10"/>
      <c r="RJS1" s="10"/>
      <c r="RJT1" s="10"/>
      <c r="RJU1" s="10"/>
      <c r="RJV1" s="10"/>
      <c r="RJW1" s="10"/>
      <c r="RJX1" s="10"/>
      <c r="RJY1" s="10"/>
      <c r="RJZ1" s="10"/>
      <c r="RKA1" s="10"/>
      <c r="RKB1" s="10"/>
      <c r="RKC1" s="10"/>
      <c r="RKD1" s="10"/>
      <c r="RKE1" s="10"/>
      <c r="RKF1" s="10"/>
      <c r="RKG1" s="10"/>
      <c r="RKH1" s="10"/>
      <c r="RKI1" s="10"/>
      <c r="RKJ1" s="10"/>
      <c r="RKK1" s="10"/>
      <c r="RKL1" s="10"/>
      <c r="RKM1" s="10"/>
      <c r="RKN1" s="10"/>
      <c r="RKO1" s="10"/>
      <c r="RKP1" s="10"/>
      <c r="RKQ1" s="10"/>
      <c r="RKR1" s="10"/>
      <c r="RKS1" s="10"/>
      <c r="RKT1" s="10"/>
      <c r="RKU1" s="10"/>
      <c r="RKV1" s="10"/>
      <c r="RKW1" s="10"/>
      <c r="RKX1" s="10"/>
      <c r="RKY1" s="10"/>
      <c r="RKZ1" s="10"/>
      <c r="RLA1" s="10"/>
      <c r="RLB1" s="10"/>
      <c r="RLC1" s="10"/>
      <c r="RLD1" s="10"/>
      <c r="RLE1" s="10"/>
      <c r="RLF1" s="10"/>
      <c r="RLG1" s="10"/>
      <c r="RLH1" s="10"/>
      <c r="RLI1" s="10"/>
      <c r="RLJ1" s="10"/>
      <c r="RLK1" s="10"/>
      <c r="RLL1" s="10"/>
      <c r="RLM1" s="10"/>
      <c r="RLN1" s="10"/>
      <c r="RLO1" s="10"/>
      <c r="RLP1" s="10"/>
      <c r="RLQ1" s="10"/>
      <c r="RLR1" s="10"/>
      <c r="RLS1" s="10"/>
      <c r="RLT1" s="10"/>
      <c r="RLU1" s="10"/>
      <c r="RLV1" s="10"/>
      <c r="RLW1" s="10"/>
      <c r="RLX1" s="10"/>
      <c r="RLY1" s="10"/>
      <c r="RLZ1" s="10"/>
      <c r="RMA1" s="10"/>
      <c r="RMB1" s="10"/>
      <c r="RMC1" s="10"/>
      <c r="RMD1" s="10"/>
      <c r="RME1" s="10"/>
      <c r="RMF1" s="10"/>
      <c r="RMG1" s="10"/>
      <c r="RMH1" s="10"/>
      <c r="RMI1" s="10"/>
      <c r="RMJ1" s="10"/>
      <c r="RMK1" s="10"/>
      <c r="RML1" s="10"/>
      <c r="RMM1" s="10"/>
      <c r="RMN1" s="10"/>
      <c r="RMO1" s="10"/>
      <c r="RMP1" s="10"/>
      <c r="RMQ1" s="10"/>
      <c r="RMR1" s="10"/>
      <c r="RMS1" s="10"/>
      <c r="RMT1" s="10"/>
      <c r="RMU1" s="10"/>
      <c r="RMV1" s="10"/>
      <c r="RMW1" s="10"/>
      <c r="RMX1" s="10"/>
      <c r="RMY1" s="10"/>
      <c r="RMZ1" s="10"/>
      <c r="RNA1" s="10"/>
      <c r="RNB1" s="10"/>
      <c r="RNC1" s="10"/>
      <c r="RND1" s="10"/>
      <c r="RNE1" s="10"/>
      <c r="RNF1" s="10"/>
      <c r="RNG1" s="10"/>
      <c r="RNH1" s="10"/>
      <c r="RNI1" s="10"/>
      <c r="RNJ1" s="10"/>
      <c r="RNK1" s="10"/>
      <c r="RNL1" s="10"/>
      <c r="RNM1" s="10"/>
      <c r="RNN1" s="10"/>
      <c r="RNO1" s="10"/>
      <c r="RNP1" s="10"/>
      <c r="RNQ1" s="10"/>
      <c r="RNR1" s="10"/>
      <c r="RNS1" s="10"/>
      <c r="RNT1" s="10"/>
      <c r="RNU1" s="10"/>
      <c r="RNV1" s="10"/>
      <c r="RNW1" s="10"/>
      <c r="RNX1" s="10"/>
      <c r="RNY1" s="10"/>
      <c r="RNZ1" s="10"/>
      <c r="ROA1" s="10"/>
      <c r="ROB1" s="10"/>
      <c r="ROC1" s="10"/>
      <c r="ROD1" s="10"/>
      <c r="ROE1" s="10"/>
      <c r="ROF1" s="10"/>
      <c r="ROG1" s="10"/>
      <c r="ROH1" s="10"/>
      <c r="ROI1" s="10"/>
      <c r="ROJ1" s="10"/>
      <c r="ROK1" s="10"/>
      <c r="ROL1" s="10"/>
      <c r="ROM1" s="10"/>
      <c r="RON1" s="10"/>
      <c r="ROO1" s="10"/>
      <c r="ROP1" s="10"/>
      <c r="ROQ1" s="10"/>
      <c r="ROR1" s="10"/>
      <c r="ROS1" s="10"/>
      <c r="ROT1" s="10"/>
      <c r="ROU1" s="10"/>
      <c r="ROV1" s="10"/>
      <c r="ROW1" s="10"/>
      <c r="ROX1" s="10"/>
      <c r="ROY1" s="10"/>
      <c r="ROZ1" s="10"/>
      <c r="RPA1" s="10"/>
      <c r="RPB1" s="10"/>
      <c r="RPC1" s="10"/>
      <c r="RPD1" s="10"/>
      <c r="RPE1" s="10"/>
      <c r="RPF1" s="10"/>
      <c r="RPG1" s="10"/>
      <c r="RPH1" s="10"/>
      <c r="RPI1" s="10"/>
      <c r="RPJ1" s="10"/>
      <c r="RPK1" s="10"/>
      <c r="RPL1" s="10"/>
      <c r="RPM1" s="10"/>
      <c r="RPN1" s="10"/>
      <c r="RPO1" s="10"/>
      <c r="RPP1" s="10"/>
      <c r="RPQ1" s="10"/>
      <c r="RPR1" s="10"/>
      <c r="RPS1" s="10"/>
      <c r="RPT1" s="10"/>
      <c r="RPU1" s="10"/>
      <c r="RPV1" s="10"/>
      <c r="RPW1" s="10"/>
      <c r="RPX1" s="10"/>
      <c r="RPY1" s="10"/>
      <c r="RPZ1" s="10"/>
      <c r="RQA1" s="10"/>
      <c r="RQB1" s="10"/>
      <c r="RQC1" s="10"/>
      <c r="RQD1" s="10"/>
      <c r="RQE1" s="10"/>
      <c r="RQF1" s="10"/>
      <c r="RQG1" s="10"/>
      <c r="RQH1" s="10"/>
      <c r="RQI1" s="10"/>
      <c r="RQJ1" s="10"/>
      <c r="RQK1" s="10"/>
      <c r="RQL1" s="10"/>
      <c r="RQM1" s="10"/>
      <c r="RQN1" s="10"/>
      <c r="RQO1" s="10"/>
      <c r="RQP1" s="10"/>
      <c r="RQQ1" s="10"/>
      <c r="RQR1" s="10"/>
      <c r="RQS1" s="10"/>
      <c r="RQT1" s="10"/>
      <c r="RQU1" s="10"/>
      <c r="RQV1" s="10"/>
      <c r="RQW1" s="10"/>
      <c r="RQX1" s="10"/>
      <c r="RQY1" s="10"/>
      <c r="RQZ1" s="10"/>
      <c r="RRA1" s="10"/>
      <c r="RRB1" s="10"/>
      <c r="RRC1" s="10"/>
      <c r="RRD1" s="10"/>
      <c r="RRE1" s="10"/>
      <c r="RRF1" s="10"/>
      <c r="RRG1" s="10"/>
      <c r="RRH1" s="10"/>
      <c r="RRI1" s="10"/>
      <c r="RRJ1" s="10"/>
      <c r="RRK1" s="10"/>
      <c r="RRL1" s="10"/>
      <c r="RRM1" s="10"/>
      <c r="RRN1" s="10"/>
      <c r="RRO1" s="10"/>
      <c r="RRP1" s="10"/>
      <c r="RRQ1" s="10"/>
      <c r="RRR1" s="10"/>
      <c r="RRS1" s="10"/>
      <c r="RRT1" s="10"/>
      <c r="RRU1" s="10"/>
      <c r="RRV1" s="10"/>
      <c r="RRW1" s="10"/>
      <c r="RRX1" s="10"/>
      <c r="RRY1" s="10"/>
      <c r="RRZ1" s="10"/>
      <c r="RSA1" s="10"/>
      <c r="RSB1" s="10"/>
      <c r="RSC1" s="10"/>
      <c r="RSD1" s="10"/>
      <c r="RSE1" s="10"/>
      <c r="RSF1" s="10"/>
      <c r="RSG1" s="10"/>
      <c r="RSH1" s="10"/>
      <c r="RSI1" s="10"/>
      <c r="RSJ1" s="10"/>
      <c r="RSK1" s="10"/>
      <c r="RSL1" s="10"/>
      <c r="RSM1" s="10"/>
      <c r="RSN1" s="10"/>
      <c r="RSO1" s="10"/>
      <c r="RSP1" s="10"/>
      <c r="RSQ1" s="10"/>
      <c r="RSR1" s="10"/>
      <c r="RSS1" s="10"/>
      <c r="RST1" s="10"/>
      <c r="RSU1" s="10"/>
      <c r="RSV1" s="10"/>
      <c r="RSW1" s="10"/>
      <c r="RSX1" s="10"/>
      <c r="RSY1" s="10"/>
      <c r="RSZ1" s="10"/>
      <c r="RTA1" s="10"/>
      <c r="RTB1" s="10"/>
      <c r="RTC1" s="10"/>
      <c r="RTD1" s="10"/>
      <c r="RTE1" s="10"/>
      <c r="RTF1" s="10"/>
      <c r="RTG1" s="10"/>
      <c r="RTH1" s="10"/>
      <c r="RTI1" s="10"/>
      <c r="RTJ1" s="10"/>
      <c r="RTK1" s="10"/>
      <c r="RTL1" s="10"/>
      <c r="RTM1" s="10"/>
      <c r="RTN1" s="10"/>
      <c r="RTO1" s="10"/>
      <c r="RTP1" s="10"/>
      <c r="RTQ1" s="10"/>
      <c r="RTR1" s="10"/>
      <c r="RTS1" s="10"/>
      <c r="RTT1" s="10"/>
      <c r="RTU1" s="10"/>
      <c r="RTV1" s="10"/>
      <c r="RTW1" s="10"/>
      <c r="RTX1" s="10"/>
      <c r="RTY1" s="10"/>
      <c r="RTZ1" s="10"/>
      <c r="RUA1" s="10"/>
      <c r="RUB1" s="10"/>
      <c r="RUC1" s="10"/>
      <c r="RUD1" s="10"/>
      <c r="RUE1" s="10"/>
      <c r="RUF1" s="10"/>
      <c r="RUG1" s="10"/>
      <c r="RUH1" s="10"/>
      <c r="RUI1" s="10"/>
      <c r="RUJ1" s="10"/>
      <c r="RUK1" s="10"/>
      <c r="RUL1" s="10"/>
      <c r="RUM1" s="10"/>
      <c r="RUN1" s="10"/>
      <c r="RUO1" s="10"/>
      <c r="RUP1" s="10"/>
      <c r="RUQ1" s="10"/>
      <c r="RUR1" s="10"/>
      <c r="RUS1" s="10"/>
      <c r="RUT1" s="10"/>
      <c r="RUU1" s="10"/>
      <c r="RUV1" s="10"/>
      <c r="RUW1" s="10"/>
      <c r="RUX1" s="10"/>
      <c r="RUY1" s="10"/>
      <c r="RUZ1" s="10"/>
      <c r="RVA1" s="10"/>
      <c r="RVB1" s="10"/>
      <c r="RVC1" s="10"/>
      <c r="RVD1" s="10"/>
      <c r="RVE1" s="10"/>
      <c r="RVF1" s="10"/>
      <c r="RVG1" s="10"/>
      <c r="RVH1" s="10"/>
      <c r="RVI1" s="10"/>
      <c r="RVJ1" s="10"/>
      <c r="RVK1" s="10"/>
      <c r="RVL1" s="10"/>
      <c r="RVM1" s="10"/>
      <c r="RVN1" s="10"/>
      <c r="RVO1" s="10"/>
      <c r="RVP1" s="10"/>
      <c r="RVQ1" s="10"/>
      <c r="RVR1" s="10"/>
      <c r="RVS1" s="10"/>
      <c r="RVT1" s="10"/>
      <c r="RVU1" s="10"/>
      <c r="RVV1" s="10"/>
      <c r="RVW1" s="10"/>
      <c r="RVX1" s="10"/>
      <c r="RVY1" s="10"/>
      <c r="RVZ1" s="10"/>
      <c r="RWA1" s="10"/>
      <c r="RWB1" s="10"/>
      <c r="RWC1" s="10"/>
      <c r="RWD1" s="10"/>
      <c r="RWE1" s="10"/>
      <c r="RWF1" s="10"/>
      <c r="RWG1" s="10"/>
      <c r="RWH1" s="10"/>
      <c r="RWI1" s="10"/>
      <c r="RWJ1" s="10"/>
      <c r="RWK1" s="10"/>
      <c r="RWL1" s="10"/>
      <c r="RWM1" s="10"/>
      <c r="RWN1" s="10"/>
      <c r="RWO1" s="10"/>
      <c r="RWP1" s="10"/>
      <c r="RWQ1" s="10"/>
      <c r="RWR1" s="10"/>
      <c r="RWS1" s="10"/>
      <c r="RWT1" s="10"/>
      <c r="RWU1" s="10"/>
      <c r="RWV1" s="10"/>
      <c r="RWW1" s="10"/>
      <c r="RWX1" s="10"/>
      <c r="RWY1" s="10"/>
      <c r="RWZ1" s="10"/>
      <c r="RXA1" s="10"/>
      <c r="RXB1" s="10"/>
      <c r="RXC1" s="10"/>
      <c r="RXD1" s="10"/>
      <c r="RXE1" s="10"/>
      <c r="RXF1" s="10"/>
      <c r="RXG1" s="10"/>
      <c r="RXH1" s="10"/>
      <c r="RXI1" s="10"/>
      <c r="RXJ1" s="10"/>
      <c r="RXK1" s="10"/>
      <c r="RXL1" s="10"/>
      <c r="RXM1" s="10"/>
      <c r="RXN1" s="10"/>
      <c r="RXO1" s="10"/>
      <c r="RXP1" s="10"/>
      <c r="RXQ1" s="10"/>
      <c r="RXR1" s="10"/>
      <c r="RXS1" s="10"/>
      <c r="RXT1" s="10"/>
      <c r="RXU1" s="10"/>
      <c r="RXV1" s="10"/>
      <c r="RXW1" s="10"/>
      <c r="RXX1" s="10"/>
      <c r="RXY1" s="10"/>
      <c r="RXZ1" s="10"/>
      <c r="RYA1" s="10"/>
      <c r="RYB1" s="10"/>
      <c r="RYC1" s="10"/>
      <c r="RYD1" s="10"/>
      <c r="RYE1" s="10"/>
      <c r="RYF1" s="10"/>
      <c r="RYG1" s="10"/>
      <c r="RYH1" s="10"/>
      <c r="RYI1" s="10"/>
      <c r="RYJ1" s="10"/>
      <c r="RYK1" s="10"/>
      <c r="RYL1" s="10"/>
      <c r="RYM1" s="10"/>
      <c r="RYN1" s="10"/>
      <c r="RYO1" s="10"/>
      <c r="RYP1" s="10"/>
      <c r="RYQ1" s="10"/>
      <c r="RYR1" s="10"/>
      <c r="RYS1" s="10"/>
      <c r="RYT1" s="10"/>
      <c r="RYU1" s="10"/>
      <c r="RYV1" s="10"/>
      <c r="RYW1" s="10"/>
      <c r="RYX1" s="10"/>
      <c r="RYY1" s="10"/>
      <c r="RYZ1" s="10"/>
      <c r="RZA1" s="10"/>
      <c r="RZB1" s="10"/>
      <c r="RZC1" s="10"/>
      <c r="RZD1" s="10"/>
      <c r="RZE1" s="10"/>
      <c r="RZF1" s="10"/>
      <c r="RZG1" s="10"/>
      <c r="RZH1" s="10"/>
      <c r="RZI1" s="10"/>
      <c r="RZJ1" s="10"/>
      <c r="RZK1" s="10"/>
      <c r="RZL1" s="10"/>
      <c r="RZM1" s="10"/>
      <c r="RZN1" s="10"/>
      <c r="RZO1" s="10"/>
      <c r="RZP1" s="10"/>
      <c r="RZQ1" s="10"/>
      <c r="RZR1" s="10"/>
      <c r="RZS1" s="10"/>
      <c r="RZT1" s="10"/>
      <c r="RZU1" s="10"/>
      <c r="RZV1" s="10"/>
      <c r="RZW1" s="10"/>
      <c r="RZX1" s="10"/>
      <c r="RZY1" s="10"/>
      <c r="RZZ1" s="10"/>
      <c r="SAA1" s="10"/>
      <c r="SAB1" s="10"/>
      <c r="SAC1" s="10"/>
      <c r="SAD1" s="10"/>
      <c r="SAE1" s="10"/>
      <c r="SAF1" s="10"/>
      <c r="SAG1" s="10"/>
      <c r="SAH1" s="10"/>
      <c r="SAI1" s="10"/>
      <c r="SAJ1" s="10"/>
      <c r="SAK1" s="10"/>
      <c r="SAL1" s="10"/>
      <c r="SAM1" s="10"/>
      <c r="SAN1" s="10"/>
      <c r="SAO1" s="10"/>
      <c r="SAP1" s="10"/>
      <c r="SAQ1" s="10"/>
      <c r="SAR1" s="10"/>
      <c r="SAS1" s="10"/>
      <c r="SAT1" s="10"/>
      <c r="SAU1" s="10"/>
      <c r="SAV1" s="10"/>
      <c r="SAW1" s="10"/>
      <c r="SAX1" s="10"/>
      <c r="SAY1" s="10"/>
      <c r="SAZ1" s="10"/>
      <c r="SBA1" s="10"/>
      <c r="SBB1" s="10"/>
      <c r="SBC1" s="10"/>
      <c r="SBD1" s="10"/>
      <c r="SBE1" s="10"/>
      <c r="SBF1" s="10"/>
      <c r="SBG1" s="10"/>
      <c r="SBH1" s="10"/>
      <c r="SBI1" s="10"/>
      <c r="SBJ1" s="10"/>
      <c r="SBK1" s="10"/>
      <c r="SBL1" s="10"/>
      <c r="SBM1" s="10"/>
      <c r="SBN1" s="10"/>
      <c r="SBO1" s="10"/>
      <c r="SBP1" s="10"/>
      <c r="SBQ1" s="10"/>
      <c r="SBR1" s="10"/>
      <c r="SBS1" s="10"/>
      <c r="SBT1" s="10"/>
      <c r="SBU1" s="10"/>
      <c r="SBV1" s="10"/>
      <c r="SBW1" s="10"/>
      <c r="SBX1" s="10"/>
      <c r="SBY1" s="10"/>
      <c r="SBZ1" s="10"/>
      <c r="SCA1" s="10"/>
      <c r="SCB1" s="10"/>
      <c r="SCC1" s="10"/>
      <c r="SCD1" s="10"/>
      <c r="SCE1" s="10"/>
      <c r="SCF1" s="10"/>
      <c r="SCG1" s="10"/>
      <c r="SCH1" s="10"/>
      <c r="SCI1" s="10"/>
      <c r="SCJ1" s="10"/>
      <c r="SCK1" s="10"/>
      <c r="SCL1" s="10"/>
      <c r="SCM1" s="10"/>
      <c r="SCN1" s="10"/>
      <c r="SCO1" s="10"/>
      <c r="SCP1" s="10"/>
      <c r="SCQ1" s="10"/>
      <c r="SCR1" s="10"/>
      <c r="SCS1" s="10"/>
      <c r="SCT1" s="10"/>
      <c r="SCU1" s="10"/>
      <c r="SCV1" s="10"/>
      <c r="SCW1" s="10"/>
      <c r="SCX1" s="10"/>
      <c r="SCY1" s="10"/>
      <c r="SCZ1" s="10"/>
      <c r="SDA1" s="10"/>
      <c r="SDB1" s="10"/>
      <c r="SDC1" s="10"/>
      <c r="SDD1" s="10"/>
      <c r="SDE1" s="10"/>
      <c r="SDF1" s="10"/>
      <c r="SDG1" s="10"/>
      <c r="SDH1" s="10"/>
      <c r="SDI1" s="10"/>
      <c r="SDJ1" s="10"/>
      <c r="SDK1" s="10"/>
      <c r="SDL1" s="10"/>
      <c r="SDM1" s="10"/>
      <c r="SDN1" s="10"/>
      <c r="SDO1" s="10"/>
      <c r="SDP1" s="10"/>
      <c r="SDQ1" s="10"/>
      <c r="SDR1" s="10"/>
      <c r="SDS1" s="10"/>
      <c r="SDT1" s="10"/>
      <c r="SDU1" s="10"/>
      <c r="SDV1" s="10"/>
      <c r="SDW1" s="10"/>
      <c r="SDX1" s="10"/>
      <c r="SDY1" s="10"/>
      <c r="SDZ1" s="10"/>
      <c r="SEA1" s="10"/>
      <c r="SEB1" s="10"/>
      <c r="SEC1" s="10"/>
      <c r="SED1" s="10"/>
      <c r="SEE1" s="10"/>
      <c r="SEF1" s="10"/>
      <c r="SEG1" s="10"/>
      <c r="SEH1" s="10"/>
      <c r="SEI1" s="10"/>
      <c r="SEJ1" s="10"/>
      <c r="SEK1" s="10"/>
      <c r="SEL1" s="10"/>
      <c r="SEM1" s="10"/>
      <c r="SEN1" s="10"/>
      <c r="SEO1" s="10"/>
      <c r="SEP1" s="10"/>
      <c r="SEQ1" s="10"/>
      <c r="SER1" s="10"/>
      <c r="SES1" s="10"/>
      <c r="SET1" s="10"/>
      <c r="SEU1" s="10"/>
      <c r="SEV1" s="10"/>
      <c r="SEW1" s="10"/>
      <c r="SEX1" s="10"/>
      <c r="SEY1" s="10"/>
      <c r="SEZ1" s="10"/>
      <c r="SFA1" s="10"/>
      <c r="SFB1" s="10"/>
      <c r="SFC1" s="10"/>
      <c r="SFD1" s="10"/>
      <c r="SFE1" s="10"/>
      <c r="SFF1" s="10"/>
      <c r="SFG1" s="10"/>
      <c r="SFH1" s="10"/>
      <c r="SFI1" s="10"/>
      <c r="SFJ1" s="10"/>
      <c r="SFK1" s="10"/>
      <c r="SFL1" s="10"/>
      <c r="SFM1" s="10"/>
      <c r="SFN1" s="10"/>
      <c r="SFO1" s="10"/>
      <c r="SFP1" s="10"/>
      <c r="SFQ1" s="10"/>
      <c r="SFR1" s="10"/>
      <c r="SFS1" s="10"/>
      <c r="SFT1" s="10"/>
      <c r="SFU1" s="10"/>
      <c r="SFV1" s="10"/>
      <c r="SFW1" s="10"/>
      <c r="SFX1" s="10"/>
      <c r="SFY1" s="10"/>
      <c r="SFZ1" s="10"/>
      <c r="SGA1" s="10"/>
      <c r="SGB1" s="10"/>
      <c r="SGC1" s="10"/>
      <c r="SGD1" s="10"/>
      <c r="SGE1" s="10"/>
      <c r="SGF1" s="10"/>
      <c r="SGG1" s="10"/>
      <c r="SGH1" s="10"/>
      <c r="SGI1" s="10"/>
      <c r="SGJ1" s="10"/>
      <c r="SGK1" s="10"/>
      <c r="SGL1" s="10"/>
      <c r="SGM1" s="10"/>
      <c r="SGN1" s="10"/>
      <c r="SGO1" s="10"/>
      <c r="SGP1" s="10"/>
      <c r="SGQ1" s="10"/>
      <c r="SGR1" s="10"/>
      <c r="SGS1" s="10"/>
      <c r="SGT1" s="10"/>
      <c r="SGU1" s="10"/>
      <c r="SGV1" s="10"/>
      <c r="SGW1" s="10"/>
      <c r="SGX1" s="10"/>
      <c r="SGY1" s="10"/>
      <c r="SGZ1" s="10"/>
      <c r="SHA1" s="10"/>
      <c r="SHB1" s="10"/>
      <c r="SHC1" s="10"/>
      <c r="SHD1" s="10"/>
      <c r="SHE1" s="10"/>
      <c r="SHF1" s="10"/>
      <c r="SHG1" s="10"/>
      <c r="SHH1" s="10"/>
      <c r="SHI1" s="10"/>
      <c r="SHJ1" s="10"/>
      <c r="SHK1" s="10"/>
      <c r="SHL1" s="10"/>
      <c r="SHM1" s="10"/>
      <c r="SHN1" s="10"/>
      <c r="SHO1" s="10"/>
      <c r="SHP1" s="10"/>
      <c r="SHQ1" s="10"/>
      <c r="SHR1" s="10"/>
      <c r="SHS1" s="10"/>
      <c r="SHT1" s="10"/>
      <c r="SHU1" s="10"/>
      <c r="SHV1" s="10"/>
      <c r="SHW1" s="10"/>
      <c r="SHX1" s="10"/>
      <c r="SHY1" s="10"/>
      <c r="SHZ1" s="10"/>
      <c r="SIA1" s="10"/>
      <c r="SIB1" s="10"/>
      <c r="SIC1" s="10"/>
      <c r="SID1" s="10"/>
      <c r="SIE1" s="10"/>
      <c r="SIF1" s="10"/>
      <c r="SIG1" s="10"/>
      <c r="SIH1" s="10"/>
      <c r="SII1" s="10"/>
      <c r="SIJ1" s="10"/>
      <c r="SIK1" s="10"/>
      <c r="SIL1" s="10"/>
      <c r="SIM1" s="10"/>
      <c r="SIN1" s="10"/>
      <c r="SIO1" s="10"/>
      <c r="SIP1" s="10"/>
      <c r="SIQ1" s="10"/>
      <c r="SIR1" s="10"/>
      <c r="SIS1" s="10"/>
      <c r="SIT1" s="10"/>
      <c r="SIU1" s="10"/>
      <c r="SIV1" s="10"/>
      <c r="SIW1" s="10"/>
      <c r="SIX1" s="10"/>
      <c r="SIY1" s="10"/>
      <c r="SIZ1" s="10"/>
      <c r="SJA1" s="10"/>
      <c r="SJB1" s="10"/>
      <c r="SJC1" s="10"/>
      <c r="SJD1" s="10"/>
      <c r="SJE1" s="10"/>
      <c r="SJF1" s="10"/>
      <c r="SJG1" s="10"/>
      <c r="SJH1" s="10"/>
      <c r="SJI1" s="10"/>
      <c r="SJJ1" s="10"/>
      <c r="SJK1" s="10"/>
      <c r="SJL1" s="10"/>
      <c r="SJM1" s="10"/>
      <c r="SJN1" s="10"/>
      <c r="SJO1" s="10"/>
      <c r="SJP1" s="10"/>
      <c r="SJQ1" s="10"/>
      <c r="SJR1" s="10"/>
      <c r="SJS1" s="10"/>
      <c r="SJT1" s="10"/>
      <c r="SJU1" s="10"/>
      <c r="SJV1" s="10"/>
      <c r="SJW1" s="10"/>
      <c r="SJX1" s="10"/>
      <c r="SJY1" s="10"/>
      <c r="SJZ1" s="10"/>
      <c r="SKA1" s="10"/>
      <c r="SKB1" s="10"/>
      <c r="SKC1" s="10"/>
      <c r="SKD1" s="10"/>
      <c r="SKE1" s="10"/>
      <c r="SKF1" s="10"/>
      <c r="SKG1" s="10"/>
      <c r="SKH1" s="10"/>
      <c r="SKI1" s="10"/>
      <c r="SKJ1" s="10"/>
      <c r="SKK1" s="10"/>
      <c r="SKL1" s="10"/>
      <c r="SKM1" s="10"/>
      <c r="SKN1" s="10"/>
      <c r="SKO1" s="10"/>
      <c r="SKP1" s="10"/>
      <c r="SKQ1" s="10"/>
      <c r="SKR1" s="10"/>
      <c r="SKS1" s="10"/>
      <c r="SKT1" s="10"/>
      <c r="SKU1" s="10"/>
      <c r="SKV1" s="10"/>
      <c r="SKW1" s="10"/>
      <c r="SKX1" s="10"/>
      <c r="SKY1" s="10"/>
      <c r="SKZ1" s="10"/>
      <c r="SLA1" s="10"/>
      <c r="SLB1" s="10"/>
      <c r="SLC1" s="10"/>
      <c r="SLD1" s="10"/>
      <c r="SLE1" s="10"/>
      <c r="SLF1" s="10"/>
      <c r="SLG1" s="10"/>
      <c r="SLH1" s="10"/>
      <c r="SLI1" s="10"/>
      <c r="SLJ1" s="10"/>
      <c r="SLK1" s="10"/>
      <c r="SLL1" s="10"/>
      <c r="SLM1" s="10"/>
      <c r="SLN1" s="10"/>
      <c r="SLO1" s="10"/>
      <c r="SLP1" s="10"/>
      <c r="SLQ1" s="10"/>
      <c r="SLR1" s="10"/>
      <c r="SLS1" s="10"/>
      <c r="SLT1" s="10"/>
      <c r="SLU1" s="10"/>
      <c r="SLV1" s="10"/>
      <c r="SLW1" s="10"/>
      <c r="SLX1" s="10"/>
      <c r="SLY1" s="10"/>
      <c r="SLZ1" s="10"/>
      <c r="SMA1" s="10"/>
      <c r="SMB1" s="10"/>
      <c r="SMC1" s="10"/>
      <c r="SMD1" s="10"/>
      <c r="SME1" s="10"/>
      <c r="SMF1" s="10"/>
      <c r="SMG1" s="10"/>
      <c r="SMH1" s="10"/>
      <c r="SMI1" s="10"/>
      <c r="SMJ1" s="10"/>
      <c r="SMK1" s="10"/>
      <c r="SML1" s="10"/>
      <c r="SMM1" s="10"/>
      <c r="SMN1" s="10"/>
      <c r="SMO1" s="10"/>
      <c r="SMP1" s="10"/>
      <c r="SMQ1" s="10"/>
      <c r="SMR1" s="10"/>
      <c r="SMS1" s="10"/>
      <c r="SMT1" s="10"/>
      <c r="SMU1" s="10"/>
      <c r="SMV1" s="10"/>
      <c r="SMW1" s="10"/>
      <c r="SMX1" s="10"/>
      <c r="SMY1" s="10"/>
      <c r="SMZ1" s="10"/>
      <c r="SNA1" s="10"/>
      <c r="SNB1" s="10"/>
      <c r="SNC1" s="10"/>
      <c r="SND1" s="10"/>
      <c r="SNE1" s="10"/>
      <c r="SNF1" s="10"/>
      <c r="SNG1" s="10"/>
      <c r="SNH1" s="10"/>
      <c r="SNI1" s="10"/>
      <c r="SNJ1" s="10"/>
      <c r="SNK1" s="10"/>
      <c r="SNL1" s="10"/>
      <c r="SNM1" s="10"/>
      <c r="SNN1" s="10"/>
      <c r="SNO1" s="10"/>
      <c r="SNP1" s="10"/>
      <c r="SNQ1" s="10"/>
      <c r="SNR1" s="10"/>
      <c r="SNS1" s="10"/>
      <c r="SNT1" s="10"/>
      <c r="SNU1" s="10"/>
      <c r="SNV1" s="10"/>
      <c r="SNW1" s="10"/>
      <c r="SNX1" s="10"/>
      <c r="SNY1" s="10"/>
      <c r="SNZ1" s="10"/>
      <c r="SOA1" s="10"/>
      <c r="SOB1" s="10"/>
      <c r="SOC1" s="10"/>
      <c r="SOD1" s="10"/>
      <c r="SOE1" s="10"/>
      <c r="SOF1" s="10"/>
      <c r="SOG1" s="10"/>
      <c r="SOH1" s="10"/>
      <c r="SOI1" s="10"/>
      <c r="SOJ1" s="10"/>
      <c r="SOK1" s="10"/>
      <c r="SOL1" s="10"/>
      <c r="SOM1" s="10"/>
      <c r="SON1" s="10"/>
      <c r="SOO1" s="10"/>
      <c r="SOP1" s="10"/>
      <c r="SOQ1" s="10"/>
      <c r="SOR1" s="10"/>
      <c r="SOS1" s="10"/>
      <c r="SOT1" s="10"/>
      <c r="SOU1" s="10"/>
      <c r="SOV1" s="10"/>
      <c r="SOW1" s="10"/>
      <c r="SOX1" s="10"/>
      <c r="SOY1" s="10"/>
      <c r="SOZ1" s="10"/>
      <c r="SPA1" s="10"/>
      <c r="SPB1" s="10"/>
      <c r="SPC1" s="10"/>
      <c r="SPD1" s="10"/>
      <c r="SPE1" s="10"/>
      <c r="SPF1" s="10"/>
      <c r="SPG1" s="10"/>
      <c r="SPH1" s="10"/>
      <c r="SPI1" s="10"/>
      <c r="SPJ1" s="10"/>
      <c r="SPK1" s="10"/>
      <c r="SPL1" s="10"/>
      <c r="SPM1" s="10"/>
      <c r="SPN1" s="10"/>
      <c r="SPO1" s="10"/>
      <c r="SPP1" s="10"/>
      <c r="SPQ1" s="10"/>
      <c r="SPR1" s="10"/>
      <c r="SPS1" s="10"/>
      <c r="SPT1" s="10"/>
      <c r="SPU1" s="10"/>
      <c r="SPV1" s="10"/>
      <c r="SPW1" s="10"/>
      <c r="SPX1" s="10"/>
      <c r="SPY1" s="10"/>
      <c r="SPZ1" s="10"/>
      <c r="SQA1" s="10"/>
      <c r="SQB1" s="10"/>
      <c r="SQC1" s="10"/>
      <c r="SQD1" s="10"/>
      <c r="SQE1" s="10"/>
      <c r="SQF1" s="10"/>
      <c r="SQG1" s="10"/>
      <c r="SQH1" s="10"/>
      <c r="SQI1" s="10"/>
      <c r="SQJ1" s="10"/>
      <c r="SQK1" s="10"/>
      <c r="SQL1" s="10"/>
      <c r="SQM1" s="10"/>
      <c r="SQN1" s="10"/>
      <c r="SQO1" s="10"/>
      <c r="SQP1" s="10"/>
      <c r="SQQ1" s="10"/>
      <c r="SQR1" s="10"/>
      <c r="SQS1" s="10"/>
      <c r="SQT1" s="10"/>
      <c r="SQU1" s="10"/>
      <c r="SQV1" s="10"/>
      <c r="SQW1" s="10"/>
      <c r="SQX1" s="10"/>
      <c r="SQY1" s="10"/>
      <c r="SQZ1" s="10"/>
      <c r="SRA1" s="10"/>
      <c r="SRB1" s="10"/>
      <c r="SRC1" s="10"/>
      <c r="SRD1" s="10"/>
      <c r="SRE1" s="10"/>
      <c r="SRF1" s="10"/>
      <c r="SRG1" s="10"/>
      <c r="SRH1" s="10"/>
      <c r="SRI1" s="10"/>
      <c r="SRJ1" s="10"/>
      <c r="SRK1" s="10"/>
      <c r="SRL1" s="10"/>
      <c r="SRM1" s="10"/>
      <c r="SRN1" s="10"/>
      <c r="SRO1" s="10"/>
      <c r="SRP1" s="10"/>
      <c r="SRQ1" s="10"/>
      <c r="SRR1" s="10"/>
      <c r="SRS1" s="10"/>
      <c r="SRT1" s="10"/>
      <c r="SRU1" s="10"/>
      <c r="SRV1" s="10"/>
      <c r="SRW1" s="10"/>
      <c r="SRX1" s="10"/>
      <c r="SRY1" s="10"/>
      <c r="SRZ1" s="10"/>
      <c r="SSA1" s="10"/>
      <c r="SSB1" s="10"/>
      <c r="SSC1" s="10"/>
      <c r="SSD1" s="10"/>
      <c r="SSE1" s="10"/>
      <c r="SSF1" s="10"/>
      <c r="SSG1" s="10"/>
      <c r="SSH1" s="10"/>
      <c r="SSI1" s="10"/>
      <c r="SSJ1" s="10"/>
      <c r="SSK1" s="10"/>
      <c r="SSL1" s="10"/>
      <c r="SSM1" s="10"/>
      <c r="SSN1" s="10"/>
      <c r="SSO1" s="10"/>
      <c r="SSP1" s="10"/>
      <c r="SSQ1" s="10"/>
      <c r="SSR1" s="10"/>
      <c r="SSS1" s="10"/>
      <c r="SST1" s="10"/>
      <c r="SSU1" s="10"/>
      <c r="SSV1" s="10"/>
      <c r="SSW1" s="10"/>
      <c r="SSX1" s="10"/>
      <c r="SSY1" s="10"/>
      <c r="SSZ1" s="10"/>
      <c r="STA1" s="10"/>
      <c r="STB1" s="10"/>
      <c r="STC1" s="10"/>
      <c r="STD1" s="10"/>
      <c r="STE1" s="10"/>
      <c r="STF1" s="10"/>
      <c r="STG1" s="10"/>
      <c r="STH1" s="10"/>
      <c r="STI1" s="10"/>
      <c r="STJ1" s="10"/>
      <c r="STK1" s="10"/>
      <c r="STL1" s="10"/>
      <c r="STM1" s="10"/>
      <c r="STN1" s="10"/>
      <c r="STO1" s="10"/>
      <c r="STP1" s="10"/>
      <c r="STQ1" s="10"/>
      <c r="STR1" s="10"/>
      <c r="STS1" s="10"/>
      <c r="STT1" s="10"/>
      <c r="STU1" s="10"/>
      <c r="STV1" s="10"/>
      <c r="STW1" s="10"/>
      <c r="STX1" s="10"/>
      <c r="STY1" s="10"/>
      <c r="STZ1" s="10"/>
      <c r="SUA1" s="10"/>
      <c r="SUB1" s="10"/>
      <c r="SUC1" s="10"/>
      <c r="SUD1" s="10"/>
      <c r="SUE1" s="10"/>
      <c r="SUF1" s="10"/>
      <c r="SUG1" s="10"/>
      <c r="SUH1" s="10"/>
      <c r="SUI1" s="10"/>
      <c r="SUJ1" s="10"/>
      <c r="SUK1" s="10"/>
      <c r="SUL1" s="10"/>
      <c r="SUM1" s="10"/>
      <c r="SUN1" s="10"/>
      <c r="SUO1" s="10"/>
      <c r="SUP1" s="10"/>
      <c r="SUQ1" s="10"/>
      <c r="SUR1" s="10"/>
      <c r="SUS1" s="10"/>
      <c r="SUT1" s="10"/>
      <c r="SUU1" s="10"/>
      <c r="SUV1" s="10"/>
      <c r="SUW1" s="10"/>
      <c r="SUX1" s="10"/>
      <c r="SUY1" s="10"/>
      <c r="SUZ1" s="10"/>
      <c r="SVA1" s="10"/>
      <c r="SVB1" s="10"/>
      <c r="SVC1" s="10"/>
      <c r="SVD1" s="10"/>
      <c r="SVE1" s="10"/>
      <c r="SVF1" s="10"/>
      <c r="SVG1" s="10"/>
      <c r="SVH1" s="10"/>
      <c r="SVI1" s="10"/>
      <c r="SVJ1" s="10"/>
      <c r="SVK1" s="10"/>
      <c r="SVL1" s="10"/>
      <c r="SVM1" s="10"/>
      <c r="SVN1" s="10"/>
      <c r="SVO1" s="10"/>
      <c r="SVP1" s="10"/>
      <c r="SVQ1" s="10"/>
      <c r="SVR1" s="10"/>
      <c r="SVS1" s="10"/>
      <c r="SVT1" s="10"/>
      <c r="SVU1" s="10"/>
      <c r="SVV1" s="10"/>
      <c r="SVW1" s="10"/>
      <c r="SVX1" s="10"/>
      <c r="SVY1" s="10"/>
      <c r="SVZ1" s="10"/>
      <c r="SWA1" s="10"/>
      <c r="SWB1" s="10"/>
      <c r="SWC1" s="10"/>
      <c r="SWD1" s="10"/>
      <c r="SWE1" s="10"/>
      <c r="SWF1" s="10"/>
      <c r="SWG1" s="10"/>
      <c r="SWH1" s="10"/>
      <c r="SWI1" s="10"/>
      <c r="SWJ1" s="10"/>
      <c r="SWK1" s="10"/>
      <c r="SWL1" s="10"/>
      <c r="SWM1" s="10"/>
      <c r="SWN1" s="10"/>
      <c r="SWO1" s="10"/>
      <c r="SWP1" s="10"/>
      <c r="SWQ1" s="10"/>
      <c r="SWR1" s="10"/>
      <c r="SWS1" s="10"/>
      <c r="SWT1" s="10"/>
      <c r="SWU1" s="10"/>
      <c r="SWV1" s="10"/>
      <c r="SWW1" s="10"/>
      <c r="SWX1" s="10"/>
      <c r="SWY1" s="10"/>
      <c r="SWZ1" s="10"/>
      <c r="SXA1" s="10"/>
      <c r="SXB1" s="10"/>
      <c r="SXC1" s="10"/>
      <c r="SXD1" s="10"/>
      <c r="SXE1" s="10"/>
      <c r="SXF1" s="10"/>
      <c r="SXG1" s="10"/>
      <c r="SXH1" s="10"/>
      <c r="SXI1" s="10"/>
      <c r="SXJ1" s="10"/>
      <c r="SXK1" s="10"/>
      <c r="SXL1" s="10"/>
      <c r="SXM1" s="10"/>
      <c r="SXN1" s="10"/>
      <c r="SXO1" s="10"/>
      <c r="SXP1" s="10"/>
      <c r="SXQ1" s="10"/>
      <c r="SXR1" s="10"/>
      <c r="SXS1" s="10"/>
      <c r="SXT1" s="10"/>
      <c r="SXU1" s="10"/>
      <c r="SXV1" s="10"/>
      <c r="SXW1" s="10"/>
      <c r="SXX1" s="10"/>
      <c r="SXY1" s="10"/>
      <c r="SXZ1" s="10"/>
      <c r="SYA1" s="10"/>
      <c r="SYB1" s="10"/>
      <c r="SYC1" s="10"/>
      <c r="SYD1" s="10"/>
      <c r="SYE1" s="10"/>
      <c r="SYF1" s="10"/>
      <c r="SYG1" s="10"/>
      <c r="SYH1" s="10"/>
      <c r="SYI1" s="10"/>
      <c r="SYJ1" s="10"/>
      <c r="SYK1" s="10"/>
      <c r="SYL1" s="10"/>
      <c r="SYM1" s="10"/>
      <c r="SYN1" s="10"/>
      <c r="SYO1" s="10"/>
      <c r="SYP1" s="10"/>
      <c r="SYQ1" s="10"/>
      <c r="SYR1" s="10"/>
      <c r="SYS1" s="10"/>
      <c r="SYT1" s="10"/>
      <c r="SYU1" s="10"/>
      <c r="SYV1" s="10"/>
      <c r="SYW1" s="10"/>
      <c r="SYX1" s="10"/>
      <c r="SYY1" s="10"/>
      <c r="SYZ1" s="10"/>
      <c r="SZA1" s="10"/>
      <c r="SZB1" s="10"/>
      <c r="SZC1" s="10"/>
      <c r="SZD1" s="10"/>
      <c r="SZE1" s="10"/>
      <c r="SZF1" s="10"/>
      <c r="SZG1" s="10"/>
      <c r="SZH1" s="10"/>
      <c r="SZI1" s="10"/>
      <c r="SZJ1" s="10"/>
      <c r="SZK1" s="10"/>
      <c r="SZL1" s="10"/>
      <c r="SZM1" s="10"/>
      <c r="SZN1" s="10"/>
      <c r="SZO1" s="10"/>
      <c r="SZP1" s="10"/>
      <c r="SZQ1" s="10"/>
      <c r="SZR1" s="10"/>
      <c r="SZS1" s="10"/>
      <c r="SZT1" s="10"/>
      <c r="SZU1" s="10"/>
      <c r="SZV1" s="10"/>
      <c r="SZW1" s="10"/>
      <c r="SZX1" s="10"/>
      <c r="SZY1" s="10"/>
      <c r="SZZ1" s="10"/>
      <c r="TAA1" s="10"/>
      <c r="TAB1" s="10"/>
      <c r="TAC1" s="10"/>
      <c r="TAD1" s="10"/>
      <c r="TAE1" s="10"/>
      <c r="TAF1" s="10"/>
      <c r="TAG1" s="10"/>
      <c r="TAH1" s="10"/>
      <c r="TAI1" s="10"/>
      <c r="TAJ1" s="10"/>
      <c r="TAK1" s="10"/>
      <c r="TAL1" s="10"/>
      <c r="TAM1" s="10"/>
      <c r="TAN1" s="10"/>
      <c r="TAO1" s="10"/>
      <c r="TAP1" s="10"/>
      <c r="TAQ1" s="10"/>
      <c r="TAR1" s="10"/>
      <c r="TAS1" s="10"/>
      <c r="TAT1" s="10"/>
      <c r="TAU1" s="10"/>
      <c r="TAV1" s="10"/>
      <c r="TAW1" s="10"/>
      <c r="TAX1" s="10"/>
      <c r="TAY1" s="10"/>
      <c r="TAZ1" s="10"/>
      <c r="TBA1" s="10"/>
      <c r="TBB1" s="10"/>
      <c r="TBC1" s="10"/>
      <c r="TBD1" s="10"/>
      <c r="TBE1" s="10"/>
      <c r="TBF1" s="10"/>
      <c r="TBG1" s="10"/>
      <c r="TBH1" s="10"/>
      <c r="TBI1" s="10"/>
      <c r="TBJ1" s="10"/>
      <c r="TBK1" s="10"/>
      <c r="TBL1" s="10"/>
      <c r="TBM1" s="10"/>
      <c r="TBN1" s="10"/>
      <c r="TBO1" s="10"/>
      <c r="TBP1" s="10"/>
      <c r="TBQ1" s="10"/>
      <c r="TBR1" s="10"/>
      <c r="TBS1" s="10"/>
      <c r="TBT1" s="10"/>
      <c r="TBU1" s="10"/>
      <c r="TBV1" s="10"/>
      <c r="TBW1" s="10"/>
      <c r="TBX1" s="10"/>
      <c r="TBY1" s="10"/>
      <c r="TBZ1" s="10"/>
      <c r="TCA1" s="10"/>
      <c r="TCB1" s="10"/>
      <c r="TCC1" s="10"/>
      <c r="TCD1" s="10"/>
      <c r="TCE1" s="10"/>
      <c r="TCF1" s="10"/>
      <c r="TCG1" s="10"/>
      <c r="TCH1" s="10"/>
      <c r="TCI1" s="10"/>
      <c r="TCJ1" s="10"/>
      <c r="TCK1" s="10"/>
      <c r="TCL1" s="10"/>
      <c r="TCM1" s="10"/>
      <c r="TCN1" s="10"/>
      <c r="TCO1" s="10"/>
      <c r="TCP1" s="10"/>
      <c r="TCQ1" s="10"/>
      <c r="TCR1" s="10"/>
      <c r="TCS1" s="10"/>
      <c r="TCT1" s="10"/>
      <c r="TCU1" s="10"/>
      <c r="TCV1" s="10"/>
      <c r="TCW1" s="10"/>
      <c r="TCX1" s="10"/>
      <c r="TCY1" s="10"/>
      <c r="TCZ1" s="10"/>
      <c r="TDA1" s="10"/>
      <c r="TDB1" s="10"/>
      <c r="TDC1" s="10"/>
      <c r="TDD1" s="10"/>
      <c r="TDE1" s="10"/>
      <c r="TDF1" s="10"/>
      <c r="TDG1" s="10"/>
      <c r="TDH1" s="10"/>
      <c r="TDI1" s="10"/>
      <c r="TDJ1" s="10"/>
      <c r="TDK1" s="10"/>
      <c r="TDL1" s="10"/>
      <c r="TDM1" s="10"/>
      <c r="TDN1" s="10"/>
      <c r="TDO1" s="10"/>
      <c r="TDP1" s="10"/>
      <c r="TDQ1" s="10"/>
      <c r="TDR1" s="10"/>
      <c r="TDS1" s="10"/>
      <c r="TDT1" s="10"/>
      <c r="TDU1" s="10"/>
      <c r="TDV1" s="10"/>
      <c r="TDW1" s="10"/>
      <c r="TDX1" s="10"/>
      <c r="TDY1" s="10"/>
      <c r="TDZ1" s="10"/>
      <c r="TEA1" s="10"/>
      <c r="TEB1" s="10"/>
      <c r="TEC1" s="10"/>
      <c r="TED1" s="10"/>
      <c r="TEE1" s="10"/>
      <c r="TEF1" s="10"/>
      <c r="TEG1" s="10"/>
      <c r="TEH1" s="10"/>
      <c r="TEI1" s="10"/>
      <c r="TEJ1" s="10"/>
      <c r="TEK1" s="10"/>
      <c r="TEL1" s="10"/>
      <c r="TEM1" s="10"/>
      <c r="TEN1" s="10"/>
      <c r="TEO1" s="10"/>
      <c r="TEP1" s="10"/>
      <c r="TEQ1" s="10"/>
      <c r="TER1" s="10"/>
      <c r="TES1" s="10"/>
      <c r="TET1" s="10"/>
      <c r="TEU1" s="10"/>
      <c r="TEV1" s="10"/>
      <c r="TEW1" s="10"/>
      <c r="TEX1" s="10"/>
      <c r="TEY1" s="10"/>
      <c r="TEZ1" s="10"/>
      <c r="TFA1" s="10"/>
      <c r="TFB1" s="10"/>
      <c r="TFC1" s="10"/>
      <c r="TFD1" s="10"/>
      <c r="TFE1" s="10"/>
      <c r="TFF1" s="10"/>
      <c r="TFG1" s="10"/>
      <c r="TFH1" s="10"/>
      <c r="TFI1" s="10"/>
      <c r="TFJ1" s="10"/>
      <c r="TFK1" s="10"/>
      <c r="TFL1" s="10"/>
      <c r="TFM1" s="10"/>
      <c r="TFN1" s="10"/>
      <c r="TFO1" s="10"/>
      <c r="TFP1" s="10"/>
      <c r="TFQ1" s="10"/>
      <c r="TFR1" s="10"/>
      <c r="TFS1" s="10"/>
      <c r="TFT1" s="10"/>
      <c r="TFU1" s="10"/>
      <c r="TFV1" s="10"/>
      <c r="TFW1" s="10"/>
      <c r="TFX1" s="10"/>
      <c r="TFY1" s="10"/>
      <c r="TFZ1" s="10"/>
      <c r="TGA1" s="10"/>
      <c r="TGB1" s="10"/>
      <c r="TGC1" s="10"/>
      <c r="TGD1" s="10"/>
      <c r="TGE1" s="10"/>
      <c r="TGF1" s="10"/>
      <c r="TGG1" s="10"/>
      <c r="TGH1" s="10"/>
      <c r="TGI1" s="10"/>
      <c r="TGJ1" s="10"/>
      <c r="TGK1" s="10"/>
      <c r="TGL1" s="10"/>
      <c r="TGM1" s="10"/>
      <c r="TGN1" s="10"/>
      <c r="TGO1" s="10"/>
      <c r="TGP1" s="10"/>
      <c r="TGQ1" s="10"/>
      <c r="TGR1" s="10"/>
      <c r="TGS1" s="10"/>
      <c r="TGT1" s="10"/>
      <c r="TGU1" s="10"/>
      <c r="TGV1" s="10"/>
      <c r="TGW1" s="10"/>
      <c r="TGX1" s="10"/>
      <c r="TGY1" s="10"/>
      <c r="TGZ1" s="10"/>
      <c r="THA1" s="10"/>
      <c r="THB1" s="10"/>
      <c r="THC1" s="10"/>
      <c r="THD1" s="10"/>
      <c r="THE1" s="10"/>
      <c r="THF1" s="10"/>
      <c r="THG1" s="10"/>
      <c r="THH1" s="10"/>
      <c r="THI1" s="10"/>
      <c r="THJ1" s="10"/>
      <c r="THK1" s="10"/>
      <c r="THL1" s="10"/>
      <c r="THM1" s="10"/>
      <c r="THN1" s="10"/>
      <c r="THO1" s="10"/>
      <c r="THP1" s="10"/>
      <c r="THQ1" s="10"/>
      <c r="THR1" s="10"/>
      <c r="THS1" s="10"/>
      <c r="THT1" s="10"/>
      <c r="THU1" s="10"/>
      <c r="THV1" s="10"/>
      <c r="THW1" s="10"/>
      <c r="THX1" s="10"/>
      <c r="THY1" s="10"/>
      <c r="THZ1" s="10"/>
      <c r="TIA1" s="10"/>
      <c r="TIB1" s="10"/>
      <c r="TIC1" s="10"/>
      <c r="TID1" s="10"/>
      <c r="TIE1" s="10"/>
      <c r="TIF1" s="10"/>
      <c r="TIG1" s="10"/>
      <c r="TIH1" s="10"/>
      <c r="TII1" s="10"/>
      <c r="TIJ1" s="10"/>
      <c r="TIK1" s="10"/>
      <c r="TIL1" s="10"/>
      <c r="TIM1" s="10"/>
      <c r="TIN1" s="10"/>
      <c r="TIO1" s="10"/>
      <c r="TIP1" s="10"/>
      <c r="TIQ1" s="10"/>
      <c r="TIR1" s="10"/>
      <c r="TIS1" s="10"/>
      <c r="TIT1" s="10"/>
      <c r="TIU1" s="10"/>
      <c r="TIV1" s="10"/>
      <c r="TIW1" s="10"/>
      <c r="TIX1" s="10"/>
      <c r="TIY1" s="10"/>
      <c r="TIZ1" s="10"/>
      <c r="TJA1" s="10"/>
      <c r="TJB1" s="10"/>
      <c r="TJC1" s="10"/>
      <c r="TJD1" s="10"/>
      <c r="TJE1" s="10"/>
      <c r="TJF1" s="10"/>
      <c r="TJG1" s="10"/>
      <c r="TJH1" s="10"/>
      <c r="TJI1" s="10"/>
      <c r="TJJ1" s="10"/>
      <c r="TJK1" s="10"/>
      <c r="TJL1" s="10"/>
      <c r="TJM1" s="10"/>
      <c r="TJN1" s="10"/>
      <c r="TJO1" s="10"/>
      <c r="TJP1" s="10"/>
      <c r="TJQ1" s="10"/>
      <c r="TJR1" s="10"/>
      <c r="TJS1" s="10"/>
      <c r="TJT1" s="10"/>
      <c r="TJU1" s="10"/>
      <c r="TJV1" s="10"/>
      <c r="TJW1" s="10"/>
      <c r="TJX1" s="10"/>
      <c r="TJY1" s="10"/>
      <c r="TJZ1" s="10"/>
      <c r="TKA1" s="10"/>
      <c r="TKB1" s="10"/>
      <c r="TKC1" s="10"/>
      <c r="TKD1" s="10"/>
      <c r="TKE1" s="10"/>
      <c r="TKF1" s="10"/>
      <c r="TKG1" s="10"/>
      <c r="TKH1" s="10"/>
      <c r="TKI1" s="10"/>
      <c r="TKJ1" s="10"/>
      <c r="TKK1" s="10"/>
      <c r="TKL1" s="10"/>
      <c r="TKM1" s="10"/>
      <c r="TKN1" s="10"/>
      <c r="TKO1" s="10"/>
      <c r="TKP1" s="10"/>
      <c r="TKQ1" s="10"/>
      <c r="TKR1" s="10"/>
      <c r="TKS1" s="10"/>
      <c r="TKT1" s="10"/>
      <c r="TKU1" s="10"/>
      <c r="TKV1" s="10"/>
      <c r="TKW1" s="10"/>
      <c r="TKX1" s="10"/>
      <c r="TKY1" s="10"/>
      <c r="TKZ1" s="10"/>
      <c r="TLA1" s="10"/>
      <c r="TLB1" s="10"/>
      <c r="TLC1" s="10"/>
      <c r="TLD1" s="10"/>
      <c r="TLE1" s="10"/>
      <c r="TLF1" s="10"/>
      <c r="TLG1" s="10"/>
      <c r="TLH1" s="10"/>
      <c r="TLI1" s="10"/>
      <c r="TLJ1" s="10"/>
      <c r="TLK1" s="10"/>
      <c r="TLL1" s="10"/>
      <c r="TLM1" s="10"/>
      <c r="TLN1" s="10"/>
      <c r="TLO1" s="10"/>
      <c r="TLP1" s="10"/>
      <c r="TLQ1" s="10"/>
      <c r="TLR1" s="10"/>
      <c r="TLS1" s="10"/>
      <c r="TLT1" s="10"/>
      <c r="TLU1" s="10"/>
      <c r="TLV1" s="10"/>
      <c r="TLW1" s="10"/>
      <c r="TLX1" s="10"/>
      <c r="TLY1" s="10"/>
      <c r="TLZ1" s="10"/>
      <c r="TMA1" s="10"/>
      <c r="TMB1" s="10"/>
      <c r="TMC1" s="10"/>
      <c r="TMD1" s="10"/>
      <c r="TME1" s="10"/>
      <c r="TMF1" s="10"/>
      <c r="TMG1" s="10"/>
      <c r="TMH1" s="10"/>
      <c r="TMI1" s="10"/>
      <c r="TMJ1" s="10"/>
      <c r="TMK1" s="10"/>
      <c r="TML1" s="10"/>
      <c r="TMM1" s="10"/>
      <c r="TMN1" s="10"/>
      <c r="TMO1" s="10"/>
      <c r="TMP1" s="10"/>
      <c r="TMQ1" s="10"/>
      <c r="TMR1" s="10"/>
      <c r="TMS1" s="10"/>
      <c r="TMT1" s="10"/>
      <c r="TMU1" s="10"/>
      <c r="TMV1" s="10"/>
      <c r="TMW1" s="10"/>
      <c r="TMX1" s="10"/>
      <c r="TMY1" s="10"/>
      <c r="TMZ1" s="10"/>
      <c r="TNA1" s="10"/>
      <c r="TNB1" s="10"/>
      <c r="TNC1" s="10"/>
      <c r="TND1" s="10"/>
      <c r="TNE1" s="10"/>
      <c r="TNF1" s="10"/>
      <c r="TNG1" s="10"/>
      <c r="TNH1" s="10"/>
      <c r="TNI1" s="10"/>
      <c r="TNJ1" s="10"/>
      <c r="TNK1" s="10"/>
      <c r="TNL1" s="10"/>
      <c r="TNM1" s="10"/>
      <c r="TNN1" s="10"/>
      <c r="TNO1" s="10"/>
      <c r="TNP1" s="10"/>
      <c r="TNQ1" s="10"/>
      <c r="TNR1" s="10"/>
      <c r="TNS1" s="10"/>
      <c r="TNT1" s="10"/>
      <c r="TNU1" s="10"/>
      <c r="TNV1" s="10"/>
      <c r="TNW1" s="10"/>
      <c r="TNX1" s="10"/>
      <c r="TNY1" s="10"/>
      <c r="TNZ1" s="10"/>
      <c r="TOA1" s="10"/>
      <c r="TOB1" s="10"/>
      <c r="TOC1" s="10"/>
      <c r="TOD1" s="10"/>
      <c r="TOE1" s="10"/>
      <c r="TOF1" s="10"/>
      <c r="TOG1" s="10"/>
      <c r="TOH1" s="10"/>
      <c r="TOI1" s="10"/>
      <c r="TOJ1" s="10"/>
      <c r="TOK1" s="10"/>
      <c r="TOL1" s="10"/>
      <c r="TOM1" s="10"/>
      <c r="TON1" s="10"/>
      <c r="TOO1" s="10"/>
      <c r="TOP1" s="10"/>
      <c r="TOQ1" s="10"/>
      <c r="TOR1" s="10"/>
      <c r="TOS1" s="10"/>
      <c r="TOT1" s="10"/>
      <c r="TOU1" s="10"/>
      <c r="TOV1" s="10"/>
      <c r="TOW1" s="10"/>
      <c r="TOX1" s="10"/>
      <c r="TOY1" s="10"/>
      <c r="TOZ1" s="10"/>
      <c r="TPA1" s="10"/>
      <c r="TPB1" s="10"/>
      <c r="TPC1" s="10"/>
      <c r="TPD1" s="10"/>
      <c r="TPE1" s="10"/>
      <c r="TPF1" s="10"/>
      <c r="TPG1" s="10"/>
      <c r="TPH1" s="10"/>
      <c r="TPI1" s="10"/>
      <c r="TPJ1" s="10"/>
      <c r="TPK1" s="10"/>
      <c r="TPL1" s="10"/>
      <c r="TPM1" s="10"/>
      <c r="TPN1" s="10"/>
      <c r="TPO1" s="10"/>
      <c r="TPP1" s="10"/>
      <c r="TPQ1" s="10"/>
      <c r="TPR1" s="10"/>
      <c r="TPS1" s="10"/>
      <c r="TPT1" s="10"/>
      <c r="TPU1" s="10"/>
      <c r="TPV1" s="10"/>
      <c r="TPW1" s="10"/>
      <c r="TPX1" s="10"/>
      <c r="TPY1" s="10"/>
      <c r="TPZ1" s="10"/>
      <c r="TQA1" s="10"/>
      <c r="TQB1" s="10"/>
      <c r="TQC1" s="10"/>
      <c r="TQD1" s="10"/>
      <c r="TQE1" s="10"/>
      <c r="TQF1" s="10"/>
      <c r="TQG1" s="10"/>
      <c r="TQH1" s="10"/>
      <c r="TQI1" s="10"/>
      <c r="TQJ1" s="10"/>
      <c r="TQK1" s="10"/>
      <c r="TQL1" s="10"/>
      <c r="TQM1" s="10"/>
      <c r="TQN1" s="10"/>
      <c r="TQO1" s="10"/>
      <c r="TQP1" s="10"/>
      <c r="TQQ1" s="10"/>
      <c r="TQR1" s="10"/>
      <c r="TQS1" s="10"/>
      <c r="TQT1" s="10"/>
      <c r="TQU1" s="10"/>
      <c r="TQV1" s="10"/>
      <c r="TQW1" s="10"/>
      <c r="TQX1" s="10"/>
      <c r="TQY1" s="10"/>
      <c r="TQZ1" s="10"/>
      <c r="TRA1" s="10"/>
      <c r="TRB1" s="10"/>
      <c r="TRC1" s="10"/>
      <c r="TRD1" s="10"/>
      <c r="TRE1" s="10"/>
      <c r="TRF1" s="10"/>
      <c r="TRG1" s="10"/>
      <c r="TRH1" s="10"/>
      <c r="TRI1" s="10"/>
      <c r="TRJ1" s="10"/>
      <c r="TRK1" s="10"/>
      <c r="TRL1" s="10"/>
      <c r="TRM1" s="10"/>
      <c r="TRN1" s="10"/>
      <c r="TRO1" s="10"/>
      <c r="TRP1" s="10"/>
      <c r="TRQ1" s="10"/>
      <c r="TRR1" s="10"/>
      <c r="TRS1" s="10"/>
      <c r="TRT1" s="10"/>
      <c r="TRU1" s="10"/>
      <c r="TRV1" s="10"/>
      <c r="TRW1" s="10"/>
      <c r="TRX1" s="10"/>
      <c r="TRY1" s="10"/>
      <c r="TRZ1" s="10"/>
      <c r="TSA1" s="10"/>
      <c r="TSB1" s="10"/>
      <c r="TSC1" s="10"/>
      <c r="TSD1" s="10"/>
      <c r="TSE1" s="10"/>
      <c r="TSF1" s="10"/>
      <c r="TSG1" s="10"/>
      <c r="TSH1" s="10"/>
      <c r="TSI1" s="10"/>
      <c r="TSJ1" s="10"/>
      <c r="TSK1" s="10"/>
      <c r="TSL1" s="10"/>
      <c r="TSM1" s="10"/>
      <c r="TSN1" s="10"/>
      <c r="TSO1" s="10"/>
      <c r="TSP1" s="10"/>
      <c r="TSQ1" s="10"/>
      <c r="TSR1" s="10"/>
      <c r="TSS1" s="10"/>
      <c r="TST1" s="10"/>
      <c r="TSU1" s="10"/>
      <c r="TSV1" s="10"/>
      <c r="TSW1" s="10"/>
      <c r="TSX1" s="10"/>
      <c r="TSY1" s="10"/>
      <c r="TSZ1" s="10"/>
      <c r="TTA1" s="10"/>
      <c r="TTB1" s="10"/>
      <c r="TTC1" s="10"/>
      <c r="TTD1" s="10"/>
      <c r="TTE1" s="10"/>
      <c r="TTF1" s="10"/>
      <c r="TTG1" s="10"/>
      <c r="TTH1" s="10"/>
      <c r="TTI1" s="10"/>
      <c r="TTJ1" s="10"/>
      <c r="TTK1" s="10"/>
      <c r="TTL1" s="10"/>
      <c r="TTM1" s="10"/>
      <c r="TTN1" s="10"/>
      <c r="TTO1" s="10"/>
      <c r="TTP1" s="10"/>
      <c r="TTQ1" s="10"/>
      <c r="TTR1" s="10"/>
      <c r="TTS1" s="10"/>
      <c r="TTT1" s="10"/>
      <c r="TTU1" s="10"/>
      <c r="TTV1" s="10"/>
      <c r="TTW1" s="10"/>
      <c r="TTX1" s="10"/>
      <c r="TTY1" s="10"/>
      <c r="TTZ1" s="10"/>
      <c r="TUA1" s="10"/>
      <c r="TUB1" s="10"/>
      <c r="TUC1" s="10"/>
      <c r="TUD1" s="10"/>
      <c r="TUE1" s="10"/>
      <c r="TUF1" s="10"/>
      <c r="TUG1" s="10"/>
      <c r="TUH1" s="10"/>
      <c r="TUI1" s="10"/>
      <c r="TUJ1" s="10"/>
      <c r="TUK1" s="10"/>
      <c r="TUL1" s="10"/>
      <c r="TUM1" s="10"/>
      <c r="TUN1" s="10"/>
      <c r="TUO1" s="10"/>
      <c r="TUP1" s="10"/>
      <c r="TUQ1" s="10"/>
      <c r="TUR1" s="10"/>
      <c r="TUS1" s="10"/>
      <c r="TUT1" s="10"/>
      <c r="TUU1" s="10"/>
      <c r="TUV1" s="10"/>
      <c r="TUW1" s="10"/>
      <c r="TUX1" s="10"/>
      <c r="TUY1" s="10"/>
      <c r="TUZ1" s="10"/>
      <c r="TVA1" s="10"/>
      <c r="TVB1" s="10"/>
      <c r="TVC1" s="10"/>
      <c r="TVD1" s="10"/>
      <c r="TVE1" s="10"/>
      <c r="TVF1" s="10"/>
      <c r="TVG1" s="10"/>
      <c r="TVH1" s="10"/>
      <c r="TVI1" s="10"/>
      <c r="TVJ1" s="10"/>
      <c r="TVK1" s="10"/>
      <c r="TVL1" s="10"/>
      <c r="TVM1" s="10"/>
      <c r="TVN1" s="10"/>
      <c r="TVO1" s="10"/>
      <c r="TVP1" s="10"/>
      <c r="TVQ1" s="10"/>
      <c r="TVR1" s="10"/>
      <c r="TVS1" s="10"/>
      <c r="TVT1" s="10"/>
      <c r="TVU1" s="10"/>
      <c r="TVV1" s="10"/>
      <c r="TVW1" s="10"/>
      <c r="TVX1" s="10"/>
      <c r="TVY1" s="10"/>
      <c r="TVZ1" s="10"/>
      <c r="TWA1" s="10"/>
      <c r="TWB1" s="10"/>
      <c r="TWC1" s="10"/>
      <c r="TWD1" s="10"/>
      <c r="TWE1" s="10"/>
      <c r="TWF1" s="10"/>
      <c r="TWG1" s="10"/>
      <c r="TWH1" s="10"/>
      <c r="TWI1" s="10"/>
      <c r="TWJ1" s="10"/>
      <c r="TWK1" s="10"/>
      <c r="TWL1" s="10"/>
      <c r="TWM1" s="10"/>
      <c r="TWN1" s="10"/>
      <c r="TWO1" s="10"/>
      <c r="TWP1" s="10"/>
      <c r="TWQ1" s="10"/>
      <c r="TWR1" s="10"/>
      <c r="TWS1" s="10"/>
      <c r="TWT1" s="10"/>
      <c r="TWU1" s="10"/>
      <c r="TWV1" s="10"/>
      <c r="TWW1" s="10"/>
      <c r="TWX1" s="10"/>
      <c r="TWY1" s="10"/>
      <c r="TWZ1" s="10"/>
      <c r="TXA1" s="10"/>
      <c r="TXB1" s="10"/>
      <c r="TXC1" s="10"/>
      <c r="TXD1" s="10"/>
      <c r="TXE1" s="10"/>
      <c r="TXF1" s="10"/>
      <c r="TXG1" s="10"/>
      <c r="TXH1" s="10"/>
      <c r="TXI1" s="10"/>
      <c r="TXJ1" s="10"/>
      <c r="TXK1" s="10"/>
      <c r="TXL1" s="10"/>
      <c r="TXM1" s="10"/>
      <c r="TXN1" s="10"/>
      <c r="TXO1" s="10"/>
      <c r="TXP1" s="10"/>
      <c r="TXQ1" s="10"/>
      <c r="TXR1" s="10"/>
      <c r="TXS1" s="10"/>
      <c r="TXT1" s="10"/>
      <c r="TXU1" s="10"/>
      <c r="TXV1" s="10"/>
      <c r="TXW1" s="10"/>
      <c r="TXX1" s="10"/>
      <c r="TXY1" s="10"/>
      <c r="TXZ1" s="10"/>
      <c r="TYA1" s="10"/>
      <c r="TYB1" s="10"/>
      <c r="TYC1" s="10"/>
      <c r="TYD1" s="10"/>
      <c r="TYE1" s="10"/>
      <c r="TYF1" s="10"/>
      <c r="TYG1" s="10"/>
      <c r="TYH1" s="10"/>
      <c r="TYI1" s="10"/>
      <c r="TYJ1" s="10"/>
      <c r="TYK1" s="10"/>
      <c r="TYL1" s="10"/>
      <c r="TYM1" s="10"/>
      <c r="TYN1" s="10"/>
      <c r="TYO1" s="10"/>
      <c r="TYP1" s="10"/>
      <c r="TYQ1" s="10"/>
      <c r="TYR1" s="10"/>
      <c r="TYS1" s="10"/>
      <c r="TYT1" s="10"/>
      <c r="TYU1" s="10"/>
      <c r="TYV1" s="10"/>
      <c r="TYW1" s="10"/>
      <c r="TYX1" s="10"/>
      <c r="TYY1" s="10"/>
      <c r="TYZ1" s="10"/>
      <c r="TZA1" s="10"/>
      <c r="TZB1" s="10"/>
      <c r="TZC1" s="10"/>
      <c r="TZD1" s="10"/>
      <c r="TZE1" s="10"/>
      <c r="TZF1" s="10"/>
      <c r="TZG1" s="10"/>
      <c r="TZH1" s="10"/>
      <c r="TZI1" s="10"/>
      <c r="TZJ1" s="10"/>
      <c r="TZK1" s="10"/>
      <c r="TZL1" s="10"/>
      <c r="TZM1" s="10"/>
      <c r="TZN1" s="10"/>
      <c r="TZO1" s="10"/>
      <c r="TZP1" s="10"/>
      <c r="TZQ1" s="10"/>
      <c r="TZR1" s="10"/>
      <c r="TZS1" s="10"/>
      <c r="TZT1" s="10"/>
      <c r="TZU1" s="10"/>
      <c r="TZV1" s="10"/>
      <c r="TZW1" s="10"/>
      <c r="TZX1" s="10"/>
      <c r="TZY1" s="10"/>
      <c r="TZZ1" s="10"/>
      <c r="UAA1" s="10"/>
      <c r="UAB1" s="10"/>
      <c r="UAC1" s="10"/>
      <c r="UAD1" s="10"/>
      <c r="UAE1" s="10"/>
      <c r="UAF1" s="10"/>
      <c r="UAG1" s="10"/>
      <c r="UAH1" s="10"/>
      <c r="UAI1" s="10"/>
      <c r="UAJ1" s="10"/>
      <c r="UAK1" s="10"/>
      <c r="UAL1" s="10"/>
      <c r="UAM1" s="10"/>
      <c r="UAN1" s="10"/>
      <c r="UAO1" s="10"/>
      <c r="UAP1" s="10"/>
      <c r="UAQ1" s="10"/>
      <c r="UAR1" s="10"/>
      <c r="UAS1" s="10"/>
      <c r="UAT1" s="10"/>
      <c r="UAU1" s="10"/>
      <c r="UAV1" s="10"/>
      <c r="UAW1" s="10"/>
      <c r="UAX1" s="10"/>
      <c r="UAY1" s="10"/>
      <c r="UAZ1" s="10"/>
      <c r="UBA1" s="10"/>
      <c r="UBB1" s="10"/>
      <c r="UBC1" s="10"/>
      <c r="UBD1" s="10"/>
      <c r="UBE1" s="10"/>
      <c r="UBF1" s="10"/>
      <c r="UBG1" s="10"/>
      <c r="UBH1" s="10"/>
      <c r="UBI1" s="10"/>
      <c r="UBJ1" s="10"/>
      <c r="UBK1" s="10"/>
      <c r="UBL1" s="10"/>
      <c r="UBM1" s="10"/>
      <c r="UBN1" s="10"/>
      <c r="UBO1" s="10"/>
      <c r="UBP1" s="10"/>
      <c r="UBQ1" s="10"/>
      <c r="UBR1" s="10"/>
      <c r="UBS1" s="10"/>
      <c r="UBT1" s="10"/>
      <c r="UBU1" s="10"/>
      <c r="UBV1" s="10"/>
      <c r="UBW1" s="10"/>
      <c r="UBX1" s="10"/>
      <c r="UBY1" s="10"/>
      <c r="UBZ1" s="10"/>
      <c r="UCA1" s="10"/>
      <c r="UCB1" s="10"/>
      <c r="UCC1" s="10"/>
      <c r="UCD1" s="10"/>
      <c r="UCE1" s="10"/>
      <c r="UCF1" s="10"/>
      <c r="UCG1" s="10"/>
      <c r="UCH1" s="10"/>
      <c r="UCI1" s="10"/>
      <c r="UCJ1" s="10"/>
      <c r="UCK1" s="10"/>
      <c r="UCL1" s="10"/>
      <c r="UCM1" s="10"/>
      <c r="UCN1" s="10"/>
      <c r="UCO1" s="10"/>
      <c r="UCP1" s="10"/>
      <c r="UCQ1" s="10"/>
      <c r="UCR1" s="10"/>
      <c r="UCS1" s="10"/>
      <c r="UCT1" s="10"/>
      <c r="UCU1" s="10"/>
      <c r="UCV1" s="10"/>
      <c r="UCW1" s="10"/>
      <c r="UCX1" s="10"/>
      <c r="UCY1" s="10"/>
      <c r="UCZ1" s="10"/>
      <c r="UDA1" s="10"/>
      <c r="UDB1" s="10"/>
      <c r="UDC1" s="10"/>
      <c r="UDD1" s="10"/>
      <c r="UDE1" s="10"/>
      <c r="UDF1" s="10"/>
      <c r="UDG1" s="10"/>
      <c r="UDH1" s="10"/>
      <c r="UDI1" s="10"/>
      <c r="UDJ1" s="10"/>
      <c r="UDK1" s="10"/>
      <c r="UDL1" s="10"/>
      <c r="UDM1" s="10"/>
      <c r="UDN1" s="10"/>
      <c r="UDO1" s="10"/>
      <c r="UDP1" s="10"/>
      <c r="UDQ1" s="10"/>
      <c r="UDR1" s="10"/>
      <c r="UDS1" s="10"/>
      <c r="UDT1" s="10"/>
      <c r="UDU1" s="10"/>
      <c r="UDV1" s="10"/>
      <c r="UDW1" s="10"/>
      <c r="UDX1" s="10"/>
      <c r="UDY1" s="10"/>
      <c r="UDZ1" s="10"/>
      <c r="UEA1" s="10"/>
      <c r="UEB1" s="10"/>
      <c r="UEC1" s="10"/>
      <c r="UED1" s="10"/>
      <c r="UEE1" s="10"/>
      <c r="UEF1" s="10"/>
      <c r="UEG1" s="10"/>
      <c r="UEH1" s="10"/>
      <c r="UEI1" s="10"/>
      <c r="UEJ1" s="10"/>
      <c r="UEK1" s="10"/>
      <c r="UEL1" s="10"/>
      <c r="UEM1" s="10"/>
      <c r="UEN1" s="10"/>
      <c r="UEO1" s="10"/>
      <c r="UEP1" s="10"/>
      <c r="UEQ1" s="10"/>
      <c r="UER1" s="10"/>
      <c r="UES1" s="10"/>
      <c r="UET1" s="10"/>
      <c r="UEU1" s="10"/>
      <c r="UEV1" s="10"/>
      <c r="UEW1" s="10"/>
      <c r="UEX1" s="10"/>
      <c r="UEY1" s="10"/>
      <c r="UEZ1" s="10"/>
      <c r="UFA1" s="10"/>
      <c r="UFB1" s="10"/>
      <c r="UFC1" s="10"/>
      <c r="UFD1" s="10"/>
      <c r="UFE1" s="10"/>
      <c r="UFF1" s="10"/>
      <c r="UFG1" s="10"/>
      <c r="UFH1" s="10"/>
      <c r="UFI1" s="10"/>
      <c r="UFJ1" s="10"/>
      <c r="UFK1" s="10"/>
      <c r="UFL1" s="10"/>
      <c r="UFM1" s="10"/>
      <c r="UFN1" s="10"/>
      <c r="UFO1" s="10"/>
      <c r="UFP1" s="10"/>
      <c r="UFQ1" s="10"/>
      <c r="UFR1" s="10"/>
      <c r="UFS1" s="10"/>
      <c r="UFT1" s="10"/>
      <c r="UFU1" s="10"/>
      <c r="UFV1" s="10"/>
      <c r="UFW1" s="10"/>
      <c r="UFX1" s="10"/>
      <c r="UFY1" s="10"/>
      <c r="UFZ1" s="10"/>
      <c r="UGA1" s="10"/>
      <c r="UGB1" s="10"/>
      <c r="UGC1" s="10"/>
      <c r="UGD1" s="10"/>
      <c r="UGE1" s="10"/>
      <c r="UGF1" s="10"/>
      <c r="UGG1" s="10"/>
      <c r="UGH1" s="10"/>
      <c r="UGI1" s="10"/>
      <c r="UGJ1" s="10"/>
      <c r="UGK1" s="10"/>
      <c r="UGL1" s="10"/>
      <c r="UGM1" s="10"/>
      <c r="UGN1" s="10"/>
      <c r="UGO1" s="10"/>
      <c r="UGP1" s="10"/>
      <c r="UGQ1" s="10"/>
      <c r="UGR1" s="10"/>
      <c r="UGS1" s="10"/>
      <c r="UGT1" s="10"/>
      <c r="UGU1" s="10"/>
      <c r="UGV1" s="10"/>
      <c r="UGW1" s="10"/>
      <c r="UGX1" s="10"/>
      <c r="UGY1" s="10"/>
      <c r="UGZ1" s="10"/>
      <c r="UHA1" s="10"/>
      <c r="UHB1" s="10"/>
      <c r="UHC1" s="10"/>
      <c r="UHD1" s="10"/>
      <c r="UHE1" s="10"/>
      <c r="UHF1" s="10"/>
      <c r="UHG1" s="10"/>
      <c r="UHH1" s="10"/>
      <c r="UHI1" s="10"/>
      <c r="UHJ1" s="10"/>
      <c r="UHK1" s="10"/>
      <c r="UHL1" s="10"/>
      <c r="UHM1" s="10"/>
      <c r="UHN1" s="10"/>
      <c r="UHO1" s="10"/>
      <c r="UHP1" s="10"/>
      <c r="UHQ1" s="10"/>
      <c r="UHR1" s="10"/>
      <c r="UHS1" s="10"/>
      <c r="UHT1" s="10"/>
      <c r="UHU1" s="10"/>
      <c r="UHV1" s="10"/>
      <c r="UHW1" s="10"/>
      <c r="UHX1" s="10"/>
      <c r="UHY1" s="10"/>
      <c r="UHZ1" s="10"/>
      <c r="UIA1" s="10"/>
      <c r="UIB1" s="10"/>
      <c r="UIC1" s="10"/>
      <c r="UID1" s="10"/>
      <c r="UIE1" s="10"/>
      <c r="UIF1" s="10"/>
      <c r="UIG1" s="10"/>
      <c r="UIH1" s="10"/>
      <c r="UII1" s="10"/>
      <c r="UIJ1" s="10"/>
      <c r="UIK1" s="10"/>
      <c r="UIL1" s="10"/>
      <c r="UIM1" s="10"/>
      <c r="UIN1" s="10"/>
      <c r="UIO1" s="10"/>
      <c r="UIP1" s="10"/>
      <c r="UIQ1" s="10"/>
      <c r="UIR1" s="10"/>
      <c r="UIS1" s="10"/>
      <c r="UIT1" s="10"/>
      <c r="UIU1" s="10"/>
      <c r="UIV1" s="10"/>
      <c r="UIW1" s="10"/>
      <c r="UIX1" s="10"/>
      <c r="UIY1" s="10"/>
      <c r="UIZ1" s="10"/>
      <c r="UJA1" s="10"/>
      <c r="UJB1" s="10"/>
      <c r="UJC1" s="10"/>
      <c r="UJD1" s="10"/>
      <c r="UJE1" s="10"/>
      <c r="UJF1" s="10"/>
      <c r="UJG1" s="10"/>
      <c r="UJH1" s="10"/>
      <c r="UJI1" s="10"/>
      <c r="UJJ1" s="10"/>
      <c r="UJK1" s="10"/>
      <c r="UJL1" s="10"/>
      <c r="UJM1" s="10"/>
      <c r="UJN1" s="10"/>
      <c r="UJO1" s="10"/>
      <c r="UJP1" s="10"/>
      <c r="UJQ1" s="10"/>
      <c r="UJR1" s="10"/>
      <c r="UJS1" s="10"/>
      <c r="UJT1" s="10"/>
      <c r="UJU1" s="10"/>
      <c r="UJV1" s="10"/>
      <c r="UJW1" s="10"/>
      <c r="UJX1" s="10"/>
      <c r="UJY1" s="10"/>
      <c r="UJZ1" s="10"/>
      <c r="UKA1" s="10"/>
      <c r="UKB1" s="10"/>
      <c r="UKC1" s="10"/>
      <c r="UKD1" s="10"/>
      <c r="UKE1" s="10"/>
      <c r="UKF1" s="10"/>
      <c r="UKG1" s="10"/>
      <c r="UKH1" s="10"/>
      <c r="UKI1" s="10"/>
      <c r="UKJ1" s="10"/>
      <c r="UKK1" s="10"/>
      <c r="UKL1" s="10"/>
      <c r="UKM1" s="10"/>
      <c r="UKN1" s="10"/>
      <c r="UKO1" s="10"/>
      <c r="UKP1" s="10"/>
      <c r="UKQ1" s="10"/>
      <c r="UKR1" s="10"/>
      <c r="UKS1" s="10"/>
      <c r="UKT1" s="10"/>
      <c r="UKU1" s="10"/>
      <c r="UKV1" s="10"/>
      <c r="UKW1" s="10"/>
      <c r="UKX1" s="10"/>
      <c r="UKY1" s="10"/>
      <c r="UKZ1" s="10"/>
      <c r="ULA1" s="10"/>
      <c r="ULB1" s="10"/>
      <c r="ULC1" s="10"/>
      <c r="ULD1" s="10"/>
      <c r="ULE1" s="10"/>
      <c r="ULF1" s="10"/>
      <c r="ULG1" s="10"/>
      <c r="ULH1" s="10"/>
      <c r="ULI1" s="10"/>
      <c r="ULJ1" s="10"/>
      <c r="ULK1" s="10"/>
      <c r="ULL1" s="10"/>
      <c r="ULM1" s="10"/>
      <c r="ULN1" s="10"/>
      <c r="ULO1" s="10"/>
      <c r="ULP1" s="10"/>
      <c r="ULQ1" s="10"/>
      <c r="ULR1" s="10"/>
      <c r="ULS1" s="10"/>
      <c r="ULT1" s="10"/>
      <c r="ULU1" s="10"/>
      <c r="ULV1" s="10"/>
      <c r="ULW1" s="10"/>
      <c r="ULX1" s="10"/>
      <c r="ULY1" s="10"/>
      <c r="ULZ1" s="10"/>
      <c r="UMA1" s="10"/>
      <c r="UMB1" s="10"/>
      <c r="UMC1" s="10"/>
      <c r="UMD1" s="10"/>
      <c r="UME1" s="10"/>
      <c r="UMF1" s="10"/>
      <c r="UMG1" s="10"/>
      <c r="UMH1" s="10"/>
      <c r="UMI1" s="10"/>
      <c r="UMJ1" s="10"/>
      <c r="UMK1" s="10"/>
      <c r="UML1" s="10"/>
      <c r="UMM1" s="10"/>
      <c r="UMN1" s="10"/>
      <c r="UMO1" s="10"/>
      <c r="UMP1" s="10"/>
      <c r="UMQ1" s="10"/>
      <c r="UMR1" s="10"/>
      <c r="UMS1" s="10"/>
      <c r="UMT1" s="10"/>
      <c r="UMU1" s="10"/>
      <c r="UMV1" s="10"/>
      <c r="UMW1" s="10"/>
      <c r="UMX1" s="10"/>
      <c r="UMY1" s="10"/>
      <c r="UMZ1" s="10"/>
      <c r="UNA1" s="10"/>
      <c r="UNB1" s="10"/>
      <c r="UNC1" s="10"/>
      <c r="UND1" s="10"/>
      <c r="UNE1" s="10"/>
      <c r="UNF1" s="10"/>
      <c r="UNG1" s="10"/>
      <c r="UNH1" s="10"/>
      <c r="UNI1" s="10"/>
      <c r="UNJ1" s="10"/>
      <c r="UNK1" s="10"/>
      <c r="UNL1" s="10"/>
      <c r="UNM1" s="10"/>
      <c r="UNN1" s="10"/>
      <c r="UNO1" s="10"/>
      <c r="UNP1" s="10"/>
      <c r="UNQ1" s="10"/>
      <c r="UNR1" s="10"/>
      <c r="UNS1" s="10"/>
      <c r="UNT1" s="10"/>
      <c r="UNU1" s="10"/>
      <c r="UNV1" s="10"/>
      <c r="UNW1" s="10"/>
      <c r="UNX1" s="10"/>
      <c r="UNY1" s="10"/>
      <c r="UNZ1" s="10"/>
      <c r="UOA1" s="10"/>
      <c r="UOB1" s="10"/>
      <c r="UOC1" s="10"/>
      <c r="UOD1" s="10"/>
      <c r="UOE1" s="10"/>
      <c r="UOF1" s="10"/>
      <c r="UOG1" s="10"/>
      <c r="UOH1" s="10"/>
      <c r="UOI1" s="10"/>
      <c r="UOJ1" s="10"/>
      <c r="UOK1" s="10"/>
      <c r="UOL1" s="10"/>
      <c r="UOM1" s="10"/>
      <c r="UON1" s="10"/>
      <c r="UOO1" s="10"/>
      <c r="UOP1" s="10"/>
      <c r="UOQ1" s="10"/>
      <c r="UOR1" s="10"/>
      <c r="UOS1" s="10"/>
      <c r="UOT1" s="10"/>
      <c r="UOU1" s="10"/>
      <c r="UOV1" s="10"/>
      <c r="UOW1" s="10"/>
      <c r="UOX1" s="10"/>
      <c r="UOY1" s="10"/>
      <c r="UOZ1" s="10"/>
      <c r="UPA1" s="10"/>
      <c r="UPB1" s="10"/>
      <c r="UPC1" s="10"/>
      <c r="UPD1" s="10"/>
      <c r="UPE1" s="10"/>
      <c r="UPF1" s="10"/>
      <c r="UPG1" s="10"/>
      <c r="UPH1" s="10"/>
      <c r="UPI1" s="10"/>
      <c r="UPJ1" s="10"/>
      <c r="UPK1" s="10"/>
      <c r="UPL1" s="10"/>
      <c r="UPM1" s="10"/>
      <c r="UPN1" s="10"/>
      <c r="UPO1" s="10"/>
      <c r="UPP1" s="10"/>
      <c r="UPQ1" s="10"/>
      <c r="UPR1" s="10"/>
      <c r="UPS1" s="10"/>
      <c r="UPT1" s="10"/>
      <c r="UPU1" s="10"/>
      <c r="UPV1" s="10"/>
      <c r="UPW1" s="10"/>
      <c r="UPX1" s="10"/>
      <c r="UPY1" s="10"/>
      <c r="UPZ1" s="10"/>
      <c r="UQA1" s="10"/>
      <c r="UQB1" s="10"/>
      <c r="UQC1" s="10"/>
      <c r="UQD1" s="10"/>
      <c r="UQE1" s="10"/>
      <c r="UQF1" s="10"/>
      <c r="UQG1" s="10"/>
      <c r="UQH1" s="10"/>
      <c r="UQI1" s="10"/>
      <c r="UQJ1" s="10"/>
      <c r="UQK1" s="10"/>
      <c r="UQL1" s="10"/>
      <c r="UQM1" s="10"/>
      <c r="UQN1" s="10"/>
      <c r="UQO1" s="10"/>
      <c r="UQP1" s="10"/>
      <c r="UQQ1" s="10"/>
      <c r="UQR1" s="10"/>
      <c r="UQS1" s="10"/>
      <c r="UQT1" s="10"/>
      <c r="UQU1" s="10"/>
      <c r="UQV1" s="10"/>
      <c r="UQW1" s="10"/>
      <c r="UQX1" s="10"/>
      <c r="UQY1" s="10"/>
      <c r="UQZ1" s="10"/>
      <c r="URA1" s="10"/>
      <c r="URB1" s="10"/>
      <c r="URC1" s="10"/>
      <c r="URD1" s="10"/>
      <c r="URE1" s="10"/>
      <c r="URF1" s="10"/>
      <c r="URG1" s="10"/>
      <c r="URH1" s="10"/>
      <c r="URI1" s="10"/>
      <c r="URJ1" s="10"/>
      <c r="URK1" s="10"/>
      <c r="URL1" s="10"/>
      <c r="URM1" s="10"/>
      <c r="URN1" s="10"/>
      <c r="URO1" s="10"/>
      <c r="URP1" s="10"/>
      <c r="URQ1" s="10"/>
      <c r="URR1" s="10"/>
      <c r="URS1" s="10"/>
      <c r="URT1" s="10"/>
      <c r="URU1" s="10"/>
      <c r="URV1" s="10"/>
      <c r="URW1" s="10"/>
      <c r="URX1" s="10"/>
      <c r="URY1" s="10"/>
      <c r="URZ1" s="10"/>
      <c r="USA1" s="10"/>
      <c r="USB1" s="10"/>
      <c r="USC1" s="10"/>
      <c r="USD1" s="10"/>
      <c r="USE1" s="10"/>
      <c r="USF1" s="10"/>
      <c r="USG1" s="10"/>
      <c r="USH1" s="10"/>
      <c r="USI1" s="10"/>
      <c r="USJ1" s="10"/>
      <c r="USK1" s="10"/>
      <c r="USL1" s="10"/>
      <c r="USM1" s="10"/>
      <c r="USN1" s="10"/>
      <c r="USO1" s="10"/>
      <c r="USP1" s="10"/>
      <c r="USQ1" s="10"/>
      <c r="USR1" s="10"/>
      <c r="USS1" s="10"/>
      <c r="UST1" s="10"/>
      <c r="USU1" s="10"/>
      <c r="USV1" s="10"/>
      <c r="USW1" s="10"/>
      <c r="USX1" s="10"/>
      <c r="USY1" s="10"/>
      <c r="USZ1" s="10"/>
      <c r="UTA1" s="10"/>
      <c r="UTB1" s="10"/>
      <c r="UTC1" s="10"/>
      <c r="UTD1" s="10"/>
      <c r="UTE1" s="10"/>
      <c r="UTF1" s="10"/>
      <c r="UTG1" s="10"/>
      <c r="UTH1" s="10"/>
      <c r="UTI1" s="10"/>
      <c r="UTJ1" s="10"/>
      <c r="UTK1" s="10"/>
      <c r="UTL1" s="10"/>
      <c r="UTM1" s="10"/>
      <c r="UTN1" s="10"/>
      <c r="UTO1" s="10"/>
      <c r="UTP1" s="10"/>
      <c r="UTQ1" s="10"/>
      <c r="UTR1" s="10"/>
      <c r="UTS1" s="10"/>
      <c r="UTT1" s="10"/>
      <c r="UTU1" s="10"/>
      <c r="UTV1" s="10"/>
      <c r="UTW1" s="10"/>
      <c r="UTX1" s="10"/>
      <c r="UTY1" s="10"/>
      <c r="UTZ1" s="10"/>
      <c r="UUA1" s="10"/>
      <c r="UUB1" s="10"/>
      <c r="UUC1" s="10"/>
      <c r="UUD1" s="10"/>
      <c r="UUE1" s="10"/>
      <c r="UUF1" s="10"/>
      <c r="UUG1" s="10"/>
      <c r="UUH1" s="10"/>
      <c r="UUI1" s="10"/>
      <c r="UUJ1" s="10"/>
      <c r="UUK1" s="10"/>
      <c r="UUL1" s="10"/>
      <c r="UUM1" s="10"/>
      <c r="UUN1" s="10"/>
      <c r="UUO1" s="10"/>
      <c r="UUP1" s="10"/>
      <c r="UUQ1" s="10"/>
      <c r="UUR1" s="10"/>
      <c r="UUS1" s="10"/>
      <c r="UUT1" s="10"/>
      <c r="UUU1" s="10"/>
      <c r="UUV1" s="10"/>
      <c r="UUW1" s="10"/>
      <c r="UUX1" s="10"/>
      <c r="UUY1" s="10"/>
      <c r="UUZ1" s="10"/>
      <c r="UVA1" s="10"/>
      <c r="UVB1" s="10"/>
      <c r="UVC1" s="10"/>
      <c r="UVD1" s="10"/>
      <c r="UVE1" s="10"/>
      <c r="UVF1" s="10"/>
      <c r="UVG1" s="10"/>
      <c r="UVH1" s="10"/>
      <c r="UVI1" s="10"/>
      <c r="UVJ1" s="10"/>
      <c r="UVK1" s="10"/>
      <c r="UVL1" s="10"/>
      <c r="UVM1" s="10"/>
      <c r="UVN1" s="10"/>
      <c r="UVO1" s="10"/>
      <c r="UVP1" s="10"/>
      <c r="UVQ1" s="10"/>
      <c r="UVR1" s="10"/>
      <c r="UVS1" s="10"/>
      <c r="UVT1" s="10"/>
      <c r="UVU1" s="10"/>
      <c r="UVV1" s="10"/>
      <c r="UVW1" s="10"/>
      <c r="UVX1" s="10"/>
      <c r="UVY1" s="10"/>
      <c r="UVZ1" s="10"/>
      <c r="UWA1" s="10"/>
      <c r="UWB1" s="10"/>
      <c r="UWC1" s="10"/>
      <c r="UWD1" s="10"/>
      <c r="UWE1" s="10"/>
      <c r="UWF1" s="10"/>
      <c r="UWG1" s="10"/>
      <c r="UWH1" s="10"/>
      <c r="UWI1" s="10"/>
      <c r="UWJ1" s="10"/>
      <c r="UWK1" s="10"/>
      <c r="UWL1" s="10"/>
      <c r="UWM1" s="10"/>
      <c r="UWN1" s="10"/>
      <c r="UWO1" s="10"/>
      <c r="UWP1" s="10"/>
      <c r="UWQ1" s="10"/>
      <c r="UWR1" s="10"/>
      <c r="UWS1" s="10"/>
      <c r="UWT1" s="10"/>
      <c r="UWU1" s="10"/>
      <c r="UWV1" s="10"/>
      <c r="UWW1" s="10"/>
      <c r="UWX1" s="10"/>
      <c r="UWY1" s="10"/>
      <c r="UWZ1" s="10"/>
      <c r="UXA1" s="10"/>
      <c r="UXB1" s="10"/>
      <c r="UXC1" s="10"/>
      <c r="UXD1" s="10"/>
      <c r="UXE1" s="10"/>
      <c r="UXF1" s="10"/>
      <c r="UXG1" s="10"/>
      <c r="UXH1" s="10"/>
      <c r="UXI1" s="10"/>
      <c r="UXJ1" s="10"/>
      <c r="UXK1" s="10"/>
      <c r="UXL1" s="10"/>
      <c r="UXM1" s="10"/>
      <c r="UXN1" s="10"/>
      <c r="UXO1" s="10"/>
      <c r="UXP1" s="10"/>
      <c r="UXQ1" s="10"/>
      <c r="UXR1" s="10"/>
      <c r="UXS1" s="10"/>
      <c r="UXT1" s="10"/>
      <c r="UXU1" s="10"/>
      <c r="UXV1" s="10"/>
      <c r="UXW1" s="10"/>
      <c r="UXX1" s="10"/>
      <c r="UXY1" s="10"/>
      <c r="UXZ1" s="10"/>
      <c r="UYA1" s="10"/>
      <c r="UYB1" s="10"/>
      <c r="UYC1" s="10"/>
      <c r="UYD1" s="10"/>
      <c r="UYE1" s="10"/>
      <c r="UYF1" s="10"/>
      <c r="UYG1" s="10"/>
      <c r="UYH1" s="10"/>
      <c r="UYI1" s="10"/>
      <c r="UYJ1" s="10"/>
      <c r="UYK1" s="10"/>
      <c r="UYL1" s="10"/>
      <c r="UYM1" s="10"/>
      <c r="UYN1" s="10"/>
      <c r="UYO1" s="10"/>
      <c r="UYP1" s="10"/>
      <c r="UYQ1" s="10"/>
      <c r="UYR1" s="10"/>
      <c r="UYS1" s="10"/>
      <c r="UYT1" s="10"/>
      <c r="UYU1" s="10"/>
      <c r="UYV1" s="10"/>
      <c r="UYW1" s="10"/>
      <c r="UYX1" s="10"/>
      <c r="UYY1" s="10"/>
      <c r="UYZ1" s="10"/>
      <c r="UZA1" s="10"/>
      <c r="UZB1" s="10"/>
      <c r="UZC1" s="10"/>
      <c r="UZD1" s="10"/>
      <c r="UZE1" s="10"/>
      <c r="UZF1" s="10"/>
      <c r="UZG1" s="10"/>
      <c r="UZH1" s="10"/>
      <c r="UZI1" s="10"/>
      <c r="UZJ1" s="10"/>
      <c r="UZK1" s="10"/>
      <c r="UZL1" s="10"/>
      <c r="UZM1" s="10"/>
      <c r="UZN1" s="10"/>
      <c r="UZO1" s="10"/>
      <c r="UZP1" s="10"/>
      <c r="UZQ1" s="10"/>
      <c r="UZR1" s="10"/>
      <c r="UZS1" s="10"/>
      <c r="UZT1" s="10"/>
      <c r="UZU1" s="10"/>
      <c r="UZV1" s="10"/>
      <c r="UZW1" s="10"/>
      <c r="UZX1" s="10"/>
      <c r="UZY1" s="10"/>
      <c r="UZZ1" s="10"/>
      <c r="VAA1" s="10"/>
      <c r="VAB1" s="10"/>
      <c r="VAC1" s="10"/>
      <c r="VAD1" s="10"/>
      <c r="VAE1" s="10"/>
      <c r="VAF1" s="10"/>
      <c r="VAG1" s="10"/>
      <c r="VAH1" s="10"/>
      <c r="VAI1" s="10"/>
      <c r="VAJ1" s="10"/>
      <c r="VAK1" s="10"/>
      <c r="VAL1" s="10"/>
      <c r="VAM1" s="10"/>
      <c r="VAN1" s="10"/>
      <c r="VAO1" s="10"/>
      <c r="VAP1" s="10"/>
      <c r="VAQ1" s="10"/>
      <c r="VAR1" s="10"/>
      <c r="VAS1" s="10"/>
      <c r="VAT1" s="10"/>
      <c r="VAU1" s="10"/>
      <c r="VAV1" s="10"/>
      <c r="VAW1" s="10"/>
      <c r="VAX1" s="10"/>
      <c r="VAY1" s="10"/>
      <c r="VAZ1" s="10"/>
      <c r="VBA1" s="10"/>
      <c r="VBB1" s="10"/>
      <c r="VBC1" s="10"/>
      <c r="VBD1" s="10"/>
      <c r="VBE1" s="10"/>
      <c r="VBF1" s="10"/>
      <c r="VBG1" s="10"/>
      <c r="VBH1" s="10"/>
      <c r="VBI1" s="10"/>
      <c r="VBJ1" s="10"/>
      <c r="VBK1" s="10"/>
      <c r="VBL1" s="10"/>
      <c r="VBM1" s="10"/>
      <c r="VBN1" s="10"/>
      <c r="VBO1" s="10"/>
      <c r="VBP1" s="10"/>
      <c r="VBQ1" s="10"/>
      <c r="VBR1" s="10"/>
      <c r="VBS1" s="10"/>
      <c r="VBT1" s="10"/>
      <c r="VBU1" s="10"/>
      <c r="VBV1" s="10"/>
      <c r="VBW1" s="10"/>
      <c r="VBX1" s="10"/>
      <c r="VBY1" s="10"/>
      <c r="VBZ1" s="10"/>
      <c r="VCA1" s="10"/>
      <c r="VCB1" s="10"/>
      <c r="VCC1" s="10"/>
      <c r="VCD1" s="10"/>
      <c r="VCE1" s="10"/>
      <c r="VCF1" s="10"/>
      <c r="VCG1" s="10"/>
      <c r="VCH1" s="10"/>
      <c r="VCI1" s="10"/>
      <c r="VCJ1" s="10"/>
      <c r="VCK1" s="10"/>
      <c r="VCL1" s="10"/>
      <c r="VCM1" s="10"/>
      <c r="VCN1" s="10"/>
      <c r="VCO1" s="10"/>
      <c r="VCP1" s="10"/>
      <c r="VCQ1" s="10"/>
      <c r="VCR1" s="10"/>
      <c r="VCS1" s="10"/>
      <c r="VCT1" s="10"/>
      <c r="VCU1" s="10"/>
      <c r="VCV1" s="10"/>
      <c r="VCW1" s="10"/>
      <c r="VCX1" s="10"/>
      <c r="VCY1" s="10"/>
      <c r="VCZ1" s="10"/>
      <c r="VDA1" s="10"/>
      <c r="VDB1" s="10"/>
      <c r="VDC1" s="10"/>
      <c r="VDD1" s="10"/>
      <c r="VDE1" s="10"/>
      <c r="VDF1" s="10"/>
      <c r="VDG1" s="10"/>
      <c r="VDH1" s="10"/>
      <c r="VDI1" s="10"/>
      <c r="VDJ1" s="10"/>
      <c r="VDK1" s="10"/>
      <c r="VDL1" s="10"/>
      <c r="VDM1" s="10"/>
      <c r="VDN1" s="10"/>
      <c r="VDO1" s="10"/>
      <c r="VDP1" s="10"/>
      <c r="VDQ1" s="10"/>
      <c r="VDR1" s="10"/>
      <c r="VDS1" s="10"/>
      <c r="VDT1" s="10"/>
      <c r="VDU1" s="10"/>
      <c r="VDV1" s="10"/>
      <c r="VDW1" s="10"/>
      <c r="VDX1" s="10"/>
      <c r="VDY1" s="10"/>
      <c r="VDZ1" s="10"/>
      <c r="VEA1" s="10"/>
      <c r="VEB1" s="10"/>
      <c r="VEC1" s="10"/>
      <c r="VED1" s="10"/>
      <c r="VEE1" s="10"/>
      <c r="VEF1" s="10"/>
      <c r="VEG1" s="10"/>
      <c r="VEH1" s="10"/>
      <c r="VEI1" s="10"/>
      <c r="VEJ1" s="10"/>
      <c r="VEK1" s="10"/>
      <c r="VEL1" s="10"/>
      <c r="VEM1" s="10"/>
      <c r="VEN1" s="10"/>
      <c r="VEO1" s="10"/>
      <c r="VEP1" s="10"/>
      <c r="VEQ1" s="10"/>
      <c r="VER1" s="10"/>
      <c r="VES1" s="10"/>
      <c r="VET1" s="10"/>
      <c r="VEU1" s="10"/>
      <c r="VEV1" s="10"/>
      <c r="VEW1" s="10"/>
      <c r="VEX1" s="10"/>
      <c r="VEY1" s="10"/>
      <c r="VEZ1" s="10"/>
      <c r="VFA1" s="10"/>
      <c r="VFB1" s="10"/>
      <c r="VFC1" s="10"/>
      <c r="VFD1" s="10"/>
      <c r="VFE1" s="10"/>
      <c r="VFF1" s="10"/>
      <c r="VFG1" s="10"/>
      <c r="VFH1" s="10"/>
      <c r="VFI1" s="10"/>
      <c r="VFJ1" s="10"/>
      <c r="VFK1" s="10"/>
      <c r="VFL1" s="10"/>
      <c r="VFM1" s="10"/>
      <c r="VFN1" s="10"/>
      <c r="VFO1" s="10"/>
      <c r="VFP1" s="10"/>
      <c r="VFQ1" s="10"/>
      <c r="VFR1" s="10"/>
      <c r="VFS1" s="10"/>
      <c r="VFT1" s="10"/>
      <c r="VFU1" s="10"/>
      <c r="VFV1" s="10"/>
      <c r="VFW1" s="10"/>
      <c r="VFX1" s="10"/>
      <c r="VFY1" s="10"/>
      <c r="VFZ1" s="10"/>
      <c r="VGA1" s="10"/>
      <c r="VGB1" s="10"/>
      <c r="VGC1" s="10"/>
      <c r="VGD1" s="10"/>
      <c r="VGE1" s="10"/>
      <c r="VGF1" s="10"/>
      <c r="VGG1" s="10"/>
      <c r="VGH1" s="10"/>
      <c r="VGI1" s="10"/>
      <c r="VGJ1" s="10"/>
      <c r="VGK1" s="10"/>
      <c r="VGL1" s="10"/>
      <c r="VGM1" s="10"/>
      <c r="VGN1" s="10"/>
      <c r="VGO1" s="10"/>
      <c r="VGP1" s="10"/>
      <c r="VGQ1" s="10"/>
      <c r="VGR1" s="10"/>
      <c r="VGS1" s="10"/>
      <c r="VGT1" s="10"/>
      <c r="VGU1" s="10"/>
      <c r="VGV1" s="10"/>
      <c r="VGW1" s="10"/>
      <c r="VGX1" s="10"/>
      <c r="VGY1" s="10"/>
      <c r="VGZ1" s="10"/>
      <c r="VHA1" s="10"/>
      <c r="VHB1" s="10"/>
      <c r="VHC1" s="10"/>
      <c r="VHD1" s="10"/>
      <c r="VHE1" s="10"/>
      <c r="VHF1" s="10"/>
      <c r="VHG1" s="10"/>
      <c r="VHH1" s="10"/>
      <c r="VHI1" s="10"/>
      <c r="VHJ1" s="10"/>
      <c r="VHK1" s="10"/>
      <c r="VHL1" s="10"/>
      <c r="VHM1" s="10"/>
      <c r="VHN1" s="10"/>
      <c r="VHO1" s="10"/>
      <c r="VHP1" s="10"/>
      <c r="VHQ1" s="10"/>
      <c r="VHR1" s="10"/>
      <c r="VHS1" s="10"/>
      <c r="VHT1" s="10"/>
      <c r="VHU1" s="10"/>
      <c r="VHV1" s="10"/>
      <c r="VHW1" s="10"/>
      <c r="VHX1" s="10"/>
      <c r="VHY1" s="10"/>
      <c r="VHZ1" s="10"/>
      <c r="VIA1" s="10"/>
      <c r="VIB1" s="10"/>
      <c r="VIC1" s="10"/>
      <c r="VID1" s="10"/>
      <c r="VIE1" s="10"/>
      <c r="VIF1" s="10"/>
      <c r="VIG1" s="10"/>
      <c r="VIH1" s="10"/>
      <c r="VII1" s="10"/>
      <c r="VIJ1" s="10"/>
      <c r="VIK1" s="10"/>
      <c r="VIL1" s="10"/>
      <c r="VIM1" s="10"/>
      <c r="VIN1" s="10"/>
      <c r="VIO1" s="10"/>
      <c r="VIP1" s="10"/>
      <c r="VIQ1" s="10"/>
      <c r="VIR1" s="10"/>
      <c r="VIS1" s="10"/>
      <c r="VIT1" s="10"/>
      <c r="VIU1" s="10"/>
      <c r="VIV1" s="10"/>
      <c r="VIW1" s="10"/>
      <c r="VIX1" s="10"/>
      <c r="VIY1" s="10"/>
      <c r="VIZ1" s="10"/>
      <c r="VJA1" s="10"/>
      <c r="VJB1" s="10"/>
      <c r="VJC1" s="10"/>
      <c r="VJD1" s="10"/>
      <c r="VJE1" s="10"/>
      <c r="VJF1" s="10"/>
      <c r="VJG1" s="10"/>
      <c r="VJH1" s="10"/>
      <c r="VJI1" s="10"/>
      <c r="VJJ1" s="10"/>
      <c r="VJK1" s="10"/>
      <c r="VJL1" s="10"/>
      <c r="VJM1" s="10"/>
      <c r="VJN1" s="10"/>
      <c r="VJO1" s="10"/>
      <c r="VJP1" s="10"/>
      <c r="VJQ1" s="10"/>
      <c r="VJR1" s="10"/>
      <c r="VJS1" s="10"/>
      <c r="VJT1" s="10"/>
      <c r="VJU1" s="10"/>
      <c r="VJV1" s="10"/>
      <c r="VJW1" s="10"/>
      <c r="VJX1" s="10"/>
      <c r="VJY1" s="10"/>
      <c r="VJZ1" s="10"/>
      <c r="VKA1" s="10"/>
      <c r="VKB1" s="10"/>
      <c r="VKC1" s="10"/>
      <c r="VKD1" s="10"/>
      <c r="VKE1" s="10"/>
      <c r="VKF1" s="10"/>
      <c r="VKG1" s="10"/>
      <c r="VKH1" s="10"/>
      <c r="VKI1" s="10"/>
      <c r="VKJ1" s="10"/>
      <c r="VKK1" s="10"/>
      <c r="VKL1" s="10"/>
      <c r="VKM1" s="10"/>
      <c r="VKN1" s="10"/>
      <c r="VKO1" s="10"/>
      <c r="VKP1" s="10"/>
      <c r="VKQ1" s="10"/>
      <c r="VKR1" s="10"/>
      <c r="VKS1" s="10"/>
      <c r="VKT1" s="10"/>
      <c r="VKU1" s="10"/>
      <c r="VKV1" s="10"/>
      <c r="VKW1" s="10"/>
      <c r="VKX1" s="10"/>
      <c r="VKY1" s="10"/>
      <c r="VKZ1" s="10"/>
      <c r="VLA1" s="10"/>
      <c r="VLB1" s="10"/>
      <c r="VLC1" s="10"/>
      <c r="VLD1" s="10"/>
      <c r="VLE1" s="10"/>
      <c r="VLF1" s="10"/>
      <c r="VLG1" s="10"/>
      <c r="VLH1" s="10"/>
      <c r="VLI1" s="10"/>
      <c r="VLJ1" s="10"/>
      <c r="VLK1" s="10"/>
      <c r="VLL1" s="10"/>
      <c r="VLM1" s="10"/>
      <c r="VLN1" s="10"/>
      <c r="VLO1" s="10"/>
      <c r="VLP1" s="10"/>
      <c r="VLQ1" s="10"/>
      <c r="VLR1" s="10"/>
      <c r="VLS1" s="10"/>
      <c r="VLT1" s="10"/>
      <c r="VLU1" s="10"/>
      <c r="VLV1" s="10"/>
      <c r="VLW1" s="10"/>
      <c r="VLX1" s="10"/>
      <c r="VLY1" s="10"/>
      <c r="VLZ1" s="10"/>
      <c r="VMA1" s="10"/>
      <c r="VMB1" s="10"/>
      <c r="VMC1" s="10"/>
      <c r="VMD1" s="10"/>
      <c r="VME1" s="10"/>
      <c r="VMF1" s="10"/>
      <c r="VMG1" s="10"/>
      <c r="VMH1" s="10"/>
      <c r="VMI1" s="10"/>
      <c r="VMJ1" s="10"/>
      <c r="VMK1" s="10"/>
      <c r="VML1" s="10"/>
      <c r="VMM1" s="10"/>
      <c r="VMN1" s="10"/>
      <c r="VMO1" s="10"/>
      <c r="VMP1" s="10"/>
      <c r="VMQ1" s="10"/>
      <c r="VMR1" s="10"/>
      <c r="VMS1" s="10"/>
      <c r="VMT1" s="10"/>
      <c r="VMU1" s="10"/>
      <c r="VMV1" s="10"/>
      <c r="VMW1" s="10"/>
      <c r="VMX1" s="10"/>
      <c r="VMY1" s="10"/>
      <c r="VMZ1" s="10"/>
      <c r="VNA1" s="10"/>
      <c r="VNB1" s="10"/>
      <c r="VNC1" s="10"/>
      <c r="VND1" s="10"/>
      <c r="VNE1" s="10"/>
      <c r="VNF1" s="10"/>
      <c r="VNG1" s="10"/>
      <c r="VNH1" s="10"/>
      <c r="VNI1" s="10"/>
      <c r="VNJ1" s="10"/>
      <c r="VNK1" s="10"/>
      <c r="VNL1" s="10"/>
      <c r="VNM1" s="10"/>
      <c r="VNN1" s="10"/>
      <c r="VNO1" s="10"/>
      <c r="VNP1" s="10"/>
      <c r="VNQ1" s="10"/>
      <c r="VNR1" s="10"/>
      <c r="VNS1" s="10"/>
      <c r="VNT1" s="10"/>
      <c r="VNU1" s="10"/>
      <c r="VNV1" s="10"/>
      <c r="VNW1" s="10"/>
      <c r="VNX1" s="10"/>
      <c r="VNY1" s="10"/>
      <c r="VNZ1" s="10"/>
      <c r="VOA1" s="10"/>
      <c r="VOB1" s="10"/>
      <c r="VOC1" s="10"/>
      <c r="VOD1" s="10"/>
      <c r="VOE1" s="10"/>
      <c r="VOF1" s="10"/>
      <c r="VOG1" s="10"/>
      <c r="VOH1" s="10"/>
      <c r="VOI1" s="10"/>
      <c r="VOJ1" s="10"/>
      <c r="VOK1" s="10"/>
      <c r="VOL1" s="10"/>
      <c r="VOM1" s="10"/>
      <c r="VON1" s="10"/>
      <c r="VOO1" s="10"/>
      <c r="VOP1" s="10"/>
      <c r="VOQ1" s="10"/>
      <c r="VOR1" s="10"/>
      <c r="VOS1" s="10"/>
      <c r="VOT1" s="10"/>
      <c r="VOU1" s="10"/>
      <c r="VOV1" s="10"/>
      <c r="VOW1" s="10"/>
      <c r="VOX1" s="10"/>
      <c r="VOY1" s="10"/>
      <c r="VOZ1" s="10"/>
      <c r="VPA1" s="10"/>
      <c r="VPB1" s="10"/>
      <c r="VPC1" s="10"/>
      <c r="VPD1" s="10"/>
      <c r="VPE1" s="10"/>
      <c r="VPF1" s="10"/>
      <c r="VPG1" s="10"/>
      <c r="VPH1" s="10"/>
      <c r="VPI1" s="10"/>
      <c r="VPJ1" s="10"/>
      <c r="VPK1" s="10"/>
      <c r="VPL1" s="10"/>
      <c r="VPM1" s="10"/>
      <c r="VPN1" s="10"/>
      <c r="VPO1" s="10"/>
      <c r="VPP1" s="10"/>
      <c r="VPQ1" s="10"/>
      <c r="VPR1" s="10"/>
      <c r="VPS1" s="10"/>
      <c r="VPT1" s="10"/>
      <c r="VPU1" s="10"/>
      <c r="VPV1" s="10"/>
      <c r="VPW1" s="10"/>
      <c r="VPX1" s="10"/>
      <c r="VPY1" s="10"/>
      <c r="VPZ1" s="10"/>
      <c r="VQA1" s="10"/>
      <c r="VQB1" s="10"/>
      <c r="VQC1" s="10"/>
      <c r="VQD1" s="10"/>
      <c r="VQE1" s="10"/>
      <c r="VQF1" s="10"/>
      <c r="VQG1" s="10"/>
      <c r="VQH1" s="10"/>
      <c r="VQI1" s="10"/>
      <c r="VQJ1" s="10"/>
      <c r="VQK1" s="10"/>
      <c r="VQL1" s="10"/>
      <c r="VQM1" s="10"/>
      <c r="VQN1" s="10"/>
      <c r="VQO1" s="10"/>
      <c r="VQP1" s="10"/>
      <c r="VQQ1" s="10"/>
      <c r="VQR1" s="10"/>
      <c r="VQS1" s="10"/>
      <c r="VQT1" s="10"/>
      <c r="VQU1" s="10"/>
      <c r="VQV1" s="10"/>
      <c r="VQW1" s="10"/>
      <c r="VQX1" s="10"/>
      <c r="VQY1" s="10"/>
      <c r="VQZ1" s="10"/>
      <c r="VRA1" s="10"/>
      <c r="VRB1" s="10"/>
      <c r="VRC1" s="10"/>
      <c r="VRD1" s="10"/>
      <c r="VRE1" s="10"/>
      <c r="VRF1" s="10"/>
      <c r="VRG1" s="10"/>
      <c r="VRH1" s="10"/>
      <c r="VRI1" s="10"/>
      <c r="VRJ1" s="10"/>
      <c r="VRK1" s="10"/>
      <c r="VRL1" s="10"/>
      <c r="VRM1" s="10"/>
      <c r="VRN1" s="10"/>
      <c r="VRO1" s="10"/>
      <c r="VRP1" s="10"/>
      <c r="VRQ1" s="10"/>
      <c r="VRR1" s="10"/>
      <c r="VRS1" s="10"/>
      <c r="VRT1" s="10"/>
      <c r="VRU1" s="10"/>
      <c r="VRV1" s="10"/>
      <c r="VRW1" s="10"/>
      <c r="VRX1" s="10"/>
      <c r="VRY1" s="10"/>
      <c r="VRZ1" s="10"/>
      <c r="VSA1" s="10"/>
      <c r="VSB1" s="10"/>
      <c r="VSC1" s="10"/>
      <c r="VSD1" s="10"/>
      <c r="VSE1" s="10"/>
      <c r="VSF1" s="10"/>
      <c r="VSG1" s="10"/>
      <c r="VSH1" s="10"/>
      <c r="VSI1" s="10"/>
      <c r="VSJ1" s="10"/>
      <c r="VSK1" s="10"/>
      <c r="VSL1" s="10"/>
      <c r="VSM1" s="10"/>
      <c r="VSN1" s="10"/>
      <c r="VSO1" s="10"/>
      <c r="VSP1" s="10"/>
      <c r="VSQ1" s="10"/>
      <c r="VSR1" s="10"/>
      <c r="VSS1" s="10"/>
      <c r="VST1" s="10"/>
      <c r="VSU1" s="10"/>
      <c r="VSV1" s="10"/>
      <c r="VSW1" s="10"/>
      <c r="VSX1" s="10"/>
      <c r="VSY1" s="10"/>
      <c r="VSZ1" s="10"/>
      <c r="VTA1" s="10"/>
      <c r="VTB1" s="10"/>
      <c r="VTC1" s="10"/>
      <c r="VTD1" s="10"/>
      <c r="VTE1" s="10"/>
      <c r="VTF1" s="10"/>
      <c r="VTG1" s="10"/>
      <c r="VTH1" s="10"/>
      <c r="VTI1" s="10"/>
      <c r="VTJ1" s="10"/>
      <c r="VTK1" s="10"/>
      <c r="VTL1" s="10"/>
      <c r="VTM1" s="10"/>
      <c r="VTN1" s="10"/>
      <c r="VTO1" s="10"/>
      <c r="VTP1" s="10"/>
      <c r="VTQ1" s="10"/>
      <c r="VTR1" s="10"/>
      <c r="VTS1" s="10"/>
      <c r="VTT1" s="10"/>
      <c r="VTU1" s="10"/>
      <c r="VTV1" s="10"/>
      <c r="VTW1" s="10"/>
      <c r="VTX1" s="10"/>
      <c r="VTY1" s="10"/>
      <c r="VTZ1" s="10"/>
      <c r="VUA1" s="10"/>
      <c r="VUB1" s="10"/>
      <c r="VUC1" s="10"/>
      <c r="VUD1" s="10"/>
      <c r="VUE1" s="10"/>
      <c r="VUF1" s="10"/>
      <c r="VUG1" s="10"/>
      <c r="VUH1" s="10"/>
      <c r="VUI1" s="10"/>
      <c r="VUJ1" s="10"/>
      <c r="VUK1" s="10"/>
      <c r="VUL1" s="10"/>
      <c r="VUM1" s="10"/>
      <c r="VUN1" s="10"/>
      <c r="VUO1" s="10"/>
      <c r="VUP1" s="10"/>
      <c r="VUQ1" s="10"/>
      <c r="VUR1" s="10"/>
      <c r="VUS1" s="10"/>
      <c r="VUT1" s="10"/>
      <c r="VUU1" s="10"/>
      <c r="VUV1" s="10"/>
      <c r="VUW1" s="10"/>
      <c r="VUX1" s="10"/>
      <c r="VUY1" s="10"/>
      <c r="VUZ1" s="10"/>
      <c r="VVA1" s="10"/>
      <c r="VVB1" s="10"/>
      <c r="VVC1" s="10"/>
      <c r="VVD1" s="10"/>
      <c r="VVE1" s="10"/>
      <c r="VVF1" s="10"/>
      <c r="VVG1" s="10"/>
      <c r="VVH1" s="10"/>
      <c r="VVI1" s="10"/>
      <c r="VVJ1" s="10"/>
      <c r="VVK1" s="10"/>
      <c r="VVL1" s="10"/>
      <c r="VVM1" s="10"/>
      <c r="VVN1" s="10"/>
      <c r="VVO1" s="10"/>
      <c r="VVP1" s="10"/>
      <c r="VVQ1" s="10"/>
      <c r="VVR1" s="10"/>
      <c r="VVS1" s="10"/>
      <c r="VVT1" s="10"/>
      <c r="VVU1" s="10"/>
      <c r="VVV1" s="10"/>
      <c r="VVW1" s="10"/>
      <c r="VVX1" s="10"/>
      <c r="VVY1" s="10"/>
      <c r="VVZ1" s="10"/>
      <c r="VWA1" s="10"/>
      <c r="VWB1" s="10"/>
      <c r="VWC1" s="10"/>
      <c r="VWD1" s="10"/>
      <c r="VWE1" s="10"/>
      <c r="VWF1" s="10"/>
      <c r="VWG1" s="10"/>
      <c r="VWH1" s="10"/>
      <c r="VWI1" s="10"/>
      <c r="VWJ1" s="10"/>
      <c r="VWK1" s="10"/>
      <c r="VWL1" s="10"/>
      <c r="VWM1" s="10"/>
      <c r="VWN1" s="10"/>
      <c r="VWO1" s="10"/>
      <c r="VWP1" s="10"/>
      <c r="VWQ1" s="10"/>
      <c r="VWR1" s="10"/>
      <c r="VWS1" s="10"/>
      <c r="VWT1" s="10"/>
      <c r="VWU1" s="10"/>
      <c r="VWV1" s="10"/>
      <c r="VWW1" s="10"/>
      <c r="VWX1" s="10"/>
      <c r="VWY1" s="10"/>
      <c r="VWZ1" s="10"/>
      <c r="VXA1" s="10"/>
      <c r="VXB1" s="10"/>
      <c r="VXC1" s="10"/>
      <c r="VXD1" s="10"/>
      <c r="VXE1" s="10"/>
      <c r="VXF1" s="10"/>
      <c r="VXG1" s="10"/>
      <c r="VXH1" s="10"/>
      <c r="VXI1" s="10"/>
      <c r="VXJ1" s="10"/>
      <c r="VXK1" s="10"/>
      <c r="VXL1" s="10"/>
      <c r="VXM1" s="10"/>
      <c r="VXN1" s="10"/>
      <c r="VXO1" s="10"/>
      <c r="VXP1" s="10"/>
      <c r="VXQ1" s="10"/>
      <c r="VXR1" s="10"/>
      <c r="VXS1" s="10"/>
      <c r="VXT1" s="10"/>
      <c r="VXU1" s="10"/>
      <c r="VXV1" s="10"/>
      <c r="VXW1" s="10"/>
      <c r="VXX1" s="10"/>
      <c r="VXY1" s="10"/>
      <c r="VXZ1" s="10"/>
      <c r="VYA1" s="10"/>
      <c r="VYB1" s="10"/>
      <c r="VYC1" s="10"/>
      <c r="VYD1" s="10"/>
      <c r="VYE1" s="10"/>
      <c r="VYF1" s="10"/>
      <c r="VYG1" s="10"/>
      <c r="VYH1" s="10"/>
      <c r="VYI1" s="10"/>
      <c r="VYJ1" s="10"/>
      <c r="VYK1" s="10"/>
      <c r="VYL1" s="10"/>
      <c r="VYM1" s="10"/>
      <c r="VYN1" s="10"/>
      <c r="VYO1" s="10"/>
      <c r="VYP1" s="10"/>
      <c r="VYQ1" s="10"/>
      <c r="VYR1" s="10"/>
      <c r="VYS1" s="10"/>
      <c r="VYT1" s="10"/>
      <c r="VYU1" s="10"/>
      <c r="VYV1" s="10"/>
      <c r="VYW1" s="10"/>
      <c r="VYX1" s="10"/>
      <c r="VYY1" s="10"/>
      <c r="VYZ1" s="10"/>
      <c r="VZA1" s="10"/>
      <c r="VZB1" s="10"/>
      <c r="VZC1" s="10"/>
      <c r="VZD1" s="10"/>
      <c r="VZE1" s="10"/>
      <c r="VZF1" s="10"/>
      <c r="VZG1" s="10"/>
      <c r="VZH1" s="10"/>
      <c r="VZI1" s="10"/>
      <c r="VZJ1" s="10"/>
      <c r="VZK1" s="10"/>
      <c r="VZL1" s="10"/>
      <c r="VZM1" s="10"/>
      <c r="VZN1" s="10"/>
      <c r="VZO1" s="10"/>
      <c r="VZP1" s="10"/>
      <c r="VZQ1" s="10"/>
      <c r="VZR1" s="10"/>
      <c r="VZS1" s="10"/>
      <c r="VZT1" s="10"/>
      <c r="VZU1" s="10"/>
      <c r="VZV1" s="10"/>
      <c r="VZW1" s="10"/>
      <c r="VZX1" s="10"/>
      <c r="VZY1" s="10"/>
      <c r="VZZ1" s="10"/>
      <c r="WAA1" s="10"/>
      <c r="WAB1" s="10"/>
      <c r="WAC1" s="10"/>
      <c r="WAD1" s="10"/>
      <c r="WAE1" s="10"/>
      <c r="WAF1" s="10"/>
      <c r="WAG1" s="10"/>
      <c r="WAH1" s="10"/>
      <c r="WAI1" s="10"/>
      <c r="WAJ1" s="10"/>
      <c r="WAK1" s="10"/>
      <c r="WAL1" s="10"/>
      <c r="WAM1" s="10"/>
      <c r="WAN1" s="10"/>
      <c r="WAO1" s="10"/>
      <c r="WAP1" s="10"/>
      <c r="WAQ1" s="10"/>
      <c r="WAR1" s="10"/>
      <c r="WAS1" s="10"/>
      <c r="WAT1" s="10"/>
      <c r="WAU1" s="10"/>
      <c r="WAV1" s="10"/>
      <c r="WAW1" s="10"/>
      <c r="WAX1" s="10"/>
      <c r="WAY1" s="10"/>
      <c r="WAZ1" s="10"/>
      <c r="WBA1" s="10"/>
      <c r="WBB1" s="10"/>
      <c r="WBC1" s="10"/>
      <c r="WBD1" s="10"/>
      <c r="WBE1" s="10"/>
      <c r="WBF1" s="10"/>
      <c r="WBG1" s="10"/>
      <c r="WBH1" s="10"/>
      <c r="WBI1" s="10"/>
      <c r="WBJ1" s="10"/>
      <c r="WBK1" s="10"/>
      <c r="WBL1" s="10"/>
      <c r="WBM1" s="10"/>
      <c r="WBN1" s="10"/>
      <c r="WBO1" s="10"/>
      <c r="WBP1" s="10"/>
      <c r="WBQ1" s="10"/>
      <c r="WBR1" s="10"/>
      <c r="WBS1" s="10"/>
      <c r="WBT1" s="10"/>
      <c r="WBU1" s="10"/>
      <c r="WBV1" s="10"/>
      <c r="WBW1" s="10"/>
      <c r="WBX1" s="10"/>
      <c r="WBY1" s="10"/>
      <c r="WBZ1" s="10"/>
      <c r="WCA1" s="10"/>
      <c r="WCB1" s="10"/>
      <c r="WCC1" s="10"/>
      <c r="WCD1" s="10"/>
      <c r="WCE1" s="10"/>
      <c r="WCF1" s="10"/>
      <c r="WCG1" s="10"/>
      <c r="WCH1" s="10"/>
      <c r="WCI1" s="10"/>
      <c r="WCJ1" s="10"/>
      <c r="WCK1" s="10"/>
      <c r="WCL1" s="10"/>
      <c r="WCM1" s="10"/>
      <c r="WCN1" s="10"/>
      <c r="WCO1" s="10"/>
      <c r="WCP1" s="10"/>
      <c r="WCQ1" s="10"/>
      <c r="WCR1" s="10"/>
      <c r="WCS1" s="10"/>
      <c r="WCT1" s="10"/>
      <c r="WCU1" s="10"/>
      <c r="WCV1" s="10"/>
      <c r="WCW1" s="10"/>
      <c r="WCX1" s="10"/>
      <c r="WCY1" s="10"/>
      <c r="WCZ1" s="10"/>
      <c r="WDA1" s="10"/>
      <c r="WDB1" s="10"/>
      <c r="WDC1" s="10"/>
      <c r="WDD1" s="10"/>
      <c r="WDE1" s="10"/>
      <c r="WDF1" s="10"/>
      <c r="WDG1" s="10"/>
      <c r="WDH1" s="10"/>
      <c r="WDI1" s="10"/>
      <c r="WDJ1" s="10"/>
      <c r="WDK1" s="10"/>
      <c r="WDL1" s="10"/>
      <c r="WDM1" s="10"/>
      <c r="WDN1" s="10"/>
      <c r="WDO1" s="10"/>
      <c r="WDP1" s="10"/>
      <c r="WDQ1" s="10"/>
      <c r="WDR1" s="10"/>
      <c r="WDS1" s="10"/>
      <c r="WDT1" s="10"/>
      <c r="WDU1" s="10"/>
      <c r="WDV1" s="10"/>
      <c r="WDW1" s="10"/>
      <c r="WDX1" s="10"/>
      <c r="WDY1" s="10"/>
      <c r="WDZ1" s="10"/>
      <c r="WEA1" s="10"/>
      <c r="WEB1" s="10"/>
      <c r="WEC1" s="10"/>
      <c r="WED1" s="10"/>
      <c r="WEE1" s="10"/>
      <c r="WEF1" s="10"/>
      <c r="WEG1" s="10"/>
      <c r="WEH1" s="10"/>
      <c r="WEI1" s="10"/>
      <c r="WEJ1" s="10"/>
      <c r="WEK1" s="10"/>
      <c r="WEL1" s="10"/>
      <c r="WEM1" s="10"/>
      <c r="WEN1" s="10"/>
      <c r="WEO1" s="10"/>
      <c r="WEP1" s="10"/>
      <c r="WEQ1" s="10"/>
      <c r="WER1" s="10"/>
      <c r="WES1" s="10"/>
      <c r="WET1" s="10"/>
      <c r="WEU1" s="10"/>
      <c r="WEV1" s="10"/>
      <c r="WEW1" s="10"/>
      <c r="WEX1" s="10"/>
      <c r="WEY1" s="10"/>
      <c r="WEZ1" s="10"/>
      <c r="WFA1" s="10"/>
      <c r="WFB1" s="10"/>
      <c r="WFC1" s="10"/>
      <c r="WFD1" s="10"/>
      <c r="WFE1" s="10"/>
      <c r="WFF1" s="10"/>
      <c r="WFG1" s="10"/>
      <c r="WFH1" s="10"/>
      <c r="WFI1" s="10"/>
      <c r="WFJ1" s="10"/>
      <c r="WFK1" s="10"/>
      <c r="WFL1" s="10"/>
      <c r="WFM1" s="10"/>
      <c r="WFN1" s="10"/>
      <c r="WFO1" s="10"/>
      <c r="WFP1" s="10"/>
      <c r="WFQ1" s="10"/>
      <c r="WFR1" s="10"/>
      <c r="WFS1" s="10"/>
      <c r="WFT1" s="10"/>
      <c r="WFU1" s="10"/>
      <c r="WFV1" s="10"/>
      <c r="WFW1" s="10"/>
      <c r="WFX1" s="10"/>
      <c r="WFY1" s="10"/>
      <c r="WFZ1" s="10"/>
      <c r="WGA1" s="10"/>
      <c r="WGB1" s="10"/>
      <c r="WGC1" s="10"/>
      <c r="WGD1" s="10"/>
      <c r="WGE1" s="10"/>
      <c r="WGF1" s="10"/>
      <c r="WGG1" s="10"/>
      <c r="WGH1" s="10"/>
      <c r="WGI1" s="10"/>
      <c r="WGJ1" s="10"/>
      <c r="WGK1" s="10"/>
      <c r="WGL1" s="10"/>
      <c r="WGM1" s="10"/>
      <c r="WGN1" s="10"/>
      <c r="WGO1" s="10"/>
      <c r="WGP1" s="10"/>
      <c r="WGQ1" s="10"/>
      <c r="WGR1" s="10"/>
      <c r="WGS1" s="10"/>
      <c r="WGT1" s="10"/>
      <c r="WGU1" s="10"/>
      <c r="WGV1" s="10"/>
      <c r="WGW1" s="10"/>
      <c r="WGX1" s="10"/>
      <c r="WGY1" s="10"/>
      <c r="WGZ1" s="10"/>
      <c r="WHA1" s="10"/>
      <c r="WHB1" s="10"/>
      <c r="WHC1" s="10"/>
      <c r="WHD1" s="10"/>
      <c r="WHE1" s="10"/>
      <c r="WHF1" s="10"/>
      <c r="WHG1" s="10"/>
      <c r="WHH1" s="10"/>
      <c r="WHI1" s="10"/>
      <c r="WHJ1" s="10"/>
      <c r="WHK1" s="10"/>
      <c r="WHL1" s="10"/>
      <c r="WHM1" s="10"/>
      <c r="WHN1" s="10"/>
      <c r="WHO1" s="10"/>
      <c r="WHP1" s="10"/>
      <c r="WHQ1" s="10"/>
      <c r="WHR1" s="10"/>
      <c r="WHS1" s="10"/>
      <c r="WHT1" s="10"/>
      <c r="WHU1" s="10"/>
      <c r="WHV1" s="10"/>
      <c r="WHW1" s="10"/>
      <c r="WHX1" s="10"/>
      <c r="WHY1" s="10"/>
      <c r="WHZ1" s="10"/>
      <c r="WIA1" s="10"/>
      <c r="WIB1" s="10"/>
      <c r="WIC1" s="10"/>
      <c r="WID1" s="10"/>
      <c r="WIE1" s="10"/>
      <c r="WIF1" s="10"/>
      <c r="WIG1" s="10"/>
      <c r="WIH1" s="10"/>
      <c r="WII1" s="10"/>
      <c r="WIJ1" s="10"/>
      <c r="WIK1" s="10"/>
      <c r="WIL1" s="10"/>
      <c r="WIM1" s="10"/>
      <c r="WIN1" s="10"/>
      <c r="WIO1" s="10"/>
      <c r="WIP1" s="10"/>
      <c r="WIQ1" s="10"/>
      <c r="WIR1" s="10"/>
      <c r="WIS1" s="10"/>
      <c r="WIT1" s="10"/>
      <c r="WIU1" s="10"/>
      <c r="WIV1" s="10"/>
      <c r="WIW1" s="10"/>
      <c r="WIX1" s="10"/>
      <c r="WIY1" s="10"/>
      <c r="WIZ1" s="10"/>
      <c r="WJA1" s="10"/>
      <c r="WJB1" s="10"/>
      <c r="WJC1" s="10"/>
      <c r="WJD1" s="10"/>
      <c r="WJE1" s="10"/>
      <c r="WJF1" s="10"/>
      <c r="WJG1" s="10"/>
      <c r="WJH1" s="10"/>
      <c r="WJI1" s="10"/>
      <c r="WJJ1" s="10"/>
      <c r="WJK1" s="10"/>
      <c r="WJL1" s="10"/>
      <c r="WJM1" s="10"/>
      <c r="WJN1" s="10"/>
      <c r="WJO1" s="10"/>
      <c r="WJP1" s="10"/>
      <c r="WJQ1" s="10"/>
      <c r="WJR1" s="10"/>
      <c r="WJS1" s="10"/>
      <c r="WJT1" s="10"/>
      <c r="WJU1" s="10"/>
      <c r="WJV1" s="10"/>
      <c r="WJW1" s="10"/>
      <c r="WJX1" s="10"/>
      <c r="WJY1" s="10"/>
      <c r="WJZ1" s="10"/>
      <c r="WKA1" s="10"/>
      <c r="WKB1" s="10"/>
      <c r="WKC1" s="10"/>
      <c r="WKD1" s="10"/>
      <c r="WKE1" s="10"/>
      <c r="WKF1" s="10"/>
      <c r="WKG1" s="10"/>
      <c r="WKH1" s="10"/>
      <c r="WKI1" s="10"/>
      <c r="WKJ1" s="10"/>
      <c r="WKK1" s="10"/>
      <c r="WKL1" s="10"/>
      <c r="WKM1" s="10"/>
      <c r="WKN1" s="10"/>
      <c r="WKO1" s="10"/>
      <c r="WKP1" s="10"/>
      <c r="WKQ1" s="10"/>
      <c r="WKR1" s="10"/>
      <c r="WKS1" s="10"/>
      <c r="WKT1" s="10"/>
      <c r="WKU1" s="10"/>
      <c r="WKV1" s="10"/>
      <c r="WKW1" s="10"/>
      <c r="WKX1" s="10"/>
      <c r="WKY1" s="10"/>
      <c r="WKZ1" s="10"/>
      <c r="WLA1" s="10"/>
      <c r="WLB1" s="10"/>
      <c r="WLC1" s="10"/>
      <c r="WLD1" s="10"/>
      <c r="WLE1" s="10"/>
      <c r="WLF1" s="10"/>
      <c r="WLG1" s="10"/>
      <c r="WLH1" s="10"/>
      <c r="WLI1" s="10"/>
      <c r="WLJ1" s="10"/>
      <c r="WLK1" s="10"/>
      <c r="WLL1" s="10"/>
      <c r="WLM1" s="10"/>
      <c r="WLN1" s="10"/>
      <c r="WLO1" s="10"/>
      <c r="WLP1" s="10"/>
      <c r="WLQ1" s="10"/>
      <c r="WLR1" s="10"/>
      <c r="WLS1" s="10"/>
      <c r="WLT1" s="10"/>
      <c r="WLU1" s="10"/>
      <c r="WLV1" s="10"/>
      <c r="WLW1" s="10"/>
      <c r="WLX1" s="10"/>
      <c r="WLY1" s="10"/>
      <c r="WLZ1" s="10"/>
      <c r="WMA1" s="10"/>
      <c r="WMB1" s="10"/>
      <c r="WMC1" s="10"/>
      <c r="WMD1" s="10"/>
      <c r="WME1" s="10"/>
      <c r="WMF1" s="10"/>
      <c r="WMG1" s="10"/>
      <c r="WMH1" s="10"/>
      <c r="WMI1" s="10"/>
      <c r="WMJ1" s="10"/>
      <c r="WMK1" s="10"/>
      <c r="WML1" s="10"/>
      <c r="WMM1" s="10"/>
      <c r="WMN1" s="10"/>
      <c r="WMO1" s="10"/>
      <c r="WMP1" s="10"/>
      <c r="WMQ1" s="10"/>
      <c r="WMR1" s="10"/>
      <c r="WMS1" s="10"/>
      <c r="WMT1" s="10"/>
      <c r="WMU1" s="10"/>
      <c r="WMV1" s="10"/>
      <c r="WMW1" s="10"/>
      <c r="WMX1" s="10"/>
      <c r="WMY1" s="10"/>
      <c r="WMZ1" s="10"/>
      <c r="WNA1" s="10"/>
      <c r="WNB1" s="10"/>
      <c r="WNC1" s="10"/>
      <c r="WND1" s="10"/>
      <c r="WNE1" s="10"/>
      <c r="WNF1" s="10"/>
      <c r="WNG1" s="10"/>
      <c r="WNH1" s="10"/>
      <c r="WNI1" s="10"/>
      <c r="WNJ1" s="10"/>
      <c r="WNK1" s="10"/>
      <c r="WNL1" s="10"/>
      <c r="WNM1" s="10"/>
      <c r="WNN1" s="10"/>
      <c r="WNO1" s="10"/>
      <c r="WNP1" s="10"/>
      <c r="WNQ1" s="10"/>
      <c r="WNR1" s="10"/>
      <c r="WNS1" s="10"/>
      <c r="WNT1" s="10"/>
      <c r="WNU1" s="10"/>
      <c r="WNV1" s="10"/>
      <c r="WNW1" s="10"/>
      <c r="WNX1" s="10"/>
      <c r="WNY1" s="10"/>
      <c r="WNZ1" s="10"/>
      <c r="WOA1" s="10"/>
      <c r="WOB1" s="10"/>
      <c r="WOC1" s="10"/>
      <c r="WOD1" s="10"/>
      <c r="WOE1" s="10"/>
      <c r="WOF1" s="10"/>
      <c r="WOG1" s="10"/>
      <c r="WOH1" s="10"/>
      <c r="WOI1" s="10"/>
      <c r="WOJ1" s="10"/>
      <c r="WOK1" s="10"/>
      <c r="WOL1" s="10"/>
      <c r="WOM1" s="10"/>
      <c r="WON1" s="10"/>
      <c r="WOO1" s="10"/>
      <c r="WOP1" s="10"/>
      <c r="WOQ1" s="10"/>
      <c r="WOR1" s="10"/>
      <c r="WOS1" s="10"/>
      <c r="WOT1" s="10"/>
      <c r="WOU1" s="10"/>
      <c r="WOV1" s="10"/>
      <c r="WOW1" s="10"/>
      <c r="WOX1" s="10"/>
      <c r="WOY1" s="10"/>
      <c r="WOZ1" s="10"/>
      <c r="WPA1" s="10"/>
      <c r="WPB1" s="10"/>
      <c r="WPC1" s="10"/>
      <c r="WPD1" s="10"/>
      <c r="WPE1" s="10"/>
      <c r="WPF1" s="10"/>
      <c r="WPG1" s="10"/>
      <c r="WPH1" s="10"/>
      <c r="WPI1" s="10"/>
      <c r="WPJ1" s="10"/>
      <c r="WPK1" s="10"/>
      <c r="WPL1" s="10"/>
      <c r="WPM1" s="10"/>
      <c r="WPN1" s="10"/>
      <c r="WPO1" s="10"/>
      <c r="WPP1" s="10"/>
      <c r="WPQ1" s="10"/>
      <c r="WPR1" s="10"/>
      <c r="WPS1" s="10"/>
      <c r="WPT1" s="10"/>
      <c r="WPU1" s="10"/>
      <c r="WPV1" s="10"/>
      <c r="WPW1" s="10"/>
      <c r="WPX1" s="10"/>
      <c r="WPY1" s="10"/>
      <c r="WPZ1" s="10"/>
      <c r="WQA1" s="10"/>
      <c r="WQB1" s="10"/>
      <c r="WQC1" s="10"/>
      <c r="WQD1" s="10"/>
      <c r="WQE1" s="10"/>
      <c r="WQF1" s="10"/>
      <c r="WQG1" s="10"/>
      <c r="WQH1" s="10"/>
      <c r="WQI1" s="10"/>
      <c r="WQJ1" s="10"/>
      <c r="WQK1" s="10"/>
      <c r="WQL1" s="10"/>
      <c r="WQM1" s="10"/>
      <c r="WQN1" s="10"/>
      <c r="WQO1" s="10"/>
      <c r="WQP1" s="10"/>
      <c r="WQQ1" s="10"/>
      <c r="WQR1" s="10"/>
      <c r="WQS1" s="10"/>
      <c r="WQT1" s="10"/>
      <c r="WQU1" s="10"/>
      <c r="WQV1" s="10"/>
      <c r="WQW1" s="10"/>
      <c r="WQX1" s="10"/>
      <c r="WQY1" s="10"/>
      <c r="WQZ1" s="10"/>
      <c r="WRA1" s="10"/>
      <c r="WRB1" s="10"/>
      <c r="WRC1" s="10"/>
      <c r="WRD1" s="10"/>
      <c r="WRE1" s="10"/>
      <c r="WRF1" s="10"/>
      <c r="WRG1" s="10"/>
      <c r="WRH1" s="10"/>
      <c r="WRI1" s="10"/>
      <c r="WRJ1" s="10"/>
      <c r="WRK1" s="10"/>
      <c r="WRL1" s="10"/>
      <c r="WRM1" s="10"/>
      <c r="WRN1" s="10"/>
      <c r="WRO1" s="10"/>
      <c r="WRP1" s="10"/>
      <c r="WRQ1" s="10"/>
      <c r="WRR1" s="10"/>
      <c r="WRS1" s="10"/>
      <c r="WRT1" s="10"/>
      <c r="WRU1" s="10"/>
      <c r="WRV1" s="10"/>
      <c r="WRW1" s="10"/>
      <c r="WRX1" s="10"/>
      <c r="WRY1" s="10"/>
      <c r="WRZ1" s="10"/>
      <c r="WSA1" s="10"/>
      <c r="WSB1" s="10"/>
      <c r="WSC1" s="10"/>
      <c r="WSD1" s="10"/>
      <c r="WSE1" s="10"/>
      <c r="WSF1" s="10"/>
      <c r="WSG1" s="10"/>
      <c r="WSH1" s="10"/>
      <c r="WSI1" s="10"/>
      <c r="WSJ1" s="10"/>
      <c r="WSK1" s="10"/>
      <c r="WSL1" s="10"/>
      <c r="WSM1" s="10"/>
      <c r="WSN1" s="10"/>
      <c r="WSO1" s="10"/>
      <c r="WSP1" s="10"/>
      <c r="WSQ1" s="10"/>
      <c r="WSR1" s="10"/>
      <c r="WSS1" s="10"/>
      <c r="WST1" s="10"/>
      <c r="WSU1" s="10"/>
      <c r="WSV1" s="10"/>
      <c r="WSW1" s="10"/>
      <c r="WSX1" s="10"/>
      <c r="WSY1" s="10"/>
      <c r="WSZ1" s="10"/>
      <c r="WTA1" s="10"/>
      <c r="WTB1" s="10"/>
      <c r="WTC1" s="10"/>
      <c r="WTD1" s="10"/>
      <c r="WTE1" s="10"/>
      <c r="WTF1" s="10"/>
      <c r="WTG1" s="10"/>
      <c r="WTH1" s="10"/>
      <c r="WTI1" s="10"/>
      <c r="WTJ1" s="10"/>
      <c r="WTK1" s="10"/>
      <c r="WTL1" s="10"/>
      <c r="WTM1" s="10"/>
      <c r="WTN1" s="10"/>
      <c r="WTO1" s="10"/>
      <c r="WTP1" s="10"/>
      <c r="WTQ1" s="10"/>
      <c r="WTR1" s="10"/>
      <c r="WTS1" s="10"/>
      <c r="WTT1" s="10"/>
      <c r="WTU1" s="10"/>
      <c r="WTV1" s="10"/>
      <c r="WTW1" s="10"/>
      <c r="WTX1" s="10"/>
      <c r="WTY1" s="10"/>
      <c r="WTZ1" s="10"/>
      <c r="WUA1" s="10"/>
      <c r="WUB1" s="10"/>
      <c r="WUC1" s="10"/>
      <c r="WUD1" s="10"/>
      <c r="WUE1" s="10"/>
      <c r="WUF1" s="10"/>
      <c r="WUG1" s="10"/>
      <c r="WUH1" s="10"/>
      <c r="WUI1" s="10"/>
      <c r="WUJ1" s="10"/>
      <c r="WUK1" s="10"/>
      <c r="WUL1" s="10"/>
      <c r="WUM1" s="10"/>
      <c r="WUN1" s="10"/>
      <c r="WUO1" s="10"/>
      <c r="WUP1" s="10"/>
      <c r="WUQ1" s="10"/>
      <c r="WUR1" s="10"/>
      <c r="WUS1" s="10"/>
      <c r="WUT1" s="10"/>
      <c r="WUU1" s="10"/>
      <c r="WUV1" s="10"/>
      <c r="WUW1" s="10"/>
      <c r="WUX1" s="10"/>
      <c r="WUY1" s="10"/>
      <c r="WUZ1" s="10"/>
      <c r="WVA1" s="10"/>
      <c r="WVB1" s="10"/>
      <c r="WVC1" s="10"/>
      <c r="WVD1" s="10"/>
      <c r="WVE1" s="10"/>
      <c r="WVF1" s="10"/>
      <c r="WVG1" s="10"/>
      <c r="WVH1" s="10"/>
      <c r="WVI1" s="10"/>
      <c r="WVJ1" s="10"/>
      <c r="WVK1" s="10"/>
      <c r="WVL1" s="10"/>
      <c r="WVM1" s="10"/>
      <c r="WVN1" s="10"/>
      <c r="WVO1" s="10"/>
      <c r="WVP1" s="10"/>
      <c r="WVQ1" s="10"/>
      <c r="WVR1" s="10"/>
      <c r="WVS1" s="10"/>
      <c r="WVT1" s="10"/>
      <c r="WVU1" s="10"/>
      <c r="WVV1" s="10"/>
      <c r="WVW1" s="10"/>
      <c r="WVX1" s="10"/>
      <c r="WVY1" s="10"/>
      <c r="WVZ1" s="10"/>
      <c r="WWA1" s="10"/>
      <c r="WWB1" s="10"/>
      <c r="WWC1" s="10"/>
      <c r="WWD1" s="10"/>
      <c r="WWE1" s="10"/>
      <c r="WWF1" s="10"/>
      <c r="WWG1" s="10"/>
      <c r="WWH1" s="10"/>
      <c r="WWI1" s="10"/>
      <c r="WWJ1" s="10"/>
      <c r="WWK1" s="10"/>
      <c r="WWL1" s="10"/>
      <c r="WWM1" s="10"/>
      <c r="WWN1" s="10"/>
      <c r="WWO1" s="10"/>
      <c r="WWP1" s="10"/>
      <c r="WWQ1" s="10"/>
      <c r="WWR1" s="10"/>
      <c r="WWS1" s="10"/>
      <c r="WWT1" s="10"/>
      <c r="WWU1" s="10"/>
      <c r="WWV1" s="10"/>
      <c r="WWW1" s="10"/>
      <c r="WWX1" s="10"/>
      <c r="WWY1" s="10"/>
      <c r="WWZ1" s="10"/>
      <c r="WXA1" s="10"/>
      <c r="WXB1" s="10"/>
      <c r="WXC1" s="10"/>
      <c r="WXD1" s="10"/>
      <c r="WXE1" s="10"/>
      <c r="WXF1" s="10"/>
      <c r="WXG1" s="10"/>
      <c r="WXH1" s="10"/>
      <c r="WXI1" s="10"/>
      <c r="WXJ1" s="10"/>
      <c r="WXK1" s="10"/>
      <c r="WXL1" s="10"/>
      <c r="WXM1" s="10"/>
      <c r="WXN1" s="10"/>
      <c r="WXO1" s="10"/>
      <c r="WXP1" s="10"/>
      <c r="WXQ1" s="10"/>
      <c r="WXR1" s="10"/>
      <c r="WXS1" s="10"/>
      <c r="WXT1" s="10"/>
      <c r="WXU1" s="10"/>
      <c r="WXV1" s="10"/>
      <c r="WXW1" s="10"/>
      <c r="WXX1" s="10"/>
      <c r="WXY1" s="10"/>
      <c r="WXZ1" s="10"/>
      <c r="WYA1" s="10"/>
      <c r="WYB1" s="10"/>
      <c r="WYC1" s="10"/>
      <c r="WYD1" s="10"/>
      <c r="WYE1" s="10"/>
      <c r="WYF1" s="10"/>
      <c r="WYG1" s="10"/>
      <c r="WYH1" s="10"/>
      <c r="WYI1" s="10"/>
      <c r="WYJ1" s="10"/>
      <c r="WYK1" s="10"/>
      <c r="WYL1" s="10"/>
      <c r="WYM1" s="10"/>
      <c r="WYN1" s="10"/>
      <c r="WYO1" s="10"/>
      <c r="WYP1" s="10"/>
      <c r="WYQ1" s="10"/>
      <c r="WYR1" s="10"/>
      <c r="WYS1" s="10"/>
      <c r="WYT1" s="10"/>
      <c r="WYU1" s="10"/>
      <c r="WYV1" s="10"/>
      <c r="WYW1" s="10"/>
      <c r="WYX1" s="10"/>
      <c r="WYY1" s="10"/>
      <c r="WYZ1" s="10"/>
      <c r="WZA1" s="10"/>
      <c r="WZB1" s="10"/>
      <c r="WZC1" s="10"/>
      <c r="WZD1" s="10"/>
      <c r="WZE1" s="10"/>
      <c r="WZF1" s="10"/>
      <c r="WZG1" s="10"/>
      <c r="WZH1" s="10"/>
      <c r="WZI1" s="10"/>
      <c r="WZJ1" s="10"/>
      <c r="WZK1" s="10"/>
      <c r="WZL1" s="10"/>
      <c r="WZM1" s="10"/>
      <c r="WZN1" s="10"/>
      <c r="WZO1" s="10"/>
      <c r="WZP1" s="10"/>
      <c r="WZQ1" s="10"/>
      <c r="WZR1" s="10"/>
      <c r="WZS1" s="10"/>
      <c r="WZT1" s="10"/>
      <c r="WZU1" s="10"/>
      <c r="WZV1" s="10"/>
      <c r="WZW1" s="10"/>
      <c r="WZX1" s="10"/>
      <c r="WZY1" s="10"/>
      <c r="WZZ1" s="10"/>
      <c r="XAA1" s="10"/>
      <c r="XAB1" s="10"/>
      <c r="XAC1" s="10"/>
      <c r="XAD1" s="10"/>
      <c r="XAE1" s="10"/>
      <c r="XAF1" s="10"/>
      <c r="XAG1" s="10"/>
      <c r="XAH1" s="10"/>
      <c r="XAI1" s="10"/>
      <c r="XAJ1" s="10"/>
      <c r="XAK1" s="10"/>
      <c r="XAL1" s="10"/>
      <c r="XAM1" s="10"/>
      <c r="XAN1" s="10"/>
      <c r="XAO1" s="10"/>
      <c r="XAP1" s="10"/>
      <c r="XAQ1" s="10"/>
      <c r="XAR1" s="10"/>
      <c r="XAS1" s="10"/>
      <c r="XAT1" s="10"/>
      <c r="XAU1" s="10"/>
      <c r="XAV1" s="10"/>
      <c r="XAW1" s="10"/>
      <c r="XAX1" s="10"/>
      <c r="XAY1" s="10"/>
      <c r="XAZ1" s="10"/>
      <c r="XBA1" s="10"/>
      <c r="XBB1" s="10"/>
      <c r="XBC1" s="10"/>
      <c r="XBD1" s="10"/>
      <c r="XBE1" s="10"/>
      <c r="XBF1" s="10"/>
      <c r="XBG1" s="10"/>
      <c r="XBH1" s="10"/>
      <c r="XBI1" s="10"/>
      <c r="XBJ1" s="10"/>
      <c r="XBK1" s="10"/>
      <c r="XBL1" s="10"/>
      <c r="XBM1" s="10"/>
      <c r="XBN1" s="10"/>
      <c r="XBO1" s="10"/>
      <c r="XBP1" s="10"/>
      <c r="XBQ1" s="10"/>
      <c r="XBR1" s="10"/>
      <c r="XBS1" s="10"/>
      <c r="XBT1" s="10"/>
      <c r="XBU1" s="10"/>
      <c r="XBV1" s="10"/>
      <c r="XBW1" s="10"/>
      <c r="XBX1" s="10"/>
      <c r="XBY1" s="10"/>
      <c r="XBZ1" s="10"/>
      <c r="XCA1" s="10"/>
      <c r="XCB1" s="10"/>
      <c r="XCC1" s="10"/>
      <c r="XCD1" s="10"/>
      <c r="XCE1" s="10"/>
      <c r="XCF1" s="10"/>
      <c r="XCG1" s="10"/>
      <c r="XCH1" s="10"/>
      <c r="XCI1" s="10"/>
      <c r="XCJ1" s="10"/>
      <c r="XCK1" s="10"/>
      <c r="XCL1" s="10"/>
      <c r="XCM1" s="10"/>
      <c r="XCN1" s="10"/>
      <c r="XCO1" s="10"/>
      <c r="XCP1" s="10"/>
      <c r="XCQ1" s="10"/>
      <c r="XCR1" s="10"/>
      <c r="XCS1" s="10"/>
      <c r="XCT1" s="10"/>
      <c r="XCU1" s="10"/>
      <c r="XCV1" s="10"/>
      <c r="XCW1" s="10"/>
      <c r="XCX1" s="10"/>
      <c r="XCY1" s="10"/>
      <c r="XCZ1" s="10"/>
      <c r="XDA1" s="10"/>
      <c r="XDB1" s="10"/>
      <c r="XDC1" s="10"/>
      <c r="XDD1" s="10"/>
      <c r="XDE1" s="10"/>
      <c r="XDF1" s="10"/>
      <c r="XDG1" s="10"/>
      <c r="XDH1" s="10"/>
      <c r="XDI1" s="10"/>
      <c r="XDJ1" s="10"/>
      <c r="XDK1" s="10"/>
      <c r="XDL1" s="10"/>
      <c r="XDM1" s="10"/>
      <c r="XDN1" s="10"/>
      <c r="XDO1" s="10"/>
      <c r="XDP1" s="10"/>
      <c r="XDQ1" s="10"/>
      <c r="XDR1" s="10"/>
      <c r="XDS1" s="10"/>
      <c r="XDT1" s="10"/>
      <c r="XDU1" s="10"/>
      <c r="XDV1" s="10"/>
      <c r="XDW1" s="10"/>
      <c r="XDX1" s="10"/>
      <c r="XDY1" s="10"/>
      <c r="XDZ1" s="10"/>
      <c r="XEA1" s="10"/>
      <c r="XEB1" s="10"/>
      <c r="XEC1" s="10"/>
      <c r="XED1" s="10"/>
      <c r="XEE1" s="10"/>
      <c r="XEF1" s="10"/>
      <c r="XEG1" s="10"/>
      <c r="XEH1" s="10"/>
      <c r="XEI1" s="10"/>
      <c r="XEJ1" s="10"/>
      <c r="XEK1" s="10"/>
      <c r="XEL1" s="10"/>
      <c r="XEM1" s="10"/>
      <c r="XEN1" s="10"/>
      <c r="XEO1" s="10"/>
      <c r="XEP1" s="10"/>
      <c r="XEQ1" s="10"/>
      <c r="XER1" s="10"/>
      <c r="XES1" s="10"/>
      <c r="XET1" s="10"/>
      <c r="XEU1" s="10"/>
      <c r="XEV1" s="10"/>
      <c r="XEW1" s="10"/>
      <c r="XEX1" s="10"/>
      <c r="XEY1" s="10"/>
      <c r="XEZ1" s="10"/>
      <c r="XFA1" s="10"/>
    </row>
    <row r="2" spans="1:16381">
      <c r="A2" t="s">
        <v>808</v>
      </c>
      <c r="B2" t="s">
        <v>807</v>
      </c>
      <c r="C2" t="s">
        <v>1652</v>
      </c>
      <c r="D2">
        <v>2024</v>
      </c>
      <c r="E2" t="s">
        <v>2568</v>
      </c>
      <c r="F2" t="s">
        <v>29</v>
      </c>
      <c r="H2" t="s">
        <v>30</v>
      </c>
      <c r="I2" t="s">
        <v>30</v>
      </c>
      <c r="J2" t="s">
        <v>30</v>
      </c>
      <c r="K2" t="s">
        <v>30</v>
      </c>
      <c r="L2" t="s">
        <v>15</v>
      </c>
      <c r="M2" s="22"/>
      <c r="N2" t="s">
        <v>30</v>
      </c>
    </row>
    <row r="3" spans="1:16381" hidden="1">
      <c r="A3" t="s">
        <v>809</v>
      </c>
      <c r="B3" t="s">
        <v>1329</v>
      </c>
      <c r="C3" t="s">
        <v>1653</v>
      </c>
      <c r="D3">
        <v>2024</v>
      </c>
      <c r="E3" t="s">
        <v>2568</v>
      </c>
      <c r="F3" t="s">
        <v>29</v>
      </c>
      <c r="H3" t="s">
        <v>31</v>
      </c>
      <c r="I3" t="s">
        <v>30</v>
      </c>
      <c r="J3" t="s">
        <v>31</v>
      </c>
      <c r="N3" t="s">
        <v>31</v>
      </c>
    </row>
    <row r="4" spans="1:16381" hidden="1">
      <c r="A4" t="s">
        <v>810</v>
      </c>
      <c r="B4" t="s">
        <v>1654</v>
      </c>
      <c r="C4" t="s">
        <v>1655</v>
      </c>
      <c r="D4">
        <v>2024</v>
      </c>
      <c r="E4" t="s">
        <v>2568</v>
      </c>
      <c r="F4" t="s">
        <v>29</v>
      </c>
      <c r="H4" t="s">
        <v>31</v>
      </c>
      <c r="I4" t="s">
        <v>30</v>
      </c>
      <c r="J4" t="s">
        <v>31</v>
      </c>
      <c r="N4" t="s">
        <v>31</v>
      </c>
    </row>
    <row r="5" spans="1:16381" ht="42">
      <c r="A5" t="s">
        <v>811</v>
      </c>
      <c r="B5" t="s">
        <v>1330</v>
      </c>
      <c r="C5" t="s">
        <v>1656</v>
      </c>
      <c r="D5">
        <v>2024</v>
      </c>
      <c r="E5" t="s">
        <v>2568</v>
      </c>
      <c r="F5" t="s">
        <v>29</v>
      </c>
      <c r="H5" t="s">
        <v>30</v>
      </c>
      <c r="I5" t="s">
        <v>30</v>
      </c>
      <c r="J5" t="s">
        <v>30</v>
      </c>
      <c r="K5" t="s">
        <v>30</v>
      </c>
      <c r="L5" t="s">
        <v>15</v>
      </c>
      <c r="M5" s="22" t="s">
        <v>3734</v>
      </c>
      <c r="N5" t="s">
        <v>30</v>
      </c>
    </row>
    <row r="6" spans="1:16381" ht="52.2" hidden="1">
      <c r="A6" t="s">
        <v>812</v>
      </c>
      <c r="B6" t="s">
        <v>1331</v>
      </c>
      <c r="C6" t="s">
        <v>1657</v>
      </c>
      <c r="D6">
        <v>2025</v>
      </c>
      <c r="E6" t="s">
        <v>2569</v>
      </c>
      <c r="F6" t="s">
        <v>29</v>
      </c>
      <c r="G6" t="s">
        <v>31</v>
      </c>
      <c r="H6" t="s">
        <v>30</v>
      </c>
      <c r="I6" t="s">
        <v>30</v>
      </c>
      <c r="J6" t="s">
        <v>30</v>
      </c>
      <c r="K6" t="s">
        <v>30</v>
      </c>
      <c r="L6" t="s">
        <v>15</v>
      </c>
      <c r="M6" s="22" t="s">
        <v>3735</v>
      </c>
      <c r="N6" t="s">
        <v>31</v>
      </c>
    </row>
    <row r="7" spans="1:16381" hidden="1">
      <c r="A7" t="s">
        <v>813</v>
      </c>
      <c r="B7" t="s">
        <v>1658</v>
      </c>
      <c r="C7" t="s">
        <v>1659</v>
      </c>
      <c r="D7">
        <v>2024</v>
      </c>
      <c r="E7" t="s">
        <v>2570</v>
      </c>
      <c r="F7" t="s">
        <v>29</v>
      </c>
      <c r="H7" t="s">
        <v>31</v>
      </c>
      <c r="I7" t="s">
        <v>30</v>
      </c>
      <c r="J7" t="s">
        <v>31</v>
      </c>
      <c r="N7" t="s">
        <v>31</v>
      </c>
    </row>
    <row r="8" spans="1:16381" ht="62.4">
      <c r="A8" t="s">
        <v>814</v>
      </c>
      <c r="B8" t="s">
        <v>1333</v>
      </c>
      <c r="C8" t="s">
        <v>1660</v>
      </c>
      <c r="D8">
        <v>2024</v>
      </c>
      <c r="E8" t="s">
        <v>2571</v>
      </c>
      <c r="F8" t="s">
        <v>29</v>
      </c>
      <c r="H8" t="s">
        <v>30</v>
      </c>
      <c r="I8" t="s">
        <v>30</v>
      </c>
      <c r="J8" t="s">
        <v>30</v>
      </c>
      <c r="K8" t="s">
        <v>30</v>
      </c>
      <c r="L8" t="s">
        <v>15</v>
      </c>
      <c r="M8" s="22" t="s">
        <v>3736</v>
      </c>
      <c r="N8" t="s">
        <v>30</v>
      </c>
    </row>
    <row r="9" spans="1:16381" hidden="1">
      <c r="A9" t="s">
        <v>815</v>
      </c>
      <c r="B9" t="s">
        <v>1335</v>
      </c>
      <c r="C9" t="s">
        <v>1661</v>
      </c>
      <c r="D9">
        <v>2024</v>
      </c>
      <c r="E9" t="s">
        <v>2568</v>
      </c>
      <c r="F9" t="s">
        <v>29</v>
      </c>
      <c r="H9" t="s">
        <v>30</v>
      </c>
      <c r="I9" t="s">
        <v>30</v>
      </c>
      <c r="J9" t="s">
        <v>30</v>
      </c>
      <c r="K9" t="s">
        <v>30</v>
      </c>
      <c r="L9" t="s">
        <v>12</v>
      </c>
      <c r="M9" s="22" t="s">
        <v>1752</v>
      </c>
      <c r="N9" t="s">
        <v>31</v>
      </c>
    </row>
    <row r="10" spans="1:16381" ht="62.4" hidden="1">
      <c r="A10" t="s">
        <v>816</v>
      </c>
      <c r="B10" t="s">
        <v>1336</v>
      </c>
      <c r="C10" t="s">
        <v>1662</v>
      </c>
      <c r="D10">
        <v>2024</v>
      </c>
      <c r="E10" t="s">
        <v>2568</v>
      </c>
      <c r="F10" t="s">
        <v>29</v>
      </c>
      <c r="G10" t="s">
        <v>31</v>
      </c>
      <c r="H10" t="s">
        <v>30</v>
      </c>
      <c r="I10" t="s">
        <v>30</v>
      </c>
      <c r="J10" t="s">
        <v>30</v>
      </c>
      <c r="K10" t="s">
        <v>30</v>
      </c>
      <c r="L10" t="s">
        <v>15</v>
      </c>
      <c r="M10" s="22" t="s">
        <v>3737</v>
      </c>
      <c r="N10" t="s">
        <v>31</v>
      </c>
    </row>
    <row r="11" spans="1:16381" hidden="1">
      <c r="A11" t="s">
        <v>817</v>
      </c>
      <c r="B11" t="s">
        <v>1337</v>
      </c>
      <c r="C11" t="s">
        <v>1663</v>
      </c>
      <c r="D11">
        <v>2024</v>
      </c>
      <c r="E11" t="s">
        <v>2572</v>
      </c>
      <c r="F11" t="s">
        <v>29</v>
      </c>
      <c r="H11" t="s">
        <v>31</v>
      </c>
      <c r="I11" t="s">
        <v>30</v>
      </c>
      <c r="J11" t="s">
        <v>31</v>
      </c>
      <c r="N11" t="s">
        <v>31</v>
      </c>
    </row>
    <row r="12" spans="1:16381" hidden="1">
      <c r="A12" t="s">
        <v>818</v>
      </c>
      <c r="B12" t="s">
        <v>1664</v>
      </c>
      <c r="C12" t="s">
        <v>1665</v>
      </c>
      <c r="D12">
        <v>2024</v>
      </c>
      <c r="E12" t="s">
        <v>2568</v>
      </c>
      <c r="F12" t="s">
        <v>29</v>
      </c>
      <c r="H12" t="s">
        <v>31</v>
      </c>
      <c r="I12" t="s">
        <v>30</v>
      </c>
      <c r="J12" t="s">
        <v>31</v>
      </c>
      <c r="N12" t="s">
        <v>31</v>
      </c>
    </row>
    <row r="13" spans="1:16381" hidden="1">
      <c r="A13" t="s">
        <v>819</v>
      </c>
      <c r="B13" t="s">
        <v>1338</v>
      </c>
      <c r="C13" t="s">
        <v>1666</v>
      </c>
      <c r="D13">
        <v>2024</v>
      </c>
      <c r="E13" t="s">
        <v>2568</v>
      </c>
      <c r="F13" t="s">
        <v>29</v>
      </c>
      <c r="H13" t="s">
        <v>31</v>
      </c>
      <c r="I13" t="s">
        <v>30</v>
      </c>
      <c r="J13" t="s">
        <v>31</v>
      </c>
      <c r="N13" t="s">
        <v>31</v>
      </c>
    </row>
    <row r="14" spans="1:16381" hidden="1">
      <c r="A14" t="s">
        <v>820</v>
      </c>
      <c r="B14" t="s">
        <v>1339</v>
      </c>
      <c r="C14" t="s">
        <v>1667</v>
      </c>
      <c r="D14">
        <v>2024</v>
      </c>
      <c r="E14" t="s">
        <v>2571</v>
      </c>
      <c r="F14" t="s">
        <v>29</v>
      </c>
      <c r="H14" t="s">
        <v>30</v>
      </c>
      <c r="I14" t="s">
        <v>30</v>
      </c>
      <c r="J14" t="s">
        <v>30</v>
      </c>
      <c r="K14" t="s">
        <v>30</v>
      </c>
      <c r="L14" t="s">
        <v>12</v>
      </c>
      <c r="M14" s="22" t="s">
        <v>1752</v>
      </c>
      <c r="N14" t="s">
        <v>31</v>
      </c>
    </row>
    <row r="15" spans="1:16381" ht="62.4">
      <c r="A15" t="s">
        <v>821</v>
      </c>
      <c r="B15" t="s">
        <v>1668</v>
      </c>
      <c r="C15" t="s">
        <v>1669</v>
      </c>
      <c r="D15">
        <v>2025</v>
      </c>
      <c r="E15" t="s">
        <v>2573</v>
      </c>
      <c r="F15" t="s">
        <v>29</v>
      </c>
      <c r="H15" t="s">
        <v>30</v>
      </c>
      <c r="I15" t="s">
        <v>30</v>
      </c>
      <c r="J15" t="s">
        <v>30</v>
      </c>
      <c r="K15" t="s">
        <v>30</v>
      </c>
      <c r="L15" t="s">
        <v>15</v>
      </c>
      <c r="M15" s="22" t="s">
        <v>3738</v>
      </c>
      <c r="N15" t="s">
        <v>30</v>
      </c>
    </row>
    <row r="16" spans="1:16381" ht="31.8">
      <c r="A16" t="s">
        <v>822</v>
      </c>
      <c r="B16" t="s">
        <v>1670</v>
      </c>
      <c r="C16" t="s">
        <v>1671</v>
      </c>
      <c r="D16">
        <v>2024</v>
      </c>
      <c r="E16" t="s">
        <v>2574</v>
      </c>
      <c r="F16" t="s">
        <v>29</v>
      </c>
      <c r="H16" t="s">
        <v>30</v>
      </c>
      <c r="I16" t="s">
        <v>30</v>
      </c>
      <c r="J16" t="s">
        <v>30</v>
      </c>
      <c r="K16" t="s">
        <v>30</v>
      </c>
      <c r="L16" t="s">
        <v>15</v>
      </c>
      <c r="M16" s="22" t="s">
        <v>3739</v>
      </c>
      <c r="N16" t="s">
        <v>30</v>
      </c>
    </row>
    <row r="17" spans="1:14" hidden="1">
      <c r="A17" t="s">
        <v>823</v>
      </c>
      <c r="B17" t="s">
        <v>1672</v>
      </c>
      <c r="C17" t="s">
        <v>1673</v>
      </c>
      <c r="D17">
        <v>2023</v>
      </c>
      <c r="E17" t="s">
        <v>2575</v>
      </c>
      <c r="F17" t="s">
        <v>29</v>
      </c>
      <c r="H17" t="s">
        <v>30</v>
      </c>
      <c r="I17" t="s">
        <v>3733</v>
      </c>
      <c r="J17" t="s">
        <v>31</v>
      </c>
      <c r="N17" t="s">
        <v>31</v>
      </c>
    </row>
    <row r="18" spans="1:14" ht="52.2">
      <c r="A18" t="s">
        <v>824</v>
      </c>
      <c r="B18" t="s">
        <v>1674</v>
      </c>
      <c r="C18" t="s">
        <v>1675</v>
      </c>
      <c r="D18">
        <v>2024</v>
      </c>
      <c r="E18" t="s">
        <v>2568</v>
      </c>
      <c r="F18" t="s">
        <v>29</v>
      </c>
      <c r="H18" t="s">
        <v>30</v>
      </c>
      <c r="I18" t="s">
        <v>30</v>
      </c>
      <c r="J18" t="s">
        <v>30</v>
      </c>
      <c r="K18" t="s">
        <v>30</v>
      </c>
      <c r="L18" t="s">
        <v>15</v>
      </c>
      <c r="M18" s="22" t="s">
        <v>3740</v>
      </c>
      <c r="N18" t="s">
        <v>30</v>
      </c>
    </row>
    <row r="19" spans="1:14" hidden="1">
      <c r="A19" t="s">
        <v>825</v>
      </c>
      <c r="B19" t="s">
        <v>1676</v>
      </c>
      <c r="C19" t="s">
        <v>1677</v>
      </c>
      <c r="D19">
        <v>2023</v>
      </c>
      <c r="E19" t="s">
        <v>2576</v>
      </c>
      <c r="F19" t="s">
        <v>29</v>
      </c>
      <c r="H19" t="s">
        <v>31</v>
      </c>
      <c r="I19" t="s">
        <v>30</v>
      </c>
      <c r="J19" t="s">
        <v>31</v>
      </c>
      <c r="N19" t="s">
        <v>31</v>
      </c>
    </row>
    <row r="20" spans="1:14" ht="52.2">
      <c r="A20" t="s">
        <v>826</v>
      </c>
      <c r="B20" t="s">
        <v>1678</v>
      </c>
      <c r="C20" t="s">
        <v>1679</v>
      </c>
      <c r="D20">
        <v>2024</v>
      </c>
      <c r="E20" t="s">
        <v>2568</v>
      </c>
      <c r="F20" t="s">
        <v>29</v>
      </c>
      <c r="H20" t="s">
        <v>30</v>
      </c>
      <c r="I20" t="s">
        <v>30</v>
      </c>
      <c r="J20" t="s">
        <v>30</v>
      </c>
      <c r="K20" t="s">
        <v>30</v>
      </c>
      <c r="L20" t="s">
        <v>15</v>
      </c>
      <c r="M20" s="22" t="s">
        <v>3741</v>
      </c>
      <c r="N20" t="s">
        <v>30</v>
      </c>
    </row>
    <row r="21" spans="1:14" hidden="1">
      <c r="A21" t="s">
        <v>827</v>
      </c>
      <c r="B21" t="s">
        <v>1680</v>
      </c>
      <c r="C21" t="s">
        <v>1681</v>
      </c>
      <c r="D21">
        <v>2023</v>
      </c>
      <c r="E21" t="s">
        <v>2577</v>
      </c>
      <c r="F21" t="s">
        <v>29</v>
      </c>
      <c r="H21" t="s">
        <v>31</v>
      </c>
      <c r="I21" t="s">
        <v>30</v>
      </c>
      <c r="J21" t="s">
        <v>31</v>
      </c>
      <c r="N21" t="s">
        <v>31</v>
      </c>
    </row>
    <row r="22" spans="1:14" hidden="1">
      <c r="A22" t="s">
        <v>828</v>
      </c>
      <c r="B22" t="s">
        <v>1682</v>
      </c>
      <c r="C22" t="s">
        <v>1683</v>
      </c>
      <c r="D22">
        <v>2024</v>
      </c>
      <c r="E22" t="s">
        <v>2578</v>
      </c>
      <c r="F22" t="s">
        <v>29</v>
      </c>
      <c r="H22" t="s">
        <v>30</v>
      </c>
      <c r="I22" t="s">
        <v>30</v>
      </c>
      <c r="J22" t="s">
        <v>30</v>
      </c>
      <c r="K22" t="s">
        <v>30</v>
      </c>
      <c r="L22" t="s">
        <v>12</v>
      </c>
      <c r="M22" s="22" t="s">
        <v>1752</v>
      </c>
      <c r="N22" t="s">
        <v>31</v>
      </c>
    </row>
    <row r="23" spans="1:14" ht="52.2" hidden="1">
      <c r="A23" t="s">
        <v>829</v>
      </c>
      <c r="B23" t="s">
        <v>1684</v>
      </c>
      <c r="C23" t="s">
        <v>1685</v>
      </c>
      <c r="D23">
        <v>2025</v>
      </c>
      <c r="E23" t="s">
        <v>2579</v>
      </c>
      <c r="F23" t="s">
        <v>29</v>
      </c>
      <c r="G23" t="s">
        <v>31</v>
      </c>
      <c r="H23" t="s">
        <v>30</v>
      </c>
      <c r="I23" t="s">
        <v>30</v>
      </c>
      <c r="J23" t="s">
        <v>30</v>
      </c>
      <c r="K23" t="s">
        <v>30</v>
      </c>
      <c r="L23" t="s">
        <v>15</v>
      </c>
      <c r="M23" s="22" t="s">
        <v>3742</v>
      </c>
      <c r="N23" t="s">
        <v>31</v>
      </c>
    </row>
    <row r="24" spans="1:14" hidden="1">
      <c r="A24" t="s">
        <v>830</v>
      </c>
      <c r="B24" t="s">
        <v>1686</v>
      </c>
      <c r="C24" t="s">
        <v>1687</v>
      </c>
      <c r="D24">
        <v>2024</v>
      </c>
      <c r="E24" t="s">
        <v>2580</v>
      </c>
      <c r="F24" t="s">
        <v>29</v>
      </c>
      <c r="H24" t="s">
        <v>31</v>
      </c>
      <c r="I24" t="s">
        <v>30</v>
      </c>
      <c r="J24" t="s">
        <v>31</v>
      </c>
      <c r="N24" t="s">
        <v>31</v>
      </c>
    </row>
    <row r="25" spans="1:14" hidden="1">
      <c r="A25" t="s">
        <v>831</v>
      </c>
      <c r="B25" t="s">
        <v>1688</v>
      </c>
      <c r="C25" t="s">
        <v>1689</v>
      </c>
      <c r="D25">
        <v>2024</v>
      </c>
      <c r="E25" t="s">
        <v>2581</v>
      </c>
      <c r="F25" t="s">
        <v>29</v>
      </c>
      <c r="H25" t="s">
        <v>31</v>
      </c>
      <c r="I25" t="s">
        <v>30</v>
      </c>
      <c r="J25" t="s">
        <v>31</v>
      </c>
      <c r="N25" t="s">
        <v>31</v>
      </c>
    </row>
    <row r="26" spans="1:14" hidden="1">
      <c r="A26" t="s">
        <v>832</v>
      </c>
      <c r="B26" t="s">
        <v>1690</v>
      </c>
      <c r="C26" t="s">
        <v>1691</v>
      </c>
      <c r="D26">
        <v>2023</v>
      </c>
      <c r="E26" t="s">
        <v>2582</v>
      </c>
      <c r="F26" t="s">
        <v>29</v>
      </c>
      <c r="H26" t="s">
        <v>31</v>
      </c>
      <c r="I26" t="s">
        <v>30</v>
      </c>
      <c r="J26" t="s">
        <v>31</v>
      </c>
      <c r="N26" t="s">
        <v>31</v>
      </c>
    </row>
    <row r="27" spans="1:14" hidden="1">
      <c r="A27" t="s">
        <v>833</v>
      </c>
      <c r="B27" t="s">
        <v>1692</v>
      </c>
      <c r="C27" t="s">
        <v>1693</v>
      </c>
      <c r="D27">
        <v>2024</v>
      </c>
      <c r="E27" t="s">
        <v>2583</v>
      </c>
      <c r="F27" t="s">
        <v>29</v>
      </c>
      <c r="H27" t="s">
        <v>31</v>
      </c>
      <c r="I27" t="s">
        <v>30</v>
      </c>
      <c r="J27" t="s">
        <v>31</v>
      </c>
      <c r="N27" t="s">
        <v>31</v>
      </c>
    </row>
    <row r="28" spans="1:14" hidden="1">
      <c r="A28" t="s">
        <v>834</v>
      </c>
      <c r="B28" t="s">
        <v>730</v>
      </c>
      <c r="C28" t="s">
        <v>1694</v>
      </c>
      <c r="D28">
        <v>2024</v>
      </c>
      <c r="E28" t="s">
        <v>2584</v>
      </c>
      <c r="F28" t="s">
        <v>29</v>
      </c>
      <c r="H28" t="s">
        <v>31</v>
      </c>
      <c r="I28" t="s">
        <v>30</v>
      </c>
      <c r="J28" t="s">
        <v>31</v>
      </c>
      <c r="N28" t="s">
        <v>31</v>
      </c>
    </row>
    <row r="29" spans="1:14" ht="62.4" hidden="1">
      <c r="A29" t="s">
        <v>835</v>
      </c>
      <c r="B29" t="s">
        <v>1695</v>
      </c>
      <c r="C29" t="s">
        <v>1696</v>
      </c>
      <c r="D29">
        <v>2024</v>
      </c>
      <c r="E29" t="s">
        <v>2585</v>
      </c>
      <c r="F29" t="s">
        <v>29</v>
      </c>
      <c r="G29" t="s">
        <v>31</v>
      </c>
      <c r="H29" t="s">
        <v>30</v>
      </c>
      <c r="I29" t="s">
        <v>30</v>
      </c>
      <c r="J29" t="s">
        <v>30</v>
      </c>
      <c r="K29" t="s">
        <v>30</v>
      </c>
      <c r="L29" t="s">
        <v>15</v>
      </c>
      <c r="M29" s="22" t="s">
        <v>3743</v>
      </c>
      <c r="N29" t="s">
        <v>31</v>
      </c>
    </row>
    <row r="30" spans="1:14" hidden="1">
      <c r="A30" t="s">
        <v>836</v>
      </c>
      <c r="B30" t="s">
        <v>1697</v>
      </c>
      <c r="C30" t="s">
        <v>1698</v>
      </c>
      <c r="D30">
        <v>2024</v>
      </c>
      <c r="E30" t="s">
        <v>2586</v>
      </c>
      <c r="F30" t="s">
        <v>29</v>
      </c>
      <c r="H30" t="s">
        <v>30</v>
      </c>
      <c r="I30" t="s">
        <v>30</v>
      </c>
      <c r="J30" t="s">
        <v>30</v>
      </c>
      <c r="K30" t="s">
        <v>30</v>
      </c>
      <c r="L30" t="s">
        <v>12</v>
      </c>
      <c r="M30" s="22" t="s">
        <v>1752</v>
      </c>
      <c r="N30" t="s">
        <v>31</v>
      </c>
    </row>
    <row r="31" spans="1:14" hidden="1">
      <c r="A31" t="s">
        <v>837</v>
      </c>
      <c r="B31" t="s">
        <v>1699</v>
      </c>
      <c r="C31" t="s">
        <v>1700</v>
      </c>
      <c r="D31">
        <v>2024</v>
      </c>
      <c r="E31" t="s">
        <v>2587</v>
      </c>
      <c r="F31" t="s">
        <v>29</v>
      </c>
      <c r="H31" t="s">
        <v>31</v>
      </c>
      <c r="I31" t="s">
        <v>30</v>
      </c>
      <c r="J31" t="s">
        <v>31</v>
      </c>
      <c r="N31" t="s">
        <v>31</v>
      </c>
    </row>
    <row r="32" spans="1:14" ht="31.8" hidden="1">
      <c r="A32" t="s">
        <v>838</v>
      </c>
      <c r="B32" t="s">
        <v>1701</v>
      </c>
      <c r="C32" t="s">
        <v>1702</v>
      </c>
      <c r="D32">
        <v>2023</v>
      </c>
      <c r="E32" t="s">
        <v>2588</v>
      </c>
      <c r="F32" t="s">
        <v>29</v>
      </c>
      <c r="H32" t="s">
        <v>31</v>
      </c>
      <c r="I32" t="s">
        <v>30</v>
      </c>
      <c r="J32" t="s">
        <v>30</v>
      </c>
      <c r="K32" t="s">
        <v>30</v>
      </c>
      <c r="L32" t="s">
        <v>3654</v>
      </c>
      <c r="M32" s="22" t="s">
        <v>3744</v>
      </c>
      <c r="N32" t="s">
        <v>31</v>
      </c>
    </row>
    <row r="33" spans="1:14" hidden="1">
      <c r="A33" t="s">
        <v>839</v>
      </c>
      <c r="B33" t="s">
        <v>1703</v>
      </c>
      <c r="C33" t="s">
        <v>1704</v>
      </c>
      <c r="D33">
        <v>2025</v>
      </c>
      <c r="E33" t="s">
        <v>2589</v>
      </c>
      <c r="F33" t="s">
        <v>29</v>
      </c>
      <c r="H33" t="s">
        <v>30</v>
      </c>
      <c r="I33" t="s">
        <v>3733</v>
      </c>
      <c r="J33" t="s">
        <v>31</v>
      </c>
      <c r="N33" t="s">
        <v>31</v>
      </c>
    </row>
    <row r="34" spans="1:14" ht="52.2" hidden="1">
      <c r="A34" t="s">
        <v>840</v>
      </c>
      <c r="B34" t="s">
        <v>1507</v>
      </c>
      <c r="C34" t="s">
        <v>1705</v>
      </c>
      <c r="D34">
        <v>2024</v>
      </c>
      <c r="E34" t="s">
        <v>2590</v>
      </c>
      <c r="F34" t="s">
        <v>29</v>
      </c>
      <c r="G34" t="s">
        <v>31</v>
      </c>
      <c r="H34" t="s">
        <v>30</v>
      </c>
      <c r="I34" t="s">
        <v>30</v>
      </c>
      <c r="J34" t="s">
        <v>30</v>
      </c>
      <c r="K34" t="s">
        <v>30</v>
      </c>
      <c r="L34" t="s">
        <v>15</v>
      </c>
      <c r="M34" s="22" t="s">
        <v>3745</v>
      </c>
      <c r="N34" t="s">
        <v>31</v>
      </c>
    </row>
    <row r="35" spans="1:14" ht="62.4" hidden="1">
      <c r="A35" t="s">
        <v>841</v>
      </c>
      <c r="B35" t="s">
        <v>1706</v>
      </c>
      <c r="C35" t="s">
        <v>1707</v>
      </c>
      <c r="D35">
        <v>2023</v>
      </c>
      <c r="E35" t="s">
        <v>2591</v>
      </c>
      <c r="F35" t="s">
        <v>29</v>
      </c>
      <c r="G35" t="s">
        <v>31</v>
      </c>
      <c r="H35" t="s">
        <v>30</v>
      </c>
      <c r="I35" t="s">
        <v>30</v>
      </c>
      <c r="J35" t="s">
        <v>30</v>
      </c>
      <c r="K35" t="s">
        <v>30</v>
      </c>
      <c r="L35" t="s">
        <v>15</v>
      </c>
      <c r="M35" s="22" t="s">
        <v>3746</v>
      </c>
      <c r="N35" t="s">
        <v>31</v>
      </c>
    </row>
    <row r="36" spans="1:14" hidden="1">
      <c r="A36" t="s">
        <v>842</v>
      </c>
      <c r="B36" t="s">
        <v>1708</v>
      </c>
      <c r="C36" t="s">
        <v>1709</v>
      </c>
      <c r="D36">
        <v>2023</v>
      </c>
      <c r="E36" t="s">
        <v>2592</v>
      </c>
      <c r="F36" t="s">
        <v>29</v>
      </c>
      <c r="H36" t="s">
        <v>31</v>
      </c>
      <c r="I36" t="s">
        <v>30</v>
      </c>
      <c r="J36" t="s">
        <v>31</v>
      </c>
      <c r="N36" t="s">
        <v>31</v>
      </c>
    </row>
    <row r="37" spans="1:14" hidden="1">
      <c r="A37" t="s">
        <v>843</v>
      </c>
      <c r="B37" t="s">
        <v>1710</v>
      </c>
      <c r="C37" t="s">
        <v>1711</v>
      </c>
      <c r="D37">
        <v>2023</v>
      </c>
      <c r="E37" t="s">
        <v>2593</v>
      </c>
      <c r="F37" t="s">
        <v>29</v>
      </c>
      <c r="H37" t="s">
        <v>31</v>
      </c>
      <c r="I37" t="s">
        <v>30</v>
      </c>
      <c r="J37" t="s">
        <v>31</v>
      </c>
      <c r="N37" t="s">
        <v>31</v>
      </c>
    </row>
    <row r="38" spans="1:14" hidden="1">
      <c r="A38" t="s">
        <v>844</v>
      </c>
      <c r="B38" t="s">
        <v>1712</v>
      </c>
      <c r="C38" t="s">
        <v>1713</v>
      </c>
      <c r="D38">
        <v>2023</v>
      </c>
      <c r="E38" t="s">
        <v>2594</v>
      </c>
      <c r="F38" t="s">
        <v>29</v>
      </c>
      <c r="H38" t="s">
        <v>30</v>
      </c>
      <c r="I38" t="s">
        <v>30</v>
      </c>
      <c r="J38" t="s">
        <v>30</v>
      </c>
      <c r="K38" t="s">
        <v>30</v>
      </c>
      <c r="L38" t="s">
        <v>14</v>
      </c>
      <c r="M38" s="22" t="s">
        <v>1752</v>
      </c>
      <c r="N38" t="s">
        <v>31</v>
      </c>
    </row>
    <row r="39" spans="1:14" ht="42" hidden="1">
      <c r="A39" t="s">
        <v>845</v>
      </c>
      <c r="B39" t="s">
        <v>699</v>
      </c>
      <c r="C39" t="s">
        <v>1714</v>
      </c>
      <c r="D39">
        <v>2025</v>
      </c>
      <c r="E39" t="s">
        <v>2590</v>
      </c>
      <c r="F39" t="s">
        <v>29</v>
      </c>
      <c r="G39" t="s">
        <v>31</v>
      </c>
      <c r="H39" t="s">
        <v>30</v>
      </c>
      <c r="I39" t="s">
        <v>30</v>
      </c>
      <c r="J39" t="s">
        <v>30</v>
      </c>
      <c r="K39" t="s">
        <v>30</v>
      </c>
      <c r="L39" t="s">
        <v>15</v>
      </c>
      <c r="M39" s="22" t="s">
        <v>3747</v>
      </c>
      <c r="N39" t="s">
        <v>31</v>
      </c>
    </row>
    <row r="40" spans="1:14" hidden="1">
      <c r="A40" t="s">
        <v>846</v>
      </c>
      <c r="B40" t="s">
        <v>1715</v>
      </c>
      <c r="C40" t="s">
        <v>1716</v>
      </c>
      <c r="D40">
        <v>2025</v>
      </c>
      <c r="E40" t="s">
        <v>2595</v>
      </c>
      <c r="F40" t="s">
        <v>29</v>
      </c>
      <c r="H40" t="s">
        <v>31</v>
      </c>
      <c r="I40" t="s">
        <v>30</v>
      </c>
      <c r="J40" t="s">
        <v>31</v>
      </c>
      <c r="N40" t="s">
        <v>31</v>
      </c>
    </row>
    <row r="41" spans="1:14" ht="42" hidden="1">
      <c r="A41" t="s">
        <v>847</v>
      </c>
      <c r="B41" t="s">
        <v>1717</v>
      </c>
      <c r="C41" t="s">
        <v>1663</v>
      </c>
      <c r="D41">
        <v>2024</v>
      </c>
      <c r="E41" t="s">
        <v>2572</v>
      </c>
      <c r="F41" t="s">
        <v>29</v>
      </c>
      <c r="G41" t="s">
        <v>31</v>
      </c>
      <c r="H41" t="s">
        <v>30</v>
      </c>
      <c r="I41" t="s">
        <v>30</v>
      </c>
      <c r="J41" t="s">
        <v>30</v>
      </c>
      <c r="K41" t="s">
        <v>30</v>
      </c>
      <c r="L41" t="s">
        <v>15</v>
      </c>
      <c r="M41" s="22" t="s">
        <v>3748</v>
      </c>
      <c r="N41" t="s">
        <v>31</v>
      </c>
    </row>
    <row r="42" spans="1:14" hidden="1">
      <c r="A42" t="s">
        <v>848</v>
      </c>
      <c r="B42" t="s">
        <v>1718</v>
      </c>
      <c r="C42" t="s">
        <v>1719</v>
      </c>
      <c r="D42">
        <v>2024</v>
      </c>
      <c r="E42" t="s">
        <v>2596</v>
      </c>
      <c r="F42" t="s">
        <v>29</v>
      </c>
      <c r="H42" t="s">
        <v>31</v>
      </c>
      <c r="I42" t="s">
        <v>30</v>
      </c>
      <c r="J42" t="s">
        <v>31</v>
      </c>
      <c r="N42" t="s">
        <v>31</v>
      </c>
    </row>
    <row r="43" spans="1:14" ht="62.4" hidden="1">
      <c r="A43" t="s">
        <v>849</v>
      </c>
      <c r="B43" t="s">
        <v>1720</v>
      </c>
      <c r="C43" t="s">
        <v>1721</v>
      </c>
      <c r="D43">
        <v>2025</v>
      </c>
      <c r="E43" t="s">
        <v>2597</v>
      </c>
      <c r="F43" t="s">
        <v>29</v>
      </c>
      <c r="G43" t="s">
        <v>31</v>
      </c>
      <c r="H43" t="s">
        <v>30</v>
      </c>
      <c r="I43" t="s">
        <v>30</v>
      </c>
      <c r="J43" t="s">
        <v>30</v>
      </c>
      <c r="K43" t="s">
        <v>30</v>
      </c>
      <c r="L43" t="s">
        <v>15</v>
      </c>
      <c r="M43" s="22" t="s">
        <v>3749</v>
      </c>
      <c r="N43" t="s">
        <v>31</v>
      </c>
    </row>
    <row r="44" spans="1:14" ht="62.4">
      <c r="A44" t="s">
        <v>850</v>
      </c>
      <c r="B44" t="s">
        <v>1722</v>
      </c>
      <c r="C44" t="s">
        <v>1723</v>
      </c>
      <c r="D44">
        <v>2025</v>
      </c>
      <c r="E44" t="s">
        <v>2598</v>
      </c>
      <c r="F44" t="s">
        <v>29</v>
      </c>
      <c r="H44" t="s">
        <v>30</v>
      </c>
      <c r="I44" t="s">
        <v>30</v>
      </c>
      <c r="J44" t="s">
        <v>30</v>
      </c>
      <c r="K44" t="s">
        <v>30</v>
      </c>
      <c r="L44" t="s">
        <v>15</v>
      </c>
      <c r="M44" s="22" t="s">
        <v>3750</v>
      </c>
      <c r="N44" t="s">
        <v>30</v>
      </c>
    </row>
    <row r="45" spans="1:14" ht="62.4" hidden="1">
      <c r="A45" t="s">
        <v>851</v>
      </c>
      <c r="B45" t="s">
        <v>1724</v>
      </c>
      <c r="C45" t="s">
        <v>1725</v>
      </c>
      <c r="D45">
        <v>2023</v>
      </c>
      <c r="E45" t="s">
        <v>2599</v>
      </c>
      <c r="F45" t="s">
        <v>29</v>
      </c>
      <c r="G45" t="s">
        <v>31</v>
      </c>
      <c r="H45" t="s">
        <v>30</v>
      </c>
      <c r="I45" t="s">
        <v>30</v>
      </c>
      <c r="J45" t="s">
        <v>30</v>
      </c>
      <c r="K45" t="s">
        <v>30</v>
      </c>
      <c r="L45" t="s">
        <v>15</v>
      </c>
      <c r="M45" s="22" t="s">
        <v>3751</v>
      </c>
      <c r="N45" t="s">
        <v>31</v>
      </c>
    </row>
    <row r="46" spans="1:14" ht="31.8" hidden="1">
      <c r="A46" t="s">
        <v>852</v>
      </c>
      <c r="B46" t="s">
        <v>1726</v>
      </c>
      <c r="C46" t="s">
        <v>1727</v>
      </c>
      <c r="D46">
        <v>2025</v>
      </c>
      <c r="E46" t="s">
        <v>2573</v>
      </c>
      <c r="F46" t="s">
        <v>29</v>
      </c>
      <c r="G46" t="s">
        <v>31</v>
      </c>
      <c r="H46" t="s">
        <v>30</v>
      </c>
      <c r="I46" t="s">
        <v>30</v>
      </c>
      <c r="J46" t="s">
        <v>30</v>
      </c>
      <c r="K46" t="s">
        <v>30</v>
      </c>
      <c r="L46" t="s">
        <v>15</v>
      </c>
      <c r="M46" s="22" t="s">
        <v>3752</v>
      </c>
      <c r="N46" t="s">
        <v>31</v>
      </c>
    </row>
    <row r="47" spans="1:14" hidden="1">
      <c r="A47" t="s">
        <v>853</v>
      </c>
      <c r="B47" t="s">
        <v>1728</v>
      </c>
      <c r="C47" t="s">
        <v>1729</v>
      </c>
      <c r="D47">
        <v>2025</v>
      </c>
      <c r="E47" t="s">
        <v>2600</v>
      </c>
      <c r="F47" t="s">
        <v>29</v>
      </c>
      <c r="H47" t="s">
        <v>31</v>
      </c>
      <c r="I47" t="s">
        <v>30</v>
      </c>
      <c r="J47" t="s">
        <v>31</v>
      </c>
      <c r="N47" t="s">
        <v>31</v>
      </c>
    </row>
    <row r="48" spans="1:14" hidden="1">
      <c r="A48" t="s">
        <v>854</v>
      </c>
      <c r="B48" t="s">
        <v>1730</v>
      </c>
      <c r="C48" t="s">
        <v>1731</v>
      </c>
      <c r="D48">
        <v>2024</v>
      </c>
      <c r="E48" t="s">
        <v>2601</v>
      </c>
      <c r="F48" t="s">
        <v>29</v>
      </c>
      <c r="H48" t="s">
        <v>31</v>
      </c>
      <c r="I48" t="s">
        <v>30</v>
      </c>
      <c r="J48" t="s">
        <v>31</v>
      </c>
      <c r="N48" t="s">
        <v>31</v>
      </c>
    </row>
    <row r="49" spans="1:14" ht="42" hidden="1">
      <c r="A49" t="s">
        <v>855</v>
      </c>
      <c r="B49" t="s">
        <v>1732</v>
      </c>
      <c r="C49" t="s">
        <v>1733</v>
      </c>
      <c r="D49">
        <v>2023</v>
      </c>
      <c r="E49" t="s">
        <v>2602</v>
      </c>
      <c r="F49" t="s">
        <v>29</v>
      </c>
      <c r="G49" t="s">
        <v>31</v>
      </c>
      <c r="H49" t="s">
        <v>30</v>
      </c>
      <c r="I49" t="s">
        <v>30</v>
      </c>
      <c r="J49" t="s">
        <v>30</v>
      </c>
      <c r="K49" t="s">
        <v>30</v>
      </c>
      <c r="L49" t="s">
        <v>15</v>
      </c>
      <c r="M49" s="22" t="s">
        <v>3753</v>
      </c>
      <c r="N49" t="s">
        <v>31</v>
      </c>
    </row>
    <row r="50" spans="1:14" hidden="1">
      <c r="A50" t="s">
        <v>856</v>
      </c>
      <c r="B50" t="s">
        <v>1734</v>
      </c>
      <c r="C50" t="s">
        <v>1735</v>
      </c>
      <c r="D50">
        <v>2024</v>
      </c>
      <c r="E50" t="s">
        <v>2603</v>
      </c>
      <c r="F50" t="s">
        <v>29</v>
      </c>
      <c r="H50" t="s">
        <v>30</v>
      </c>
      <c r="I50" t="s">
        <v>30</v>
      </c>
      <c r="J50" t="s">
        <v>30</v>
      </c>
      <c r="K50" t="s">
        <v>30</v>
      </c>
      <c r="L50" t="s">
        <v>12</v>
      </c>
      <c r="M50" s="22" t="s">
        <v>1752</v>
      </c>
      <c r="N50" t="s">
        <v>31</v>
      </c>
    </row>
    <row r="51" spans="1:14" hidden="1">
      <c r="A51" t="s">
        <v>857</v>
      </c>
      <c r="B51" t="s">
        <v>1736</v>
      </c>
      <c r="C51" t="s">
        <v>1737</v>
      </c>
      <c r="D51">
        <v>2025</v>
      </c>
      <c r="E51" t="s">
        <v>2590</v>
      </c>
      <c r="F51" t="s">
        <v>29</v>
      </c>
      <c r="H51" t="s">
        <v>31</v>
      </c>
      <c r="I51" t="s">
        <v>30</v>
      </c>
      <c r="J51" t="s">
        <v>31</v>
      </c>
      <c r="N51" t="s">
        <v>31</v>
      </c>
    </row>
    <row r="52" spans="1:14" hidden="1">
      <c r="A52" t="s">
        <v>858</v>
      </c>
      <c r="B52" t="s">
        <v>1738</v>
      </c>
      <c r="C52" t="s">
        <v>1739</v>
      </c>
      <c r="D52">
        <v>2024</v>
      </c>
      <c r="E52" t="s">
        <v>2604</v>
      </c>
      <c r="F52" t="s">
        <v>29</v>
      </c>
      <c r="H52" t="s">
        <v>30</v>
      </c>
      <c r="I52" t="s">
        <v>30</v>
      </c>
      <c r="J52" t="s">
        <v>30</v>
      </c>
      <c r="K52" t="s">
        <v>30</v>
      </c>
      <c r="L52" t="s">
        <v>12</v>
      </c>
      <c r="M52" s="22" t="s">
        <v>1752</v>
      </c>
      <c r="N52" t="s">
        <v>31</v>
      </c>
    </row>
    <row r="53" spans="1:14" hidden="1">
      <c r="A53" t="s">
        <v>859</v>
      </c>
      <c r="B53" t="s">
        <v>1740</v>
      </c>
      <c r="C53" t="s">
        <v>1741</v>
      </c>
      <c r="D53">
        <v>2024</v>
      </c>
      <c r="E53" t="s">
        <v>2605</v>
      </c>
      <c r="F53" t="s">
        <v>29</v>
      </c>
      <c r="H53" t="s">
        <v>31</v>
      </c>
      <c r="I53" t="s">
        <v>30</v>
      </c>
      <c r="J53" t="s">
        <v>31</v>
      </c>
      <c r="N53" t="s">
        <v>31</v>
      </c>
    </row>
    <row r="54" spans="1:14" hidden="1">
      <c r="A54" t="s">
        <v>860</v>
      </c>
      <c r="B54" t="s">
        <v>1742</v>
      </c>
      <c r="C54" t="s">
        <v>1743</v>
      </c>
      <c r="D54">
        <v>2023</v>
      </c>
      <c r="E54" t="s">
        <v>2606</v>
      </c>
      <c r="F54" t="s">
        <v>29</v>
      </c>
      <c r="H54" t="s">
        <v>31</v>
      </c>
      <c r="I54" t="s">
        <v>30</v>
      </c>
      <c r="J54" t="s">
        <v>31</v>
      </c>
      <c r="N54" t="s">
        <v>31</v>
      </c>
    </row>
    <row r="55" spans="1:14" ht="62.4" hidden="1">
      <c r="A55" t="s">
        <v>861</v>
      </c>
      <c r="B55" t="s">
        <v>1744</v>
      </c>
      <c r="C55" t="s">
        <v>1745</v>
      </c>
      <c r="D55">
        <v>2024</v>
      </c>
      <c r="E55" t="s">
        <v>2607</v>
      </c>
      <c r="F55" t="s">
        <v>29</v>
      </c>
      <c r="G55" t="s">
        <v>31</v>
      </c>
      <c r="H55" t="s">
        <v>30</v>
      </c>
      <c r="I55" t="s">
        <v>30</v>
      </c>
      <c r="J55" t="s">
        <v>30</v>
      </c>
      <c r="K55" t="s">
        <v>30</v>
      </c>
      <c r="L55" t="s">
        <v>15</v>
      </c>
      <c r="M55" s="22" t="s">
        <v>3754</v>
      </c>
      <c r="N55" t="s">
        <v>31</v>
      </c>
    </row>
    <row r="56" spans="1:14" ht="62.4">
      <c r="A56" t="s">
        <v>862</v>
      </c>
      <c r="B56" t="s">
        <v>1746</v>
      </c>
      <c r="C56" t="s">
        <v>1747</v>
      </c>
      <c r="D56">
        <v>2024</v>
      </c>
      <c r="E56" t="s">
        <v>2608</v>
      </c>
      <c r="F56" t="s">
        <v>29</v>
      </c>
      <c r="H56" t="s">
        <v>30</v>
      </c>
      <c r="I56" t="s">
        <v>30</v>
      </c>
      <c r="J56" t="s">
        <v>30</v>
      </c>
      <c r="K56" t="s">
        <v>30</v>
      </c>
      <c r="L56" t="s">
        <v>15</v>
      </c>
      <c r="M56" s="22" t="s">
        <v>3755</v>
      </c>
      <c r="N56" t="s">
        <v>30</v>
      </c>
    </row>
    <row r="57" spans="1:14" hidden="1">
      <c r="A57" t="s">
        <v>863</v>
      </c>
      <c r="B57" t="s">
        <v>1748</v>
      </c>
      <c r="C57" t="s">
        <v>1749</v>
      </c>
      <c r="D57">
        <v>2024</v>
      </c>
      <c r="E57" t="s">
        <v>2609</v>
      </c>
      <c r="F57" t="s">
        <v>29</v>
      </c>
      <c r="H57" t="s">
        <v>30</v>
      </c>
      <c r="I57" t="s">
        <v>30</v>
      </c>
      <c r="J57" t="s">
        <v>30</v>
      </c>
      <c r="K57" t="s">
        <v>30</v>
      </c>
      <c r="L57" t="s">
        <v>12</v>
      </c>
      <c r="M57" s="22" t="s">
        <v>1752</v>
      </c>
      <c r="N57" t="s">
        <v>31</v>
      </c>
    </row>
    <row r="58" spans="1:14" hidden="1">
      <c r="A58" t="s">
        <v>864</v>
      </c>
      <c r="B58" t="s">
        <v>669</v>
      </c>
      <c r="C58" t="s">
        <v>1750</v>
      </c>
      <c r="D58">
        <v>2024</v>
      </c>
      <c r="E58" t="s">
        <v>2584</v>
      </c>
      <c r="F58" t="s">
        <v>29</v>
      </c>
      <c r="H58" t="s">
        <v>31</v>
      </c>
      <c r="I58" t="s">
        <v>30</v>
      </c>
      <c r="J58" t="s">
        <v>31</v>
      </c>
      <c r="N58" t="s">
        <v>31</v>
      </c>
    </row>
    <row r="59" spans="1:14" hidden="1">
      <c r="A59" t="s">
        <v>865</v>
      </c>
      <c r="B59" t="s">
        <v>1751</v>
      </c>
      <c r="C59" t="s">
        <v>1752</v>
      </c>
      <c r="D59">
        <v>2024</v>
      </c>
      <c r="E59" t="s">
        <v>1752</v>
      </c>
      <c r="I59" t="e">
        <v>#N/A</v>
      </c>
      <c r="N59" t="s">
        <v>31</v>
      </c>
    </row>
    <row r="60" spans="1:14" hidden="1">
      <c r="A60" t="s">
        <v>866</v>
      </c>
      <c r="B60" t="s">
        <v>1753</v>
      </c>
      <c r="C60" t="s">
        <v>1754</v>
      </c>
      <c r="D60">
        <v>2023</v>
      </c>
      <c r="E60" t="s">
        <v>2610</v>
      </c>
      <c r="F60" t="s">
        <v>29</v>
      </c>
      <c r="H60" t="s">
        <v>30</v>
      </c>
      <c r="I60" t="s">
        <v>30</v>
      </c>
      <c r="J60" t="s">
        <v>30</v>
      </c>
      <c r="K60" t="s">
        <v>30</v>
      </c>
      <c r="L60" t="s">
        <v>13</v>
      </c>
      <c r="M60" s="22" t="s">
        <v>1752</v>
      </c>
      <c r="N60" t="s">
        <v>31</v>
      </c>
    </row>
    <row r="61" spans="1:14" hidden="1">
      <c r="A61" t="s">
        <v>867</v>
      </c>
      <c r="B61" t="s">
        <v>1755</v>
      </c>
      <c r="C61" t="s">
        <v>1756</v>
      </c>
      <c r="D61">
        <v>2025</v>
      </c>
      <c r="E61" t="s">
        <v>2611</v>
      </c>
      <c r="F61" t="s">
        <v>29</v>
      </c>
      <c r="H61" t="s">
        <v>30</v>
      </c>
      <c r="I61" t="s">
        <v>30</v>
      </c>
      <c r="J61" t="s">
        <v>30</v>
      </c>
      <c r="K61" t="s">
        <v>30</v>
      </c>
      <c r="L61" t="s">
        <v>12</v>
      </c>
      <c r="M61" s="22" t="s">
        <v>1752</v>
      </c>
      <c r="N61" t="s">
        <v>31</v>
      </c>
    </row>
    <row r="62" spans="1:14" hidden="1">
      <c r="A62" t="s">
        <v>868</v>
      </c>
      <c r="B62" t="s">
        <v>1757</v>
      </c>
      <c r="C62" t="s">
        <v>1758</v>
      </c>
      <c r="D62">
        <v>2025</v>
      </c>
      <c r="E62" t="s">
        <v>2612</v>
      </c>
      <c r="F62" t="s">
        <v>29</v>
      </c>
      <c r="H62" t="s">
        <v>30</v>
      </c>
      <c r="I62" t="s">
        <v>30</v>
      </c>
      <c r="J62" t="s">
        <v>30</v>
      </c>
      <c r="K62" t="s">
        <v>30</v>
      </c>
      <c r="L62" t="s">
        <v>12</v>
      </c>
      <c r="M62" s="22" t="s">
        <v>1752</v>
      </c>
      <c r="N62" t="s">
        <v>31</v>
      </c>
    </row>
    <row r="63" spans="1:14" ht="31.8">
      <c r="A63" t="s">
        <v>869</v>
      </c>
      <c r="B63" t="s">
        <v>1759</v>
      </c>
      <c r="C63" t="s">
        <v>1760</v>
      </c>
      <c r="D63">
        <v>2025</v>
      </c>
      <c r="E63" t="s">
        <v>2613</v>
      </c>
      <c r="F63" t="s">
        <v>29</v>
      </c>
      <c r="H63" t="s">
        <v>30</v>
      </c>
      <c r="I63" t="s">
        <v>30</v>
      </c>
      <c r="J63" t="s">
        <v>30</v>
      </c>
      <c r="K63" t="s">
        <v>30</v>
      </c>
      <c r="L63" t="s">
        <v>15</v>
      </c>
      <c r="M63" s="22" t="s">
        <v>3756</v>
      </c>
      <c r="N63" t="s">
        <v>30</v>
      </c>
    </row>
    <row r="64" spans="1:14" hidden="1">
      <c r="A64" t="s">
        <v>870</v>
      </c>
      <c r="B64" t="s">
        <v>1761</v>
      </c>
      <c r="C64" t="s">
        <v>1762</v>
      </c>
      <c r="D64">
        <v>2025</v>
      </c>
      <c r="E64" t="s">
        <v>2614</v>
      </c>
      <c r="F64" t="s">
        <v>29</v>
      </c>
      <c r="H64" t="s">
        <v>30</v>
      </c>
      <c r="I64" t="s">
        <v>30</v>
      </c>
      <c r="J64" t="s">
        <v>30</v>
      </c>
      <c r="K64" t="s">
        <v>30</v>
      </c>
      <c r="L64" t="s">
        <v>12</v>
      </c>
      <c r="M64" s="22" t="s">
        <v>1752</v>
      </c>
      <c r="N64" t="s">
        <v>31</v>
      </c>
    </row>
    <row r="65" spans="1:14" hidden="1">
      <c r="A65" t="s">
        <v>871</v>
      </c>
      <c r="B65" t="s">
        <v>1763</v>
      </c>
      <c r="C65" t="s">
        <v>1764</v>
      </c>
      <c r="D65">
        <v>2024</v>
      </c>
      <c r="E65" t="s">
        <v>2615</v>
      </c>
      <c r="F65" t="s">
        <v>29</v>
      </c>
      <c r="H65" t="s">
        <v>31</v>
      </c>
      <c r="I65" t="s">
        <v>30</v>
      </c>
      <c r="J65" t="s">
        <v>31</v>
      </c>
      <c r="N65" t="s">
        <v>31</v>
      </c>
    </row>
    <row r="66" spans="1:14" hidden="1">
      <c r="A66" t="s">
        <v>872</v>
      </c>
      <c r="B66" t="s">
        <v>1765</v>
      </c>
      <c r="C66" t="s">
        <v>1766</v>
      </c>
      <c r="D66">
        <v>2023</v>
      </c>
      <c r="E66" t="s">
        <v>2588</v>
      </c>
      <c r="F66" t="s">
        <v>29</v>
      </c>
      <c r="H66" t="s">
        <v>30</v>
      </c>
      <c r="I66" t="s">
        <v>30</v>
      </c>
      <c r="J66" t="s">
        <v>30</v>
      </c>
      <c r="K66" t="s">
        <v>30</v>
      </c>
      <c r="L66" t="s">
        <v>12</v>
      </c>
      <c r="M66" s="22" t="s">
        <v>1752</v>
      </c>
      <c r="N66" t="s">
        <v>31</v>
      </c>
    </row>
    <row r="67" spans="1:14" hidden="1">
      <c r="A67" t="s">
        <v>873</v>
      </c>
      <c r="B67" t="s">
        <v>1767</v>
      </c>
      <c r="C67" t="s">
        <v>1752</v>
      </c>
      <c r="D67">
        <v>2023</v>
      </c>
      <c r="E67" t="s">
        <v>1752</v>
      </c>
      <c r="H67" t="e">
        <v>#N/A</v>
      </c>
      <c r="I67" t="e">
        <v>#N/A</v>
      </c>
      <c r="N67" t="s">
        <v>31</v>
      </c>
    </row>
    <row r="68" spans="1:14" hidden="1">
      <c r="A68" t="s">
        <v>874</v>
      </c>
      <c r="B68" t="s">
        <v>1768</v>
      </c>
      <c r="C68" t="s">
        <v>1769</v>
      </c>
      <c r="D68">
        <v>2023</v>
      </c>
      <c r="E68" t="s">
        <v>2616</v>
      </c>
      <c r="F68" t="s">
        <v>29</v>
      </c>
      <c r="H68" t="s">
        <v>30</v>
      </c>
      <c r="I68" t="s">
        <v>30</v>
      </c>
      <c r="J68" t="s">
        <v>30</v>
      </c>
      <c r="K68" t="s">
        <v>30</v>
      </c>
      <c r="L68" t="s">
        <v>12</v>
      </c>
      <c r="M68" s="22" t="s">
        <v>1752</v>
      </c>
      <c r="N68" t="s">
        <v>31</v>
      </c>
    </row>
    <row r="69" spans="1:14" ht="62.4" hidden="1">
      <c r="A69" t="s">
        <v>875</v>
      </c>
      <c r="B69" t="s">
        <v>1770</v>
      </c>
      <c r="C69" t="s">
        <v>1771</v>
      </c>
      <c r="D69">
        <v>2024</v>
      </c>
      <c r="E69" t="s">
        <v>2568</v>
      </c>
      <c r="F69" t="s">
        <v>29</v>
      </c>
      <c r="G69" t="s">
        <v>31</v>
      </c>
      <c r="H69" t="s">
        <v>30</v>
      </c>
      <c r="I69" t="s">
        <v>30</v>
      </c>
      <c r="J69" t="s">
        <v>30</v>
      </c>
      <c r="K69" t="s">
        <v>30</v>
      </c>
      <c r="L69" t="s">
        <v>15</v>
      </c>
      <c r="M69" s="22" t="s">
        <v>3757</v>
      </c>
      <c r="N69" t="s">
        <v>31</v>
      </c>
    </row>
    <row r="70" spans="1:14" hidden="1">
      <c r="A70" t="s">
        <v>876</v>
      </c>
      <c r="B70" t="s">
        <v>1772</v>
      </c>
      <c r="C70" t="s">
        <v>1752</v>
      </c>
      <c r="D70">
        <v>2025</v>
      </c>
      <c r="E70" t="s">
        <v>1752</v>
      </c>
      <c r="H70" t="e">
        <v>#N/A</v>
      </c>
      <c r="I70" t="e">
        <v>#N/A</v>
      </c>
      <c r="N70" t="s">
        <v>31</v>
      </c>
    </row>
    <row r="71" spans="1:14" hidden="1">
      <c r="A71" t="s">
        <v>877</v>
      </c>
      <c r="B71" t="s">
        <v>1773</v>
      </c>
      <c r="C71" t="s">
        <v>1774</v>
      </c>
      <c r="D71">
        <v>2025</v>
      </c>
      <c r="E71" t="s">
        <v>2617</v>
      </c>
      <c r="F71" t="s">
        <v>29</v>
      </c>
      <c r="H71" t="s">
        <v>30</v>
      </c>
      <c r="I71" t="s">
        <v>30</v>
      </c>
      <c r="J71" t="s">
        <v>30</v>
      </c>
      <c r="K71" t="s">
        <v>30</v>
      </c>
      <c r="L71" t="s">
        <v>12</v>
      </c>
      <c r="M71" s="22" t="s">
        <v>1752</v>
      </c>
      <c r="N71" t="s">
        <v>31</v>
      </c>
    </row>
    <row r="72" spans="1:14" hidden="1">
      <c r="A72" t="s">
        <v>878</v>
      </c>
      <c r="B72" t="s">
        <v>1775</v>
      </c>
      <c r="C72" t="s">
        <v>1776</v>
      </c>
      <c r="D72">
        <v>2023</v>
      </c>
      <c r="E72" t="s">
        <v>2618</v>
      </c>
      <c r="F72" t="s">
        <v>29</v>
      </c>
      <c r="H72" t="s">
        <v>31</v>
      </c>
      <c r="I72" t="s">
        <v>30</v>
      </c>
      <c r="J72" t="s">
        <v>31</v>
      </c>
      <c r="N72" t="s">
        <v>31</v>
      </c>
    </row>
    <row r="73" spans="1:14" hidden="1">
      <c r="A73" t="s">
        <v>879</v>
      </c>
      <c r="B73" t="s">
        <v>1777</v>
      </c>
      <c r="C73" t="s">
        <v>1778</v>
      </c>
      <c r="D73">
        <v>2024</v>
      </c>
      <c r="E73" t="s">
        <v>2568</v>
      </c>
      <c r="F73" t="s">
        <v>29</v>
      </c>
      <c r="H73" t="s">
        <v>31</v>
      </c>
      <c r="I73" t="s">
        <v>30</v>
      </c>
      <c r="J73" t="s">
        <v>31</v>
      </c>
      <c r="N73" t="s">
        <v>31</v>
      </c>
    </row>
    <row r="74" spans="1:14" hidden="1">
      <c r="A74" t="s">
        <v>880</v>
      </c>
      <c r="B74" t="s">
        <v>1779</v>
      </c>
      <c r="C74" t="s">
        <v>1780</v>
      </c>
      <c r="D74">
        <v>2024</v>
      </c>
      <c r="E74" t="s">
        <v>2568</v>
      </c>
      <c r="F74" t="s">
        <v>29</v>
      </c>
      <c r="H74" t="s">
        <v>31</v>
      </c>
      <c r="I74" t="s">
        <v>30</v>
      </c>
      <c r="J74" t="s">
        <v>31</v>
      </c>
      <c r="N74" t="s">
        <v>31</v>
      </c>
    </row>
    <row r="75" spans="1:14" hidden="1">
      <c r="A75" t="s">
        <v>881</v>
      </c>
      <c r="B75" t="s">
        <v>1781</v>
      </c>
      <c r="C75" t="s">
        <v>1782</v>
      </c>
      <c r="D75">
        <v>2024</v>
      </c>
      <c r="E75" t="s">
        <v>2619</v>
      </c>
      <c r="F75" t="s">
        <v>29</v>
      </c>
      <c r="H75" t="s">
        <v>30</v>
      </c>
      <c r="I75" t="s">
        <v>30</v>
      </c>
      <c r="J75" t="s">
        <v>30</v>
      </c>
      <c r="K75" t="s">
        <v>30</v>
      </c>
      <c r="L75" t="s">
        <v>12</v>
      </c>
      <c r="M75" s="22" t="s">
        <v>1752</v>
      </c>
      <c r="N75" t="s">
        <v>31</v>
      </c>
    </row>
    <row r="76" spans="1:14" hidden="1">
      <c r="A76" t="s">
        <v>882</v>
      </c>
      <c r="B76" t="s">
        <v>1783</v>
      </c>
      <c r="C76" t="s">
        <v>1784</v>
      </c>
      <c r="D76">
        <v>2024</v>
      </c>
      <c r="E76" t="s">
        <v>2574</v>
      </c>
      <c r="F76" t="s">
        <v>29</v>
      </c>
      <c r="H76" t="s">
        <v>31</v>
      </c>
      <c r="I76" t="s">
        <v>30</v>
      </c>
      <c r="J76" t="s">
        <v>31</v>
      </c>
      <c r="N76" t="s">
        <v>31</v>
      </c>
    </row>
    <row r="77" spans="1:14" hidden="1">
      <c r="A77" t="s">
        <v>883</v>
      </c>
      <c r="B77" t="s">
        <v>1785</v>
      </c>
      <c r="C77" t="s">
        <v>1786</v>
      </c>
      <c r="D77">
        <v>2025</v>
      </c>
      <c r="E77" t="s">
        <v>2620</v>
      </c>
      <c r="F77" t="s">
        <v>29</v>
      </c>
      <c r="H77" t="s">
        <v>30</v>
      </c>
      <c r="I77" t="s">
        <v>30</v>
      </c>
      <c r="J77" t="s">
        <v>30</v>
      </c>
      <c r="K77" t="s">
        <v>30</v>
      </c>
      <c r="L77" t="s">
        <v>12</v>
      </c>
      <c r="M77" s="22" t="s">
        <v>1752</v>
      </c>
      <c r="N77" t="s">
        <v>31</v>
      </c>
    </row>
    <row r="78" spans="1:14" hidden="1">
      <c r="A78" t="s">
        <v>884</v>
      </c>
      <c r="B78" t="s">
        <v>1787</v>
      </c>
      <c r="C78" t="s">
        <v>1788</v>
      </c>
      <c r="D78">
        <v>2024</v>
      </c>
      <c r="E78" t="s">
        <v>2621</v>
      </c>
      <c r="F78" t="s">
        <v>29</v>
      </c>
      <c r="H78" t="s">
        <v>30</v>
      </c>
      <c r="I78" t="s">
        <v>30</v>
      </c>
      <c r="J78" t="s">
        <v>30</v>
      </c>
      <c r="K78" t="s">
        <v>30</v>
      </c>
      <c r="L78" t="s">
        <v>12</v>
      </c>
      <c r="M78" s="22" t="s">
        <v>1752</v>
      </c>
      <c r="N78" t="s">
        <v>31</v>
      </c>
    </row>
    <row r="79" spans="1:14" hidden="1">
      <c r="A79" t="s">
        <v>885</v>
      </c>
      <c r="B79" t="s">
        <v>1789</v>
      </c>
      <c r="C79" t="s">
        <v>1790</v>
      </c>
      <c r="D79">
        <v>2025</v>
      </c>
      <c r="E79" t="s">
        <v>2622</v>
      </c>
      <c r="F79" t="s">
        <v>29</v>
      </c>
      <c r="H79" t="s">
        <v>30</v>
      </c>
      <c r="I79" t="s">
        <v>30</v>
      </c>
      <c r="J79" t="s">
        <v>30</v>
      </c>
      <c r="K79" t="s">
        <v>30</v>
      </c>
      <c r="L79" t="s">
        <v>12</v>
      </c>
      <c r="M79" s="22" t="s">
        <v>1752</v>
      </c>
      <c r="N79" t="s">
        <v>31</v>
      </c>
    </row>
    <row r="80" spans="1:14" hidden="1">
      <c r="A80" t="s">
        <v>886</v>
      </c>
      <c r="B80" t="s">
        <v>1791</v>
      </c>
      <c r="C80" t="s">
        <v>1792</v>
      </c>
      <c r="D80">
        <v>2025</v>
      </c>
      <c r="E80" t="s">
        <v>2623</v>
      </c>
      <c r="F80" t="s">
        <v>29</v>
      </c>
      <c r="H80" t="s">
        <v>31</v>
      </c>
      <c r="I80" t="s">
        <v>30</v>
      </c>
      <c r="J80" t="s">
        <v>31</v>
      </c>
      <c r="N80" t="s">
        <v>31</v>
      </c>
    </row>
    <row r="81" spans="1:14" hidden="1">
      <c r="A81" t="s">
        <v>887</v>
      </c>
      <c r="B81" t="s">
        <v>1793</v>
      </c>
      <c r="C81" t="s">
        <v>1794</v>
      </c>
      <c r="D81">
        <v>2025</v>
      </c>
      <c r="E81" t="s">
        <v>2612</v>
      </c>
      <c r="F81" t="s">
        <v>29</v>
      </c>
      <c r="H81" t="s">
        <v>30</v>
      </c>
      <c r="I81" t="s">
        <v>30</v>
      </c>
      <c r="J81" t="s">
        <v>30</v>
      </c>
      <c r="K81" t="s">
        <v>30</v>
      </c>
      <c r="L81" t="s">
        <v>12</v>
      </c>
      <c r="M81" s="22" t="s">
        <v>1752</v>
      </c>
      <c r="N81" t="s">
        <v>31</v>
      </c>
    </row>
    <row r="82" spans="1:14" ht="21.6" hidden="1">
      <c r="A82" t="s">
        <v>888</v>
      </c>
      <c r="B82" t="s">
        <v>1795</v>
      </c>
      <c r="C82" t="s">
        <v>1796</v>
      </c>
      <c r="D82">
        <v>2023</v>
      </c>
      <c r="E82" t="s">
        <v>2624</v>
      </c>
      <c r="F82" t="s">
        <v>29</v>
      </c>
      <c r="G82" t="s">
        <v>31</v>
      </c>
      <c r="H82" t="s">
        <v>30</v>
      </c>
      <c r="I82" t="s">
        <v>30</v>
      </c>
      <c r="J82" t="s">
        <v>30</v>
      </c>
      <c r="K82" t="s">
        <v>30</v>
      </c>
      <c r="L82" t="s">
        <v>15</v>
      </c>
      <c r="M82" s="22" t="s">
        <v>3758</v>
      </c>
      <c r="N82" t="s">
        <v>31</v>
      </c>
    </row>
    <row r="83" spans="1:14" ht="31.8">
      <c r="A83" t="s">
        <v>889</v>
      </c>
      <c r="B83" t="s">
        <v>1797</v>
      </c>
      <c r="C83" t="s">
        <v>1798</v>
      </c>
      <c r="D83">
        <v>2024</v>
      </c>
      <c r="E83" t="s">
        <v>2612</v>
      </c>
      <c r="F83" t="s">
        <v>29</v>
      </c>
      <c r="H83" t="s">
        <v>30</v>
      </c>
      <c r="I83" t="s">
        <v>30</v>
      </c>
      <c r="J83" t="s">
        <v>30</v>
      </c>
      <c r="K83" t="s">
        <v>30</v>
      </c>
      <c r="L83" t="s">
        <v>15</v>
      </c>
      <c r="M83" s="22" t="s">
        <v>3759</v>
      </c>
      <c r="N83" t="s">
        <v>30</v>
      </c>
    </row>
    <row r="84" spans="1:14" hidden="1">
      <c r="A84" t="s">
        <v>890</v>
      </c>
      <c r="B84" t="s">
        <v>1799</v>
      </c>
      <c r="C84" t="s">
        <v>1800</v>
      </c>
      <c r="D84">
        <v>2023</v>
      </c>
      <c r="E84" t="s">
        <v>2625</v>
      </c>
      <c r="F84" t="s">
        <v>29</v>
      </c>
      <c r="H84" t="s">
        <v>30</v>
      </c>
      <c r="I84" t="s">
        <v>3733</v>
      </c>
      <c r="J84" t="s">
        <v>31</v>
      </c>
      <c r="N84" t="s">
        <v>31</v>
      </c>
    </row>
    <row r="85" spans="1:14" ht="21.6">
      <c r="A85" t="s">
        <v>891</v>
      </c>
      <c r="B85" t="s">
        <v>1801</v>
      </c>
      <c r="C85" t="s">
        <v>1802</v>
      </c>
      <c r="D85">
        <v>2023</v>
      </c>
      <c r="E85" t="s">
        <v>2626</v>
      </c>
      <c r="F85" t="s">
        <v>29</v>
      </c>
      <c r="H85" t="s">
        <v>30</v>
      </c>
      <c r="I85" t="s">
        <v>30</v>
      </c>
      <c r="J85" t="s">
        <v>30</v>
      </c>
      <c r="K85" t="s">
        <v>30</v>
      </c>
      <c r="L85" t="s">
        <v>15</v>
      </c>
      <c r="M85" s="22" t="s">
        <v>3760</v>
      </c>
      <c r="N85" t="s">
        <v>30</v>
      </c>
    </row>
    <row r="86" spans="1:14" hidden="1">
      <c r="A86" t="s">
        <v>892</v>
      </c>
      <c r="B86" t="s">
        <v>1803</v>
      </c>
      <c r="C86" t="s">
        <v>1752</v>
      </c>
      <c r="D86">
        <v>2024</v>
      </c>
      <c r="E86" t="s">
        <v>1752</v>
      </c>
      <c r="H86" t="e">
        <v>#N/A</v>
      </c>
      <c r="I86" t="e">
        <v>#N/A</v>
      </c>
      <c r="N86" t="s">
        <v>31</v>
      </c>
    </row>
    <row r="87" spans="1:14" hidden="1">
      <c r="A87" t="s">
        <v>893</v>
      </c>
      <c r="B87" t="s">
        <v>1804</v>
      </c>
      <c r="C87" t="s">
        <v>1805</v>
      </c>
      <c r="D87">
        <v>2024</v>
      </c>
      <c r="E87" t="s">
        <v>2571</v>
      </c>
      <c r="F87" t="s">
        <v>29</v>
      </c>
      <c r="H87" t="s">
        <v>31</v>
      </c>
      <c r="I87" t="s">
        <v>30</v>
      </c>
      <c r="J87" t="s">
        <v>31</v>
      </c>
      <c r="N87" t="s">
        <v>31</v>
      </c>
    </row>
    <row r="88" spans="1:14" hidden="1">
      <c r="A88" t="s">
        <v>894</v>
      </c>
      <c r="B88" t="s">
        <v>1806</v>
      </c>
      <c r="C88" t="s">
        <v>1807</v>
      </c>
      <c r="D88">
        <v>2024</v>
      </c>
      <c r="E88" t="s">
        <v>2627</v>
      </c>
      <c r="F88" t="s">
        <v>29</v>
      </c>
      <c r="H88" t="s">
        <v>30</v>
      </c>
      <c r="I88" t="s">
        <v>30</v>
      </c>
      <c r="J88" t="s">
        <v>30</v>
      </c>
      <c r="K88" t="s">
        <v>30</v>
      </c>
      <c r="L88" t="s">
        <v>12</v>
      </c>
      <c r="M88" s="22" t="s">
        <v>1752</v>
      </c>
      <c r="N88" t="s">
        <v>31</v>
      </c>
    </row>
    <row r="89" spans="1:14" hidden="1">
      <c r="A89" t="s">
        <v>895</v>
      </c>
      <c r="B89" t="s">
        <v>1808</v>
      </c>
      <c r="C89" t="s">
        <v>1809</v>
      </c>
      <c r="D89">
        <v>2025</v>
      </c>
      <c r="E89" t="s">
        <v>2596</v>
      </c>
      <c r="F89" t="s">
        <v>29</v>
      </c>
      <c r="H89" t="s">
        <v>31</v>
      </c>
      <c r="I89" t="s">
        <v>30</v>
      </c>
      <c r="J89" t="s">
        <v>31</v>
      </c>
      <c r="N89" t="s">
        <v>31</v>
      </c>
    </row>
    <row r="90" spans="1:14" hidden="1">
      <c r="A90" t="s">
        <v>896</v>
      </c>
      <c r="B90" t="s">
        <v>1810</v>
      </c>
      <c r="C90" t="s">
        <v>1811</v>
      </c>
      <c r="D90">
        <v>2025</v>
      </c>
      <c r="E90" t="s">
        <v>2628</v>
      </c>
      <c r="F90" t="s">
        <v>29</v>
      </c>
      <c r="H90" t="s">
        <v>30</v>
      </c>
      <c r="I90" t="s">
        <v>30</v>
      </c>
      <c r="J90" t="s">
        <v>30</v>
      </c>
      <c r="K90" t="s">
        <v>30</v>
      </c>
      <c r="L90" t="s">
        <v>12</v>
      </c>
      <c r="M90" s="22" t="s">
        <v>1752</v>
      </c>
      <c r="N90" t="s">
        <v>31</v>
      </c>
    </row>
    <row r="91" spans="1:14" hidden="1">
      <c r="A91" t="s">
        <v>897</v>
      </c>
      <c r="B91" t="s">
        <v>1812</v>
      </c>
      <c r="C91" t="s">
        <v>1813</v>
      </c>
      <c r="D91">
        <v>2023</v>
      </c>
      <c r="E91" t="s">
        <v>2629</v>
      </c>
      <c r="F91" t="s">
        <v>29</v>
      </c>
      <c r="H91" t="s">
        <v>31</v>
      </c>
      <c r="I91" t="s">
        <v>30</v>
      </c>
      <c r="J91" t="s">
        <v>31</v>
      </c>
      <c r="N91" t="s">
        <v>31</v>
      </c>
    </row>
    <row r="92" spans="1:14" ht="42" hidden="1">
      <c r="A92" t="s">
        <v>898</v>
      </c>
      <c r="B92" t="s">
        <v>1814</v>
      </c>
      <c r="C92" t="s">
        <v>1815</v>
      </c>
      <c r="D92">
        <v>2024</v>
      </c>
      <c r="E92" t="s">
        <v>2630</v>
      </c>
      <c r="F92" t="s">
        <v>29</v>
      </c>
      <c r="G92" t="s">
        <v>31</v>
      </c>
      <c r="H92" t="s">
        <v>30</v>
      </c>
      <c r="I92" t="s">
        <v>30</v>
      </c>
      <c r="J92" t="s">
        <v>30</v>
      </c>
      <c r="K92" t="s">
        <v>30</v>
      </c>
      <c r="L92" t="s">
        <v>15</v>
      </c>
      <c r="M92" s="22" t="s">
        <v>3761</v>
      </c>
      <c r="N92" t="s">
        <v>31</v>
      </c>
    </row>
    <row r="93" spans="1:14" hidden="1">
      <c r="A93" t="s">
        <v>899</v>
      </c>
      <c r="B93" t="s">
        <v>1816</v>
      </c>
      <c r="C93" t="s">
        <v>1752</v>
      </c>
      <c r="D93">
        <v>2023</v>
      </c>
      <c r="E93" t="s">
        <v>1752</v>
      </c>
      <c r="H93" t="e">
        <v>#N/A</v>
      </c>
      <c r="I93" t="e">
        <v>#N/A</v>
      </c>
      <c r="N93" t="s">
        <v>31</v>
      </c>
    </row>
    <row r="94" spans="1:14" hidden="1">
      <c r="A94" t="s">
        <v>900</v>
      </c>
      <c r="B94" t="s">
        <v>1817</v>
      </c>
      <c r="C94" t="s">
        <v>1752</v>
      </c>
      <c r="D94">
        <v>2024</v>
      </c>
      <c r="E94" t="s">
        <v>1752</v>
      </c>
      <c r="H94" t="e">
        <v>#N/A</v>
      </c>
      <c r="I94" t="e">
        <v>#N/A</v>
      </c>
      <c r="N94" t="s">
        <v>31</v>
      </c>
    </row>
    <row r="95" spans="1:14" hidden="1">
      <c r="A95" t="s">
        <v>901</v>
      </c>
      <c r="B95" t="s">
        <v>1818</v>
      </c>
      <c r="C95" t="s">
        <v>1819</v>
      </c>
      <c r="D95">
        <v>2023</v>
      </c>
      <c r="E95" t="s">
        <v>2631</v>
      </c>
      <c r="F95" t="s">
        <v>29</v>
      </c>
      <c r="H95" t="s">
        <v>31</v>
      </c>
      <c r="I95" t="s">
        <v>30</v>
      </c>
      <c r="J95" t="s">
        <v>31</v>
      </c>
      <c r="N95" t="s">
        <v>31</v>
      </c>
    </row>
    <row r="96" spans="1:14" hidden="1">
      <c r="A96" t="s">
        <v>902</v>
      </c>
      <c r="B96" t="s">
        <v>1820</v>
      </c>
      <c r="C96" t="s">
        <v>1821</v>
      </c>
      <c r="D96">
        <v>2025</v>
      </c>
      <c r="E96" t="s">
        <v>2573</v>
      </c>
      <c r="F96" t="s">
        <v>29</v>
      </c>
      <c r="H96" t="s">
        <v>31</v>
      </c>
      <c r="I96" t="s">
        <v>30</v>
      </c>
      <c r="J96" t="s">
        <v>31</v>
      </c>
      <c r="N96" t="s">
        <v>31</v>
      </c>
    </row>
    <row r="97" spans="1:14" hidden="1">
      <c r="A97" t="s">
        <v>903</v>
      </c>
      <c r="B97" t="s">
        <v>1822</v>
      </c>
      <c r="C97" t="s">
        <v>1823</v>
      </c>
      <c r="D97">
        <v>2023</v>
      </c>
      <c r="E97" t="s">
        <v>2588</v>
      </c>
      <c r="F97" t="s">
        <v>29</v>
      </c>
      <c r="H97" t="s">
        <v>30</v>
      </c>
      <c r="I97" t="s">
        <v>30</v>
      </c>
      <c r="J97" t="s">
        <v>30</v>
      </c>
      <c r="K97" t="s">
        <v>30</v>
      </c>
      <c r="L97" t="s">
        <v>12</v>
      </c>
      <c r="M97" s="22" t="s">
        <v>1752</v>
      </c>
      <c r="N97" t="s">
        <v>31</v>
      </c>
    </row>
    <row r="98" spans="1:14" hidden="1">
      <c r="A98" t="s">
        <v>904</v>
      </c>
      <c r="B98" t="s">
        <v>1824</v>
      </c>
      <c r="C98" t="s">
        <v>1825</v>
      </c>
      <c r="D98">
        <v>2023</v>
      </c>
      <c r="E98" t="s">
        <v>2570</v>
      </c>
      <c r="F98" t="s">
        <v>29</v>
      </c>
      <c r="H98" t="s">
        <v>31</v>
      </c>
      <c r="I98" t="s">
        <v>30</v>
      </c>
      <c r="J98" t="s">
        <v>31</v>
      </c>
      <c r="N98" t="s">
        <v>31</v>
      </c>
    </row>
    <row r="99" spans="1:14" hidden="1">
      <c r="A99" t="s">
        <v>905</v>
      </c>
      <c r="B99" t="s">
        <v>1826</v>
      </c>
      <c r="C99" t="s">
        <v>1827</v>
      </c>
      <c r="D99">
        <v>2024</v>
      </c>
      <c r="E99" t="s">
        <v>2632</v>
      </c>
      <c r="F99" t="s">
        <v>29</v>
      </c>
      <c r="H99" t="s">
        <v>30</v>
      </c>
      <c r="I99" t="s">
        <v>30</v>
      </c>
      <c r="J99" t="s">
        <v>30</v>
      </c>
      <c r="K99" t="s">
        <v>30</v>
      </c>
      <c r="L99" t="s">
        <v>12</v>
      </c>
      <c r="M99" s="22" t="s">
        <v>1752</v>
      </c>
      <c r="N99" t="s">
        <v>31</v>
      </c>
    </row>
    <row r="100" spans="1:14" hidden="1">
      <c r="A100" t="s">
        <v>906</v>
      </c>
      <c r="B100" t="s">
        <v>1828</v>
      </c>
      <c r="C100" t="s">
        <v>1829</v>
      </c>
      <c r="D100">
        <v>2024</v>
      </c>
      <c r="E100" t="s">
        <v>2568</v>
      </c>
      <c r="F100" t="s">
        <v>29</v>
      </c>
      <c r="H100" t="s">
        <v>30</v>
      </c>
      <c r="I100" t="s">
        <v>30</v>
      </c>
      <c r="J100" t="s">
        <v>30</v>
      </c>
      <c r="K100" t="s">
        <v>30</v>
      </c>
      <c r="L100" t="s">
        <v>12</v>
      </c>
      <c r="M100" s="22" t="s">
        <v>1752</v>
      </c>
      <c r="N100" t="s">
        <v>31</v>
      </c>
    </row>
    <row r="101" spans="1:14" hidden="1">
      <c r="A101" t="s">
        <v>907</v>
      </c>
      <c r="B101" t="s">
        <v>1830</v>
      </c>
      <c r="C101" t="s">
        <v>1831</v>
      </c>
      <c r="D101">
        <v>2024</v>
      </c>
      <c r="E101" t="s">
        <v>2633</v>
      </c>
      <c r="F101" t="s">
        <v>29</v>
      </c>
      <c r="H101" t="s">
        <v>30</v>
      </c>
      <c r="I101" t="s">
        <v>30</v>
      </c>
      <c r="J101" t="s">
        <v>30</v>
      </c>
      <c r="K101" t="s">
        <v>30</v>
      </c>
      <c r="L101" t="s">
        <v>12</v>
      </c>
      <c r="M101" s="22" t="s">
        <v>1752</v>
      </c>
      <c r="N101" t="s">
        <v>31</v>
      </c>
    </row>
    <row r="102" spans="1:14" hidden="1">
      <c r="A102" t="s">
        <v>908</v>
      </c>
      <c r="B102" t="s">
        <v>1832</v>
      </c>
      <c r="C102" t="s">
        <v>1833</v>
      </c>
      <c r="D102">
        <v>2023</v>
      </c>
      <c r="E102" t="s">
        <v>2596</v>
      </c>
      <c r="F102" t="s">
        <v>29</v>
      </c>
      <c r="H102" t="s">
        <v>30</v>
      </c>
      <c r="I102" t="s">
        <v>30</v>
      </c>
      <c r="J102" t="s">
        <v>30</v>
      </c>
      <c r="K102" t="s">
        <v>30</v>
      </c>
      <c r="L102" t="s">
        <v>12</v>
      </c>
      <c r="M102" s="22" t="s">
        <v>1752</v>
      </c>
      <c r="N102" t="s">
        <v>31</v>
      </c>
    </row>
    <row r="103" spans="1:14" hidden="1">
      <c r="A103" t="s">
        <v>909</v>
      </c>
      <c r="B103" t="s">
        <v>1834</v>
      </c>
      <c r="C103" t="s">
        <v>1835</v>
      </c>
      <c r="D103">
        <v>2023</v>
      </c>
      <c r="E103" t="s">
        <v>2634</v>
      </c>
      <c r="F103" t="s">
        <v>29</v>
      </c>
      <c r="H103" t="s">
        <v>30</v>
      </c>
      <c r="I103" t="s">
        <v>30</v>
      </c>
      <c r="J103" t="s">
        <v>30</v>
      </c>
      <c r="K103" t="s">
        <v>30</v>
      </c>
      <c r="L103" t="s">
        <v>12</v>
      </c>
      <c r="M103" s="22" t="s">
        <v>1752</v>
      </c>
      <c r="N103" t="s">
        <v>31</v>
      </c>
    </row>
    <row r="104" spans="1:14" hidden="1">
      <c r="A104" t="s">
        <v>910</v>
      </c>
      <c r="B104" t="s">
        <v>1836</v>
      </c>
      <c r="C104" t="s">
        <v>1837</v>
      </c>
      <c r="D104">
        <v>2023</v>
      </c>
      <c r="E104" t="s">
        <v>2624</v>
      </c>
      <c r="F104" t="s">
        <v>29</v>
      </c>
      <c r="H104" t="s">
        <v>31</v>
      </c>
      <c r="I104" t="s">
        <v>30</v>
      </c>
      <c r="J104" t="s">
        <v>31</v>
      </c>
      <c r="N104" t="s">
        <v>31</v>
      </c>
    </row>
    <row r="105" spans="1:14" hidden="1">
      <c r="A105" t="s">
        <v>911</v>
      </c>
      <c r="B105" t="s">
        <v>1838</v>
      </c>
      <c r="C105" t="s">
        <v>1752</v>
      </c>
      <c r="D105">
        <v>2023</v>
      </c>
      <c r="E105" t="s">
        <v>1752</v>
      </c>
      <c r="H105" t="e">
        <v>#N/A</v>
      </c>
      <c r="I105" t="e">
        <v>#N/A</v>
      </c>
      <c r="N105" t="s">
        <v>31</v>
      </c>
    </row>
    <row r="106" spans="1:14" hidden="1">
      <c r="A106" t="s">
        <v>912</v>
      </c>
      <c r="B106" t="s">
        <v>1839</v>
      </c>
      <c r="C106" t="s">
        <v>1840</v>
      </c>
      <c r="D106">
        <v>2025</v>
      </c>
      <c r="E106" t="s">
        <v>2613</v>
      </c>
      <c r="F106" t="s">
        <v>29</v>
      </c>
      <c r="H106" t="s">
        <v>30</v>
      </c>
      <c r="I106" t="s">
        <v>30</v>
      </c>
      <c r="J106" t="s">
        <v>30</v>
      </c>
      <c r="K106" t="s">
        <v>30</v>
      </c>
      <c r="L106" t="s">
        <v>12</v>
      </c>
      <c r="M106" s="22" t="s">
        <v>1752</v>
      </c>
      <c r="N106" t="s">
        <v>31</v>
      </c>
    </row>
    <row r="107" spans="1:14" hidden="1">
      <c r="A107" t="s">
        <v>913</v>
      </c>
      <c r="B107" t="s">
        <v>1841</v>
      </c>
      <c r="C107" t="s">
        <v>1842</v>
      </c>
      <c r="D107">
        <v>2025</v>
      </c>
      <c r="E107" t="s">
        <v>2635</v>
      </c>
      <c r="F107" t="s">
        <v>29</v>
      </c>
      <c r="H107" t="s">
        <v>31</v>
      </c>
      <c r="I107" t="s">
        <v>30</v>
      </c>
      <c r="J107" t="s">
        <v>31</v>
      </c>
      <c r="N107" t="s">
        <v>31</v>
      </c>
    </row>
    <row r="108" spans="1:14" hidden="1">
      <c r="A108" t="s">
        <v>914</v>
      </c>
      <c r="B108" t="s">
        <v>1843</v>
      </c>
      <c r="C108" t="s">
        <v>1844</v>
      </c>
      <c r="D108">
        <v>2023</v>
      </c>
      <c r="E108" t="s">
        <v>2606</v>
      </c>
      <c r="F108" t="s">
        <v>29</v>
      </c>
      <c r="H108" t="s">
        <v>31</v>
      </c>
      <c r="I108" t="s">
        <v>30</v>
      </c>
      <c r="J108" t="s">
        <v>31</v>
      </c>
      <c r="N108" t="s">
        <v>31</v>
      </c>
    </row>
    <row r="109" spans="1:14" hidden="1">
      <c r="A109" t="s">
        <v>915</v>
      </c>
      <c r="B109" t="s">
        <v>1845</v>
      </c>
      <c r="C109" t="s">
        <v>1846</v>
      </c>
      <c r="D109">
        <v>2024</v>
      </c>
      <c r="E109" t="s">
        <v>2636</v>
      </c>
      <c r="F109" t="s">
        <v>29</v>
      </c>
      <c r="H109" t="s">
        <v>30</v>
      </c>
      <c r="I109" t="s">
        <v>30</v>
      </c>
      <c r="J109" t="s">
        <v>30</v>
      </c>
      <c r="K109" t="s">
        <v>30</v>
      </c>
      <c r="L109" t="s">
        <v>12</v>
      </c>
      <c r="M109" s="22" t="s">
        <v>1752</v>
      </c>
      <c r="N109" t="s">
        <v>31</v>
      </c>
    </row>
    <row r="110" spans="1:14" hidden="1">
      <c r="A110" t="s">
        <v>916</v>
      </c>
      <c r="B110" t="s">
        <v>1847</v>
      </c>
      <c r="C110" t="s">
        <v>1848</v>
      </c>
      <c r="D110">
        <v>2024</v>
      </c>
      <c r="E110" t="s">
        <v>2637</v>
      </c>
      <c r="F110" t="s">
        <v>29</v>
      </c>
      <c r="H110" t="s">
        <v>30</v>
      </c>
      <c r="I110" t="s">
        <v>30</v>
      </c>
      <c r="J110" t="s">
        <v>30</v>
      </c>
      <c r="K110" t="s">
        <v>30</v>
      </c>
      <c r="L110" t="s">
        <v>12</v>
      </c>
      <c r="M110" s="22" t="s">
        <v>1752</v>
      </c>
      <c r="N110" t="s">
        <v>31</v>
      </c>
    </row>
    <row r="111" spans="1:14" hidden="1">
      <c r="A111" t="s">
        <v>917</v>
      </c>
      <c r="B111" t="s">
        <v>1849</v>
      </c>
      <c r="C111" t="s">
        <v>1850</v>
      </c>
      <c r="D111">
        <v>2024</v>
      </c>
      <c r="E111" t="s">
        <v>2596</v>
      </c>
      <c r="F111" t="s">
        <v>29</v>
      </c>
      <c r="H111" t="s">
        <v>31</v>
      </c>
      <c r="I111" t="s">
        <v>30</v>
      </c>
      <c r="J111" t="s">
        <v>31</v>
      </c>
      <c r="N111" t="s">
        <v>31</v>
      </c>
    </row>
    <row r="112" spans="1:14" hidden="1">
      <c r="A112" t="s">
        <v>918</v>
      </c>
      <c r="B112" t="s">
        <v>1851</v>
      </c>
      <c r="C112" t="s">
        <v>1852</v>
      </c>
      <c r="D112">
        <v>2024</v>
      </c>
      <c r="E112" t="s">
        <v>2638</v>
      </c>
      <c r="F112" t="s">
        <v>29</v>
      </c>
      <c r="H112" t="s">
        <v>30</v>
      </c>
      <c r="I112" t="s">
        <v>30</v>
      </c>
      <c r="J112" t="s">
        <v>30</v>
      </c>
      <c r="K112" t="s">
        <v>30</v>
      </c>
      <c r="L112" t="s">
        <v>12</v>
      </c>
      <c r="M112" s="22" t="s">
        <v>1752</v>
      </c>
      <c r="N112" t="s">
        <v>31</v>
      </c>
    </row>
    <row r="113" spans="1:14" hidden="1">
      <c r="A113" t="s">
        <v>919</v>
      </c>
      <c r="B113" t="s">
        <v>1853</v>
      </c>
      <c r="C113" t="s">
        <v>1854</v>
      </c>
      <c r="D113">
        <v>2023</v>
      </c>
      <c r="E113" t="s">
        <v>2639</v>
      </c>
      <c r="F113" t="s">
        <v>29</v>
      </c>
      <c r="H113" t="s">
        <v>30</v>
      </c>
      <c r="I113" t="s">
        <v>30</v>
      </c>
      <c r="J113" t="s">
        <v>30</v>
      </c>
      <c r="K113" t="s">
        <v>30</v>
      </c>
      <c r="L113" t="s">
        <v>15</v>
      </c>
      <c r="M113" s="22" t="s">
        <v>1752</v>
      </c>
      <c r="N113" t="s">
        <v>31</v>
      </c>
    </row>
    <row r="114" spans="1:14" ht="42" hidden="1">
      <c r="A114" t="s">
        <v>920</v>
      </c>
      <c r="B114" t="s">
        <v>1855</v>
      </c>
      <c r="C114" t="s">
        <v>1856</v>
      </c>
      <c r="D114">
        <v>2023</v>
      </c>
      <c r="E114" t="s">
        <v>2640</v>
      </c>
      <c r="F114" t="s">
        <v>29</v>
      </c>
      <c r="G114" t="s">
        <v>31</v>
      </c>
      <c r="H114" t="s">
        <v>30</v>
      </c>
      <c r="I114" t="s">
        <v>30</v>
      </c>
      <c r="J114" t="s">
        <v>30</v>
      </c>
      <c r="K114" t="s">
        <v>30</v>
      </c>
      <c r="L114" t="s">
        <v>15</v>
      </c>
      <c r="M114" s="22" t="s">
        <v>3762</v>
      </c>
      <c r="N114" t="s">
        <v>31</v>
      </c>
    </row>
    <row r="115" spans="1:14" hidden="1">
      <c r="A115" t="s">
        <v>921</v>
      </c>
      <c r="B115" t="s">
        <v>1857</v>
      </c>
      <c r="C115" t="s">
        <v>1858</v>
      </c>
      <c r="D115">
        <v>2024</v>
      </c>
      <c r="E115" t="s">
        <v>2641</v>
      </c>
      <c r="F115" t="s">
        <v>29</v>
      </c>
      <c r="H115" t="s">
        <v>31</v>
      </c>
      <c r="I115" t="s">
        <v>30</v>
      </c>
      <c r="J115" t="s">
        <v>31</v>
      </c>
      <c r="N115" t="s">
        <v>31</v>
      </c>
    </row>
    <row r="116" spans="1:14" hidden="1">
      <c r="A116" t="s">
        <v>922</v>
      </c>
      <c r="B116" t="s">
        <v>1859</v>
      </c>
      <c r="C116" t="s">
        <v>1752</v>
      </c>
      <c r="D116">
        <v>2025</v>
      </c>
      <c r="E116" t="s">
        <v>1752</v>
      </c>
      <c r="H116" t="e">
        <v>#N/A</v>
      </c>
      <c r="I116" t="e">
        <v>#N/A</v>
      </c>
      <c r="N116" t="s">
        <v>31</v>
      </c>
    </row>
    <row r="117" spans="1:14" hidden="1">
      <c r="A117" t="s">
        <v>923</v>
      </c>
      <c r="B117" t="s">
        <v>1860</v>
      </c>
      <c r="C117" t="s">
        <v>1861</v>
      </c>
      <c r="D117">
        <v>2025</v>
      </c>
      <c r="E117" t="s">
        <v>2573</v>
      </c>
      <c r="F117" t="s">
        <v>29</v>
      </c>
      <c r="H117" t="s">
        <v>31</v>
      </c>
      <c r="I117" t="s">
        <v>30</v>
      </c>
      <c r="J117" t="s">
        <v>31</v>
      </c>
      <c r="N117" t="s">
        <v>31</v>
      </c>
    </row>
    <row r="118" spans="1:14" hidden="1">
      <c r="A118" t="s">
        <v>924</v>
      </c>
      <c r="B118" t="s">
        <v>1862</v>
      </c>
      <c r="C118" t="s">
        <v>1752</v>
      </c>
      <c r="D118">
        <v>2025</v>
      </c>
      <c r="E118" t="s">
        <v>1752</v>
      </c>
      <c r="H118" t="e">
        <v>#N/A</v>
      </c>
      <c r="I118" t="e">
        <v>#N/A</v>
      </c>
      <c r="N118" t="s">
        <v>31</v>
      </c>
    </row>
    <row r="119" spans="1:14" hidden="1">
      <c r="A119" t="s">
        <v>925</v>
      </c>
      <c r="B119" t="s">
        <v>1863</v>
      </c>
      <c r="C119" t="s">
        <v>1752</v>
      </c>
      <c r="D119">
        <v>2024</v>
      </c>
      <c r="E119" t="s">
        <v>1752</v>
      </c>
      <c r="H119" t="e">
        <v>#N/A</v>
      </c>
      <c r="I119" t="e">
        <v>#N/A</v>
      </c>
      <c r="N119" t="s">
        <v>31</v>
      </c>
    </row>
    <row r="120" spans="1:14" ht="42">
      <c r="A120" t="s">
        <v>926</v>
      </c>
      <c r="B120" t="s">
        <v>1864</v>
      </c>
      <c r="C120" t="s">
        <v>1865</v>
      </c>
      <c r="D120">
        <v>2025</v>
      </c>
      <c r="E120" t="s">
        <v>2642</v>
      </c>
      <c r="F120" t="s">
        <v>29</v>
      </c>
      <c r="H120" t="s">
        <v>30</v>
      </c>
      <c r="I120" t="s">
        <v>30</v>
      </c>
      <c r="J120" t="s">
        <v>30</v>
      </c>
      <c r="K120" t="s">
        <v>30</v>
      </c>
      <c r="L120" t="s">
        <v>15</v>
      </c>
      <c r="M120" s="22" t="s">
        <v>3763</v>
      </c>
      <c r="N120" t="s">
        <v>30</v>
      </c>
    </row>
    <row r="121" spans="1:14" hidden="1">
      <c r="A121" t="s">
        <v>927</v>
      </c>
      <c r="B121" t="s">
        <v>1866</v>
      </c>
      <c r="C121" t="s">
        <v>1867</v>
      </c>
      <c r="D121">
        <v>2024</v>
      </c>
      <c r="E121" t="s">
        <v>2643</v>
      </c>
      <c r="F121" t="s">
        <v>29</v>
      </c>
      <c r="H121" t="s">
        <v>30</v>
      </c>
      <c r="I121" t="s">
        <v>30</v>
      </c>
      <c r="J121" t="s">
        <v>30</v>
      </c>
      <c r="K121" t="s">
        <v>30</v>
      </c>
      <c r="L121" t="s">
        <v>12</v>
      </c>
      <c r="M121" s="22" t="s">
        <v>1752</v>
      </c>
      <c r="N121" t="s">
        <v>31</v>
      </c>
    </row>
    <row r="122" spans="1:14" hidden="1">
      <c r="A122" t="s">
        <v>928</v>
      </c>
      <c r="B122" t="s">
        <v>1868</v>
      </c>
      <c r="C122" t="s">
        <v>1869</v>
      </c>
      <c r="D122">
        <v>2025</v>
      </c>
      <c r="E122" t="s">
        <v>2644</v>
      </c>
      <c r="F122" t="s">
        <v>29</v>
      </c>
      <c r="H122" t="s">
        <v>30</v>
      </c>
      <c r="I122" t="s">
        <v>30</v>
      </c>
      <c r="J122" t="s">
        <v>30</v>
      </c>
      <c r="K122" t="s">
        <v>30</v>
      </c>
      <c r="L122" t="s">
        <v>12</v>
      </c>
      <c r="M122" s="22" t="s">
        <v>1752</v>
      </c>
      <c r="N122" t="s">
        <v>31</v>
      </c>
    </row>
    <row r="123" spans="1:14" hidden="1">
      <c r="A123" t="s">
        <v>929</v>
      </c>
      <c r="B123" t="s">
        <v>1870</v>
      </c>
      <c r="C123" t="s">
        <v>1871</v>
      </c>
      <c r="D123">
        <v>2024</v>
      </c>
      <c r="E123" t="s">
        <v>2582</v>
      </c>
      <c r="F123" t="s">
        <v>29</v>
      </c>
      <c r="H123" t="s">
        <v>30</v>
      </c>
      <c r="I123" t="s">
        <v>30</v>
      </c>
      <c r="J123" t="s">
        <v>30</v>
      </c>
      <c r="K123" t="s">
        <v>30</v>
      </c>
      <c r="L123" t="s">
        <v>12</v>
      </c>
      <c r="M123" s="22" t="s">
        <v>1752</v>
      </c>
      <c r="N123" t="s">
        <v>31</v>
      </c>
    </row>
    <row r="124" spans="1:14" hidden="1">
      <c r="A124" t="s">
        <v>930</v>
      </c>
      <c r="B124" t="s">
        <v>1872</v>
      </c>
      <c r="C124" t="s">
        <v>1873</v>
      </c>
      <c r="D124">
        <v>2024</v>
      </c>
      <c r="E124" t="s">
        <v>2615</v>
      </c>
      <c r="F124" t="s">
        <v>29</v>
      </c>
      <c r="H124" t="s">
        <v>30</v>
      </c>
      <c r="I124" t="s">
        <v>30</v>
      </c>
      <c r="J124" t="s">
        <v>30</v>
      </c>
      <c r="K124" t="s">
        <v>30</v>
      </c>
      <c r="L124" t="s">
        <v>12</v>
      </c>
      <c r="M124" s="22" t="s">
        <v>1752</v>
      </c>
      <c r="N124" t="s">
        <v>31</v>
      </c>
    </row>
    <row r="125" spans="1:14" hidden="1">
      <c r="A125" t="s">
        <v>931</v>
      </c>
      <c r="B125" t="s">
        <v>1874</v>
      </c>
      <c r="C125" t="s">
        <v>1875</v>
      </c>
      <c r="D125">
        <v>2025</v>
      </c>
      <c r="E125" t="s">
        <v>2645</v>
      </c>
      <c r="F125" t="s">
        <v>29</v>
      </c>
      <c r="H125" t="s">
        <v>30</v>
      </c>
      <c r="I125" t="s">
        <v>30</v>
      </c>
      <c r="J125" t="s">
        <v>30</v>
      </c>
      <c r="K125" t="s">
        <v>30</v>
      </c>
      <c r="L125" t="s">
        <v>12</v>
      </c>
      <c r="M125" s="22" t="s">
        <v>1752</v>
      </c>
      <c r="N125" t="s">
        <v>31</v>
      </c>
    </row>
    <row r="126" spans="1:14" hidden="1">
      <c r="A126" t="s">
        <v>932</v>
      </c>
      <c r="B126" t="s">
        <v>1876</v>
      </c>
      <c r="C126" t="s">
        <v>1752</v>
      </c>
      <c r="D126">
        <v>2024</v>
      </c>
      <c r="E126" t="s">
        <v>1752</v>
      </c>
      <c r="H126" t="e">
        <v>#N/A</v>
      </c>
      <c r="I126" t="e">
        <v>#N/A</v>
      </c>
      <c r="N126" t="s">
        <v>31</v>
      </c>
    </row>
    <row r="127" spans="1:14" hidden="1">
      <c r="A127" t="s">
        <v>933</v>
      </c>
      <c r="B127" t="s">
        <v>1877</v>
      </c>
      <c r="C127" t="s">
        <v>1878</v>
      </c>
      <c r="D127">
        <v>2024</v>
      </c>
      <c r="E127" t="s">
        <v>2646</v>
      </c>
      <c r="F127" t="s">
        <v>29</v>
      </c>
      <c r="H127" t="s">
        <v>31</v>
      </c>
      <c r="I127" t="s">
        <v>30</v>
      </c>
      <c r="J127" t="s">
        <v>31</v>
      </c>
      <c r="N127" t="s">
        <v>31</v>
      </c>
    </row>
    <row r="128" spans="1:14" hidden="1">
      <c r="A128" t="s">
        <v>934</v>
      </c>
      <c r="B128" t="s">
        <v>1879</v>
      </c>
      <c r="C128" t="s">
        <v>1880</v>
      </c>
      <c r="D128">
        <v>2023</v>
      </c>
      <c r="E128" t="s">
        <v>2647</v>
      </c>
      <c r="F128" t="s">
        <v>29</v>
      </c>
      <c r="H128" t="s">
        <v>31</v>
      </c>
      <c r="I128" t="s">
        <v>30</v>
      </c>
      <c r="J128" t="s">
        <v>31</v>
      </c>
      <c r="N128" t="s">
        <v>31</v>
      </c>
    </row>
    <row r="129" spans="1:14" hidden="1">
      <c r="A129" t="s">
        <v>935</v>
      </c>
      <c r="B129" t="s">
        <v>1881</v>
      </c>
      <c r="C129" t="s">
        <v>1752</v>
      </c>
      <c r="D129">
        <v>2025</v>
      </c>
      <c r="E129" t="s">
        <v>1752</v>
      </c>
      <c r="H129" t="e">
        <v>#N/A</v>
      </c>
      <c r="I129" t="e">
        <v>#N/A</v>
      </c>
      <c r="N129" t="s">
        <v>31</v>
      </c>
    </row>
    <row r="130" spans="1:14" ht="31.8" hidden="1">
      <c r="A130" t="s">
        <v>936</v>
      </c>
      <c r="B130" t="s">
        <v>1882</v>
      </c>
      <c r="C130" t="s">
        <v>1883</v>
      </c>
      <c r="D130">
        <v>2025</v>
      </c>
      <c r="E130" t="s">
        <v>2648</v>
      </c>
      <c r="F130" t="s">
        <v>29</v>
      </c>
      <c r="H130" t="s">
        <v>30</v>
      </c>
      <c r="I130" t="s">
        <v>31</v>
      </c>
      <c r="J130" t="s">
        <v>30</v>
      </c>
      <c r="K130" t="s">
        <v>30</v>
      </c>
      <c r="L130" t="s">
        <v>15</v>
      </c>
      <c r="M130" s="22" t="s">
        <v>3764</v>
      </c>
      <c r="N130" t="s">
        <v>31</v>
      </c>
    </row>
    <row r="131" spans="1:14" hidden="1">
      <c r="A131" t="s">
        <v>937</v>
      </c>
      <c r="B131" t="s">
        <v>1884</v>
      </c>
      <c r="C131" t="s">
        <v>1752</v>
      </c>
      <c r="D131">
        <v>2023</v>
      </c>
      <c r="E131" t="s">
        <v>1752</v>
      </c>
      <c r="H131" t="e">
        <v>#N/A</v>
      </c>
      <c r="I131" t="e">
        <v>#N/A</v>
      </c>
      <c r="N131" t="s">
        <v>31</v>
      </c>
    </row>
    <row r="132" spans="1:14" hidden="1">
      <c r="A132" t="s">
        <v>938</v>
      </c>
      <c r="B132" t="s">
        <v>1885</v>
      </c>
      <c r="C132" t="s">
        <v>1886</v>
      </c>
      <c r="D132">
        <v>2025</v>
      </c>
      <c r="E132" t="s">
        <v>2573</v>
      </c>
      <c r="F132" t="s">
        <v>29</v>
      </c>
      <c r="H132" t="s">
        <v>30</v>
      </c>
      <c r="I132" t="s">
        <v>30</v>
      </c>
      <c r="J132" t="s">
        <v>30</v>
      </c>
      <c r="K132" t="s">
        <v>30</v>
      </c>
      <c r="L132" t="s">
        <v>12</v>
      </c>
      <c r="M132" s="22" t="s">
        <v>1752</v>
      </c>
      <c r="N132" t="s">
        <v>31</v>
      </c>
    </row>
    <row r="133" spans="1:14" hidden="1">
      <c r="A133" t="s">
        <v>939</v>
      </c>
      <c r="B133" t="s">
        <v>1887</v>
      </c>
      <c r="C133" t="s">
        <v>1888</v>
      </c>
      <c r="D133">
        <v>2025</v>
      </c>
      <c r="E133" t="s">
        <v>2612</v>
      </c>
      <c r="F133" t="s">
        <v>29</v>
      </c>
      <c r="H133" t="s">
        <v>30</v>
      </c>
      <c r="I133" t="s">
        <v>30</v>
      </c>
      <c r="J133" t="s">
        <v>30</v>
      </c>
      <c r="K133" t="s">
        <v>30</v>
      </c>
      <c r="L133" t="s">
        <v>12</v>
      </c>
      <c r="M133" s="22" t="s">
        <v>1752</v>
      </c>
      <c r="N133" t="s">
        <v>31</v>
      </c>
    </row>
    <row r="134" spans="1:14" hidden="1">
      <c r="A134" t="s">
        <v>940</v>
      </c>
      <c r="B134" t="s">
        <v>1889</v>
      </c>
      <c r="C134" t="s">
        <v>1890</v>
      </c>
      <c r="D134">
        <v>2023</v>
      </c>
      <c r="E134" t="s">
        <v>2649</v>
      </c>
      <c r="F134" t="s">
        <v>29</v>
      </c>
      <c r="H134" t="s">
        <v>31</v>
      </c>
      <c r="I134" t="s">
        <v>30</v>
      </c>
      <c r="J134" t="s">
        <v>31</v>
      </c>
      <c r="N134" t="s">
        <v>31</v>
      </c>
    </row>
    <row r="135" spans="1:14" hidden="1">
      <c r="A135" t="s">
        <v>941</v>
      </c>
      <c r="B135" t="s">
        <v>1891</v>
      </c>
      <c r="C135" t="s">
        <v>1892</v>
      </c>
      <c r="D135">
        <v>2024</v>
      </c>
      <c r="E135" t="s">
        <v>2650</v>
      </c>
      <c r="F135" t="s">
        <v>29</v>
      </c>
      <c r="H135" t="s">
        <v>31</v>
      </c>
      <c r="I135" t="s">
        <v>30</v>
      </c>
      <c r="J135" t="s">
        <v>31</v>
      </c>
      <c r="N135" t="s">
        <v>31</v>
      </c>
    </row>
    <row r="136" spans="1:14" hidden="1">
      <c r="A136" t="s">
        <v>942</v>
      </c>
      <c r="B136" t="s">
        <v>1893</v>
      </c>
      <c r="C136" t="s">
        <v>1752</v>
      </c>
      <c r="D136">
        <v>2024</v>
      </c>
      <c r="E136" t="s">
        <v>1752</v>
      </c>
      <c r="H136" t="e">
        <v>#N/A</v>
      </c>
      <c r="I136" t="e">
        <v>#N/A</v>
      </c>
      <c r="N136" t="s">
        <v>31</v>
      </c>
    </row>
    <row r="137" spans="1:14" hidden="1">
      <c r="A137" t="s">
        <v>943</v>
      </c>
      <c r="B137" t="s">
        <v>1894</v>
      </c>
      <c r="C137" t="s">
        <v>1895</v>
      </c>
      <c r="D137">
        <v>2023</v>
      </c>
      <c r="E137" t="s">
        <v>2651</v>
      </c>
      <c r="F137" t="s">
        <v>29</v>
      </c>
      <c r="H137" t="s">
        <v>31</v>
      </c>
      <c r="I137" t="s">
        <v>30</v>
      </c>
      <c r="J137" t="s">
        <v>31</v>
      </c>
      <c r="N137" t="s">
        <v>31</v>
      </c>
    </row>
    <row r="138" spans="1:14" hidden="1">
      <c r="A138" t="s">
        <v>944</v>
      </c>
      <c r="B138" t="s">
        <v>1896</v>
      </c>
      <c r="C138" t="s">
        <v>1897</v>
      </c>
      <c r="D138">
        <v>2025</v>
      </c>
      <c r="E138" t="s">
        <v>2612</v>
      </c>
      <c r="F138" t="s">
        <v>29</v>
      </c>
      <c r="H138" t="s">
        <v>30</v>
      </c>
      <c r="I138" t="s">
        <v>30</v>
      </c>
      <c r="J138" t="s">
        <v>30</v>
      </c>
      <c r="K138" t="s">
        <v>30</v>
      </c>
      <c r="L138" t="s">
        <v>12</v>
      </c>
      <c r="M138" s="22" t="s">
        <v>1752</v>
      </c>
      <c r="N138" t="s">
        <v>31</v>
      </c>
    </row>
    <row r="139" spans="1:14" hidden="1">
      <c r="A139" t="s">
        <v>945</v>
      </c>
      <c r="B139" t="s">
        <v>1898</v>
      </c>
      <c r="C139" t="s">
        <v>1899</v>
      </c>
      <c r="D139">
        <v>2024</v>
      </c>
      <c r="E139" t="s">
        <v>2652</v>
      </c>
      <c r="F139" t="s">
        <v>29</v>
      </c>
      <c r="H139" t="s">
        <v>31</v>
      </c>
      <c r="I139" t="s">
        <v>30</v>
      </c>
      <c r="J139" t="s">
        <v>31</v>
      </c>
      <c r="N139" t="s">
        <v>31</v>
      </c>
    </row>
    <row r="140" spans="1:14" hidden="1">
      <c r="A140" t="s">
        <v>946</v>
      </c>
      <c r="B140" t="s">
        <v>1900</v>
      </c>
      <c r="C140" t="s">
        <v>1901</v>
      </c>
      <c r="D140">
        <v>2025</v>
      </c>
      <c r="E140" t="s">
        <v>2653</v>
      </c>
      <c r="F140" t="s">
        <v>29</v>
      </c>
      <c r="H140" t="s">
        <v>31</v>
      </c>
      <c r="I140" t="s">
        <v>30</v>
      </c>
      <c r="J140" t="s">
        <v>31</v>
      </c>
      <c r="N140" t="s">
        <v>31</v>
      </c>
    </row>
    <row r="141" spans="1:14" hidden="1">
      <c r="A141" t="s">
        <v>947</v>
      </c>
      <c r="B141" t="s">
        <v>1902</v>
      </c>
      <c r="C141" t="s">
        <v>1903</v>
      </c>
      <c r="D141">
        <v>2024</v>
      </c>
      <c r="E141" t="s">
        <v>2570</v>
      </c>
      <c r="F141" t="s">
        <v>29</v>
      </c>
      <c r="H141" t="s">
        <v>31</v>
      </c>
      <c r="I141" t="s">
        <v>30</v>
      </c>
      <c r="J141" t="s">
        <v>31</v>
      </c>
      <c r="N141" t="s">
        <v>31</v>
      </c>
    </row>
    <row r="142" spans="1:14" hidden="1">
      <c r="A142" t="s">
        <v>948</v>
      </c>
      <c r="B142" t="s">
        <v>1904</v>
      </c>
      <c r="C142" t="s">
        <v>1752</v>
      </c>
      <c r="D142">
        <v>2024</v>
      </c>
      <c r="E142" t="s">
        <v>1752</v>
      </c>
      <c r="H142" t="e">
        <v>#N/A</v>
      </c>
      <c r="I142" t="e">
        <v>#N/A</v>
      </c>
      <c r="N142" t="s">
        <v>31</v>
      </c>
    </row>
    <row r="143" spans="1:14" hidden="1">
      <c r="A143" t="s">
        <v>949</v>
      </c>
      <c r="B143" t="s">
        <v>1905</v>
      </c>
      <c r="C143" t="s">
        <v>1906</v>
      </c>
      <c r="D143">
        <v>2025</v>
      </c>
      <c r="E143" t="s">
        <v>2654</v>
      </c>
      <c r="F143" t="s">
        <v>29</v>
      </c>
      <c r="H143" t="s">
        <v>31</v>
      </c>
      <c r="I143" t="s">
        <v>30</v>
      </c>
      <c r="J143" t="s">
        <v>31</v>
      </c>
      <c r="N143" t="s">
        <v>31</v>
      </c>
    </row>
    <row r="144" spans="1:14" hidden="1">
      <c r="A144" t="s">
        <v>950</v>
      </c>
      <c r="B144" t="s">
        <v>1907</v>
      </c>
      <c r="C144" t="s">
        <v>1752</v>
      </c>
      <c r="D144">
        <v>2024</v>
      </c>
      <c r="E144" t="s">
        <v>1752</v>
      </c>
      <c r="H144" t="e">
        <v>#N/A</v>
      </c>
      <c r="I144" t="e">
        <v>#N/A</v>
      </c>
      <c r="N144" t="s">
        <v>31</v>
      </c>
    </row>
    <row r="145" spans="1:14" hidden="1">
      <c r="A145" t="s">
        <v>951</v>
      </c>
      <c r="B145" t="s">
        <v>1908</v>
      </c>
      <c r="C145" t="s">
        <v>1752</v>
      </c>
      <c r="D145">
        <v>2022</v>
      </c>
      <c r="E145" t="s">
        <v>1752</v>
      </c>
      <c r="H145" t="e">
        <v>#N/A</v>
      </c>
      <c r="I145" t="e">
        <v>#N/A</v>
      </c>
      <c r="N145" t="s">
        <v>31</v>
      </c>
    </row>
    <row r="146" spans="1:14" hidden="1">
      <c r="A146" t="s">
        <v>952</v>
      </c>
      <c r="B146" t="s">
        <v>1909</v>
      </c>
      <c r="C146" t="s">
        <v>1910</v>
      </c>
      <c r="D146">
        <v>2023</v>
      </c>
      <c r="E146" t="s">
        <v>2655</v>
      </c>
      <c r="F146" t="s">
        <v>29</v>
      </c>
      <c r="H146" t="s">
        <v>30</v>
      </c>
      <c r="I146" t="s">
        <v>30</v>
      </c>
      <c r="J146" t="s">
        <v>30</v>
      </c>
      <c r="K146" t="s">
        <v>30</v>
      </c>
      <c r="L146" t="s">
        <v>12</v>
      </c>
      <c r="M146" s="22" t="s">
        <v>1752</v>
      </c>
      <c r="N146" t="s">
        <v>31</v>
      </c>
    </row>
    <row r="147" spans="1:14" hidden="1">
      <c r="A147" t="s">
        <v>953</v>
      </c>
      <c r="B147" t="s">
        <v>1911</v>
      </c>
      <c r="C147" t="s">
        <v>1912</v>
      </c>
      <c r="D147">
        <v>2024</v>
      </c>
      <c r="E147" t="s">
        <v>2656</v>
      </c>
      <c r="F147" t="s">
        <v>29</v>
      </c>
      <c r="H147" t="s">
        <v>30</v>
      </c>
      <c r="I147" t="s">
        <v>30</v>
      </c>
      <c r="J147" t="s">
        <v>30</v>
      </c>
      <c r="K147" t="s">
        <v>30</v>
      </c>
      <c r="L147" t="s">
        <v>14</v>
      </c>
      <c r="M147" s="22" t="s">
        <v>1752</v>
      </c>
      <c r="N147" t="s">
        <v>31</v>
      </c>
    </row>
    <row r="148" spans="1:14" hidden="1">
      <c r="A148" t="s">
        <v>954</v>
      </c>
      <c r="B148" t="s">
        <v>1913</v>
      </c>
      <c r="C148" t="s">
        <v>1914</v>
      </c>
      <c r="D148">
        <v>2024</v>
      </c>
      <c r="E148" t="s">
        <v>2657</v>
      </c>
      <c r="F148" t="s">
        <v>29</v>
      </c>
      <c r="H148" t="s">
        <v>31</v>
      </c>
      <c r="I148" t="s">
        <v>3733</v>
      </c>
      <c r="J148" t="s">
        <v>31</v>
      </c>
      <c r="N148" t="s">
        <v>31</v>
      </c>
    </row>
    <row r="149" spans="1:14" hidden="1">
      <c r="A149" t="s">
        <v>955</v>
      </c>
      <c r="B149" t="s">
        <v>1915</v>
      </c>
      <c r="C149" t="s">
        <v>1916</v>
      </c>
      <c r="D149">
        <v>2024</v>
      </c>
      <c r="E149" t="s">
        <v>2570</v>
      </c>
      <c r="F149" t="s">
        <v>29</v>
      </c>
      <c r="H149" t="s">
        <v>31</v>
      </c>
      <c r="I149" t="s">
        <v>30</v>
      </c>
      <c r="J149" t="s">
        <v>31</v>
      </c>
      <c r="N149" t="s">
        <v>31</v>
      </c>
    </row>
    <row r="150" spans="1:14" hidden="1">
      <c r="A150" t="s">
        <v>956</v>
      </c>
      <c r="B150" t="s">
        <v>1917</v>
      </c>
      <c r="C150" t="s">
        <v>1918</v>
      </c>
      <c r="D150">
        <v>2025</v>
      </c>
      <c r="E150" t="s">
        <v>2658</v>
      </c>
      <c r="F150" t="s">
        <v>29</v>
      </c>
      <c r="H150" t="s">
        <v>30</v>
      </c>
      <c r="I150" t="s">
        <v>30</v>
      </c>
      <c r="J150" t="s">
        <v>30</v>
      </c>
      <c r="K150" t="s">
        <v>30</v>
      </c>
      <c r="L150" t="s">
        <v>12</v>
      </c>
      <c r="M150" s="22" t="s">
        <v>1752</v>
      </c>
      <c r="N150" t="s">
        <v>31</v>
      </c>
    </row>
    <row r="151" spans="1:14" hidden="1">
      <c r="A151" t="s">
        <v>957</v>
      </c>
      <c r="B151" t="s">
        <v>1919</v>
      </c>
      <c r="C151" t="s">
        <v>1920</v>
      </c>
      <c r="D151">
        <v>2024</v>
      </c>
      <c r="E151" t="s">
        <v>2659</v>
      </c>
      <c r="F151" t="s">
        <v>29</v>
      </c>
      <c r="H151" t="s">
        <v>30</v>
      </c>
      <c r="I151" t="s">
        <v>30</v>
      </c>
      <c r="J151" t="s">
        <v>30</v>
      </c>
      <c r="K151" t="s">
        <v>30</v>
      </c>
      <c r="L151" t="s">
        <v>12</v>
      </c>
      <c r="M151" s="22" t="s">
        <v>1752</v>
      </c>
      <c r="N151" t="s">
        <v>31</v>
      </c>
    </row>
    <row r="152" spans="1:14" hidden="1">
      <c r="A152" t="s">
        <v>958</v>
      </c>
      <c r="B152" t="s">
        <v>1921</v>
      </c>
      <c r="C152" t="s">
        <v>1922</v>
      </c>
      <c r="D152">
        <v>2024</v>
      </c>
      <c r="E152" t="s">
        <v>2603</v>
      </c>
      <c r="F152" t="s">
        <v>29</v>
      </c>
      <c r="H152" t="s">
        <v>31</v>
      </c>
      <c r="I152" t="s">
        <v>30</v>
      </c>
      <c r="J152" t="s">
        <v>31</v>
      </c>
      <c r="N152" t="s">
        <v>31</v>
      </c>
    </row>
    <row r="153" spans="1:14" hidden="1">
      <c r="A153" t="s">
        <v>959</v>
      </c>
      <c r="B153" t="s">
        <v>1923</v>
      </c>
      <c r="C153" t="s">
        <v>1752</v>
      </c>
      <c r="D153">
        <v>2023</v>
      </c>
      <c r="E153" t="s">
        <v>1752</v>
      </c>
      <c r="H153" t="e">
        <v>#N/A</v>
      </c>
      <c r="I153" t="e">
        <v>#N/A</v>
      </c>
      <c r="N153" t="s">
        <v>31</v>
      </c>
    </row>
    <row r="154" spans="1:14" hidden="1">
      <c r="A154" t="s">
        <v>960</v>
      </c>
      <c r="B154" t="s">
        <v>1924</v>
      </c>
      <c r="C154" t="s">
        <v>1925</v>
      </c>
      <c r="D154">
        <v>2023</v>
      </c>
      <c r="E154" t="s">
        <v>2660</v>
      </c>
      <c r="F154" t="s">
        <v>29</v>
      </c>
      <c r="H154" t="s">
        <v>30</v>
      </c>
      <c r="I154" t="s">
        <v>30</v>
      </c>
      <c r="J154" t="s">
        <v>30</v>
      </c>
      <c r="K154" t="s">
        <v>30</v>
      </c>
      <c r="L154" t="s">
        <v>12</v>
      </c>
      <c r="M154" s="22" t="s">
        <v>1752</v>
      </c>
      <c r="N154" t="s">
        <v>31</v>
      </c>
    </row>
    <row r="155" spans="1:14" hidden="1">
      <c r="A155" t="s">
        <v>961</v>
      </c>
      <c r="B155" t="s">
        <v>1926</v>
      </c>
      <c r="C155" t="s">
        <v>1927</v>
      </c>
      <c r="D155">
        <v>2025</v>
      </c>
      <c r="E155" t="s">
        <v>2661</v>
      </c>
      <c r="F155" t="s">
        <v>29</v>
      </c>
      <c r="H155" t="s">
        <v>31</v>
      </c>
      <c r="I155" t="s">
        <v>30</v>
      </c>
      <c r="J155" t="s">
        <v>31</v>
      </c>
      <c r="N155" t="s">
        <v>31</v>
      </c>
    </row>
    <row r="156" spans="1:14" ht="42" hidden="1">
      <c r="A156" t="s">
        <v>962</v>
      </c>
      <c r="B156" t="s">
        <v>1928</v>
      </c>
      <c r="C156" t="s">
        <v>1929</v>
      </c>
      <c r="D156">
        <v>2024</v>
      </c>
      <c r="E156" t="s">
        <v>2662</v>
      </c>
      <c r="F156" t="s">
        <v>29</v>
      </c>
      <c r="G156" t="s">
        <v>31</v>
      </c>
      <c r="H156" t="s">
        <v>30</v>
      </c>
      <c r="I156" t="s">
        <v>30</v>
      </c>
      <c r="J156" t="s">
        <v>30</v>
      </c>
      <c r="K156" t="s">
        <v>30</v>
      </c>
      <c r="L156" t="s">
        <v>15</v>
      </c>
      <c r="M156" s="22" t="s">
        <v>3765</v>
      </c>
      <c r="N156" t="s">
        <v>31</v>
      </c>
    </row>
    <row r="157" spans="1:14" hidden="1">
      <c r="A157" t="s">
        <v>963</v>
      </c>
      <c r="B157" t="s">
        <v>1930</v>
      </c>
      <c r="C157" t="s">
        <v>1931</v>
      </c>
      <c r="D157">
        <v>2023</v>
      </c>
      <c r="E157" t="s">
        <v>2655</v>
      </c>
      <c r="F157" t="s">
        <v>29</v>
      </c>
      <c r="H157" t="s">
        <v>30</v>
      </c>
      <c r="I157" t="s">
        <v>30</v>
      </c>
      <c r="J157" t="s">
        <v>30</v>
      </c>
      <c r="K157" t="s">
        <v>30</v>
      </c>
      <c r="L157" t="s">
        <v>12</v>
      </c>
      <c r="M157" s="22" t="s">
        <v>1752</v>
      </c>
      <c r="N157" t="s">
        <v>31</v>
      </c>
    </row>
    <row r="158" spans="1:14" hidden="1">
      <c r="A158" t="s">
        <v>964</v>
      </c>
      <c r="B158" t="s">
        <v>1932</v>
      </c>
      <c r="C158" t="s">
        <v>1933</v>
      </c>
      <c r="D158">
        <v>2025</v>
      </c>
      <c r="E158" t="s">
        <v>2642</v>
      </c>
      <c r="F158" t="s">
        <v>29</v>
      </c>
      <c r="H158" t="s">
        <v>30</v>
      </c>
      <c r="I158" t="s">
        <v>30</v>
      </c>
      <c r="J158" t="s">
        <v>30</v>
      </c>
      <c r="K158" t="s">
        <v>30</v>
      </c>
      <c r="L158" t="s">
        <v>12</v>
      </c>
      <c r="M158" s="22" t="s">
        <v>1752</v>
      </c>
      <c r="N158" t="s">
        <v>31</v>
      </c>
    </row>
    <row r="159" spans="1:14" hidden="1">
      <c r="A159" t="s">
        <v>965</v>
      </c>
      <c r="B159" t="s">
        <v>1934</v>
      </c>
      <c r="C159" t="s">
        <v>1935</v>
      </c>
      <c r="D159">
        <v>2025</v>
      </c>
      <c r="E159" t="s">
        <v>2612</v>
      </c>
      <c r="F159" t="s">
        <v>29</v>
      </c>
      <c r="H159" t="s">
        <v>30</v>
      </c>
      <c r="I159" t="s">
        <v>30</v>
      </c>
      <c r="J159" t="s">
        <v>30</v>
      </c>
      <c r="K159" t="s">
        <v>30</v>
      </c>
      <c r="L159" t="s">
        <v>12</v>
      </c>
      <c r="M159" s="22" t="s">
        <v>1752</v>
      </c>
      <c r="N159" t="s">
        <v>31</v>
      </c>
    </row>
    <row r="160" spans="1:14" hidden="1">
      <c r="A160" t="s">
        <v>966</v>
      </c>
      <c r="B160" t="s">
        <v>1936</v>
      </c>
      <c r="C160" t="s">
        <v>1752</v>
      </c>
      <c r="D160">
        <v>2024</v>
      </c>
      <c r="E160" t="s">
        <v>1752</v>
      </c>
      <c r="H160" t="e">
        <v>#N/A</v>
      </c>
      <c r="I160" t="e">
        <v>#N/A</v>
      </c>
      <c r="N160" t="s">
        <v>31</v>
      </c>
    </row>
    <row r="161" spans="1:14" hidden="1">
      <c r="A161" t="s">
        <v>967</v>
      </c>
      <c r="B161" t="s">
        <v>1937</v>
      </c>
      <c r="C161" t="s">
        <v>1938</v>
      </c>
      <c r="D161">
        <v>2024</v>
      </c>
      <c r="E161" t="s">
        <v>2612</v>
      </c>
      <c r="F161" t="s">
        <v>29</v>
      </c>
      <c r="H161" t="s">
        <v>30</v>
      </c>
      <c r="I161" t="s">
        <v>30</v>
      </c>
      <c r="J161" t="s">
        <v>30</v>
      </c>
      <c r="K161" t="s">
        <v>30</v>
      </c>
      <c r="L161" t="s">
        <v>12</v>
      </c>
      <c r="M161" s="22" t="s">
        <v>1752</v>
      </c>
      <c r="N161" t="s">
        <v>31</v>
      </c>
    </row>
    <row r="162" spans="1:14" hidden="1">
      <c r="A162" t="s">
        <v>968</v>
      </c>
      <c r="B162" t="s">
        <v>1939</v>
      </c>
      <c r="C162" t="s">
        <v>1940</v>
      </c>
      <c r="D162">
        <v>2024</v>
      </c>
      <c r="E162" t="s">
        <v>2663</v>
      </c>
      <c r="F162" t="s">
        <v>29</v>
      </c>
      <c r="H162" t="s">
        <v>30</v>
      </c>
      <c r="I162" t="s">
        <v>30</v>
      </c>
      <c r="J162" t="s">
        <v>30</v>
      </c>
      <c r="K162" t="s">
        <v>30</v>
      </c>
      <c r="L162" t="s">
        <v>12</v>
      </c>
      <c r="M162" s="22" t="s">
        <v>1752</v>
      </c>
      <c r="N162" t="s">
        <v>31</v>
      </c>
    </row>
    <row r="163" spans="1:14" hidden="1">
      <c r="A163" t="s">
        <v>969</v>
      </c>
      <c r="B163" t="s">
        <v>1941</v>
      </c>
      <c r="C163" t="s">
        <v>1942</v>
      </c>
      <c r="D163">
        <v>2024</v>
      </c>
      <c r="E163" t="s">
        <v>2571</v>
      </c>
      <c r="F163" t="s">
        <v>29</v>
      </c>
      <c r="H163" t="s">
        <v>31</v>
      </c>
      <c r="I163" t="s">
        <v>30</v>
      </c>
      <c r="J163" t="s">
        <v>31</v>
      </c>
      <c r="N163" t="s">
        <v>31</v>
      </c>
    </row>
    <row r="164" spans="1:14" hidden="1">
      <c r="A164" t="s">
        <v>970</v>
      </c>
      <c r="B164" t="s">
        <v>1943</v>
      </c>
      <c r="C164" t="s">
        <v>1944</v>
      </c>
      <c r="D164">
        <v>2025</v>
      </c>
      <c r="E164" t="s">
        <v>2664</v>
      </c>
      <c r="F164" t="s">
        <v>29</v>
      </c>
      <c r="H164" t="s">
        <v>30</v>
      </c>
      <c r="I164" t="s">
        <v>30</v>
      </c>
      <c r="J164" t="s">
        <v>30</v>
      </c>
      <c r="K164" t="s">
        <v>30</v>
      </c>
      <c r="L164" t="s">
        <v>12</v>
      </c>
      <c r="M164" s="22" t="s">
        <v>1752</v>
      </c>
      <c r="N164" t="s">
        <v>31</v>
      </c>
    </row>
    <row r="165" spans="1:14" hidden="1">
      <c r="A165" t="s">
        <v>971</v>
      </c>
      <c r="B165" t="s">
        <v>1945</v>
      </c>
      <c r="C165" t="s">
        <v>1946</v>
      </c>
      <c r="D165">
        <v>2023</v>
      </c>
      <c r="E165" t="s">
        <v>2665</v>
      </c>
      <c r="F165" t="s">
        <v>29</v>
      </c>
      <c r="H165" t="s">
        <v>30</v>
      </c>
      <c r="I165" t="s">
        <v>30</v>
      </c>
      <c r="J165" t="s">
        <v>30</v>
      </c>
      <c r="K165" t="s">
        <v>30</v>
      </c>
      <c r="L165" t="s">
        <v>12</v>
      </c>
      <c r="M165" s="22" t="s">
        <v>1752</v>
      </c>
      <c r="N165" t="s">
        <v>31</v>
      </c>
    </row>
    <row r="166" spans="1:14" hidden="1">
      <c r="A166" t="s">
        <v>972</v>
      </c>
      <c r="B166" t="s">
        <v>1947</v>
      </c>
      <c r="C166" t="s">
        <v>1948</v>
      </c>
      <c r="D166">
        <v>2024</v>
      </c>
      <c r="E166" t="s">
        <v>2666</v>
      </c>
      <c r="F166" t="s">
        <v>29</v>
      </c>
      <c r="H166" t="s">
        <v>30</v>
      </c>
      <c r="I166" t="s">
        <v>30</v>
      </c>
      <c r="J166" t="s">
        <v>30</v>
      </c>
      <c r="K166" t="s">
        <v>30</v>
      </c>
      <c r="L166" t="s">
        <v>12</v>
      </c>
      <c r="M166" s="22" t="s">
        <v>1752</v>
      </c>
      <c r="N166" t="s">
        <v>31</v>
      </c>
    </row>
    <row r="167" spans="1:14" hidden="1">
      <c r="A167" t="s">
        <v>973</v>
      </c>
      <c r="B167" t="s">
        <v>1949</v>
      </c>
      <c r="C167" t="s">
        <v>1950</v>
      </c>
      <c r="D167">
        <v>2024</v>
      </c>
      <c r="E167" t="s">
        <v>2667</v>
      </c>
      <c r="F167" t="s">
        <v>29</v>
      </c>
      <c r="H167" t="s">
        <v>30</v>
      </c>
      <c r="I167" t="s">
        <v>30</v>
      </c>
      <c r="J167" t="s">
        <v>30</v>
      </c>
      <c r="K167" t="s">
        <v>30</v>
      </c>
      <c r="L167" t="s">
        <v>12</v>
      </c>
      <c r="M167" s="22" t="s">
        <v>1752</v>
      </c>
      <c r="N167" t="s">
        <v>31</v>
      </c>
    </row>
    <row r="168" spans="1:14" ht="82.8" hidden="1">
      <c r="A168" t="s">
        <v>974</v>
      </c>
      <c r="B168" t="s">
        <v>1951</v>
      </c>
      <c r="C168" t="s">
        <v>1952</v>
      </c>
      <c r="D168">
        <v>2024</v>
      </c>
      <c r="E168" t="s">
        <v>2668</v>
      </c>
      <c r="F168" t="s">
        <v>29</v>
      </c>
      <c r="G168" t="s">
        <v>31</v>
      </c>
      <c r="H168" t="s">
        <v>30</v>
      </c>
      <c r="I168" t="s">
        <v>30</v>
      </c>
      <c r="J168" t="s">
        <v>30</v>
      </c>
      <c r="K168" t="s">
        <v>30</v>
      </c>
      <c r="L168" t="s">
        <v>3654</v>
      </c>
      <c r="M168" s="22" t="s">
        <v>3766</v>
      </c>
      <c r="N168" t="s">
        <v>31</v>
      </c>
    </row>
    <row r="169" spans="1:14" hidden="1">
      <c r="A169" t="s">
        <v>975</v>
      </c>
      <c r="B169" t="s">
        <v>1953</v>
      </c>
      <c r="C169" t="s">
        <v>1752</v>
      </c>
      <c r="D169">
        <v>2024</v>
      </c>
      <c r="E169" t="s">
        <v>1752</v>
      </c>
      <c r="H169" t="e">
        <v>#N/A</v>
      </c>
      <c r="I169" t="e">
        <v>#N/A</v>
      </c>
      <c r="N169" t="s">
        <v>31</v>
      </c>
    </row>
    <row r="170" spans="1:14" hidden="1">
      <c r="A170" t="s">
        <v>976</v>
      </c>
      <c r="B170" t="s">
        <v>1954</v>
      </c>
      <c r="C170" t="s">
        <v>1955</v>
      </c>
      <c r="D170">
        <v>2025</v>
      </c>
      <c r="E170" t="s">
        <v>2669</v>
      </c>
      <c r="F170" t="s">
        <v>29</v>
      </c>
      <c r="H170" t="s">
        <v>30</v>
      </c>
      <c r="I170" t="s">
        <v>30</v>
      </c>
      <c r="J170" t="s">
        <v>30</v>
      </c>
      <c r="K170" t="s">
        <v>30</v>
      </c>
      <c r="L170" t="s">
        <v>12</v>
      </c>
      <c r="M170" s="22" t="s">
        <v>1752</v>
      </c>
      <c r="N170" t="s">
        <v>31</v>
      </c>
    </row>
    <row r="171" spans="1:14" hidden="1">
      <c r="A171" t="s">
        <v>977</v>
      </c>
      <c r="B171" t="s">
        <v>1956</v>
      </c>
      <c r="C171" t="s">
        <v>1957</v>
      </c>
      <c r="D171">
        <v>2024</v>
      </c>
      <c r="E171" t="s">
        <v>2633</v>
      </c>
      <c r="F171" t="s">
        <v>29</v>
      </c>
      <c r="H171" t="s">
        <v>30</v>
      </c>
      <c r="I171" t="s">
        <v>30</v>
      </c>
      <c r="J171" t="s">
        <v>30</v>
      </c>
      <c r="K171" t="s">
        <v>30</v>
      </c>
      <c r="L171" t="s">
        <v>12</v>
      </c>
      <c r="M171" s="22" t="s">
        <v>1752</v>
      </c>
      <c r="N171" t="s">
        <v>31</v>
      </c>
    </row>
    <row r="172" spans="1:14" hidden="1">
      <c r="A172" t="s">
        <v>978</v>
      </c>
      <c r="B172" t="s">
        <v>1958</v>
      </c>
      <c r="C172" t="s">
        <v>1752</v>
      </c>
      <c r="D172">
        <v>2024</v>
      </c>
      <c r="E172" t="s">
        <v>1752</v>
      </c>
      <c r="H172" t="e">
        <v>#N/A</v>
      </c>
      <c r="I172" t="e">
        <v>#N/A</v>
      </c>
      <c r="N172" t="s">
        <v>31</v>
      </c>
    </row>
    <row r="173" spans="1:14" hidden="1">
      <c r="A173" t="s">
        <v>979</v>
      </c>
      <c r="B173" t="s">
        <v>1959</v>
      </c>
      <c r="C173" t="s">
        <v>1960</v>
      </c>
      <c r="D173">
        <v>2024</v>
      </c>
      <c r="E173" t="s">
        <v>2670</v>
      </c>
      <c r="F173" t="s">
        <v>29</v>
      </c>
      <c r="H173" t="s">
        <v>30</v>
      </c>
      <c r="I173" t="s">
        <v>30</v>
      </c>
      <c r="J173" t="s">
        <v>30</v>
      </c>
      <c r="K173" t="s">
        <v>30</v>
      </c>
      <c r="L173" t="s">
        <v>12</v>
      </c>
      <c r="M173" s="22" t="s">
        <v>1752</v>
      </c>
      <c r="N173" t="s">
        <v>31</v>
      </c>
    </row>
    <row r="174" spans="1:14" hidden="1">
      <c r="A174" t="s">
        <v>980</v>
      </c>
      <c r="B174" t="s">
        <v>1961</v>
      </c>
      <c r="C174" t="s">
        <v>1962</v>
      </c>
      <c r="D174">
        <v>2023</v>
      </c>
      <c r="E174" t="s">
        <v>2671</v>
      </c>
      <c r="F174" t="s">
        <v>29</v>
      </c>
      <c r="H174" t="s">
        <v>30</v>
      </c>
      <c r="I174" t="s">
        <v>30</v>
      </c>
      <c r="J174" t="s">
        <v>30</v>
      </c>
      <c r="K174" t="s">
        <v>30</v>
      </c>
      <c r="L174" t="s">
        <v>12</v>
      </c>
      <c r="M174" s="22" t="s">
        <v>1752</v>
      </c>
      <c r="N174" t="s">
        <v>31</v>
      </c>
    </row>
    <row r="175" spans="1:14" hidden="1">
      <c r="A175" t="s">
        <v>981</v>
      </c>
      <c r="B175" t="s">
        <v>1963</v>
      </c>
      <c r="C175" t="s">
        <v>1752</v>
      </c>
      <c r="D175">
        <v>2023</v>
      </c>
      <c r="E175" t="s">
        <v>1752</v>
      </c>
      <c r="H175" t="e">
        <v>#N/A</v>
      </c>
      <c r="I175" t="e">
        <v>#N/A</v>
      </c>
      <c r="N175" t="s">
        <v>31</v>
      </c>
    </row>
    <row r="176" spans="1:14" hidden="1">
      <c r="A176" t="s">
        <v>982</v>
      </c>
      <c r="B176" t="s">
        <v>1964</v>
      </c>
      <c r="C176" t="s">
        <v>1965</v>
      </c>
      <c r="D176">
        <v>2025</v>
      </c>
      <c r="E176" t="s">
        <v>2672</v>
      </c>
      <c r="F176" t="s">
        <v>29</v>
      </c>
      <c r="H176" t="s">
        <v>30</v>
      </c>
      <c r="I176" t="s">
        <v>30</v>
      </c>
      <c r="J176" t="s">
        <v>30</v>
      </c>
      <c r="K176" t="s">
        <v>30</v>
      </c>
      <c r="L176" t="s">
        <v>12</v>
      </c>
      <c r="M176" s="22" t="s">
        <v>1752</v>
      </c>
      <c r="N176" t="s">
        <v>31</v>
      </c>
    </row>
    <row r="177" spans="1:14" hidden="1">
      <c r="A177" t="s">
        <v>983</v>
      </c>
      <c r="B177" t="s">
        <v>1966</v>
      </c>
      <c r="C177" t="s">
        <v>1967</v>
      </c>
      <c r="D177">
        <v>2024</v>
      </c>
      <c r="E177" t="s">
        <v>2673</v>
      </c>
      <c r="F177" t="s">
        <v>29</v>
      </c>
      <c r="H177" t="s">
        <v>30</v>
      </c>
      <c r="I177" t="s">
        <v>30</v>
      </c>
      <c r="J177" t="s">
        <v>30</v>
      </c>
      <c r="K177" t="s">
        <v>30</v>
      </c>
      <c r="L177" t="s">
        <v>12</v>
      </c>
      <c r="M177" s="22" t="s">
        <v>1752</v>
      </c>
      <c r="N177" t="s">
        <v>31</v>
      </c>
    </row>
    <row r="178" spans="1:14" hidden="1">
      <c r="A178" t="s">
        <v>984</v>
      </c>
      <c r="B178" t="s">
        <v>1968</v>
      </c>
      <c r="C178" t="s">
        <v>1969</v>
      </c>
      <c r="D178">
        <v>2024</v>
      </c>
      <c r="E178" t="s">
        <v>2674</v>
      </c>
      <c r="F178" t="s">
        <v>29</v>
      </c>
      <c r="H178" t="s">
        <v>30</v>
      </c>
      <c r="I178" t="s">
        <v>30</v>
      </c>
      <c r="J178" t="s">
        <v>30</v>
      </c>
      <c r="K178" t="s">
        <v>30</v>
      </c>
      <c r="L178" t="s">
        <v>12</v>
      </c>
      <c r="M178" s="22" t="s">
        <v>1752</v>
      </c>
      <c r="N178" t="s">
        <v>31</v>
      </c>
    </row>
    <row r="179" spans="1:14" hidden="1">
      <c r="A179" t="s">
        <v>985</v>
      </c>
      <c r="B179" t="s">
        <v>1970</v>
      </c>
      <c r="C179" t="s">
        <v>1971</v>
      </c>
      <c r="D179">
        <v>2023</v>
      </c>
      <c r="E179" t="s">
        <v>2675</v>
      </c>
      <c r="F179" t="s">
        <v>29</v>
      </c>
      <c r="H179" t="s">
        <v>30</v>
      </c>
      <c r="I179" t="s">
        <v>30</v>
      </c>
      <c r="J179" t="s">
        <v>30</v>
      </c>
      <c r="K179" t="s">
        <v>30</v>
      </c>
      <c r="L179" t="s">
        <v>12</v>
      </c>
      <c r="M179" s="22" t="s">
        <v>1752</v>
      </c>
      <c r="N179" t="s">
        <v>31</v>
      </c>
    </row>
    <row r="180" spans="1:14" ht="21.6">
      <c r="A180" t="s">
        <v>986</v>
      </c>
      <c r="B180" t="s">
        <v>1972</v>
      </c>
      <c r="C180" t="s">
        <v>1973</v>
      </c>
      <c r="D180">
        <v>2023</v>
      </c>
      <c r="E180" t="s">
        <v>2676</v>
      </c>
      <c r="F180" t="s">
        <v>29</v>
      </c>
      <c r="H180" t="s">
        <v>30</v>
      </c>
      <c r="I180" t="s">
        <v>30</v>
      </c>
      <c r="J180" t="s">
        <v>30</v>
      </c>
      <c r="K180" t="s">
        <v>30</v>
      </c>
      <c r="L180" t="s">
        <v>15</v>
      </c>
      <c r="M180" s="22" t="s">
        <v>3767</v>
      </c>
      <c r="N180" t="s">
        <v>30</v>
      </c>
    </row>
    <row r="181" spans="1:14" hidden="1">
      <c r="A181" t="s">
        <v>987</v>
      </c>
      <c r="B181" t="s">
        <v>1974</v>
      </c>
      <c r="C181" t="s">
        <v>1975</v>
      </c>
      <c r="D181">
        <v>2025</v>
      </c>
      <c r="E181" t="s">
        <v>2590</v>
      </c>
      <c r="F181" t="s">
        <v>29</v>
      </c>
      <c r="H181" t="s">
        <v>31</v>
      </c>
      <c r="I181" t="s">
        <v>30</v>
      </c>
      <c r="J181" t="s">
        <v>31</v>
      </c>
      <c r="N181" t="s">
        <v>31</v>
      </c>
    </row>
    <row r="182" spans="1:14" hidden="1">
      <c r="A182" t="s">
        <v>988</v>
      </c>
      <c r="B182" t="s">
        <v>1976</v>
      </c>
      <c r="C182" t="s">
        <v>1977</v>
      </c>
      <c r="D182">
        <v>2024</v>
      </c>
      <c r="E182" t="s">
        <v>2677</v>
      </c>
      <c r="F182" t="s">
        <v>29</v>
      </c>
      <c r="H182" t="s">
        <v>30</v>
      </c>
      <c r="I182" t="s">
        <v>30</v>
      </c>
      <c r="J182" t="s">
        <v>30</v>
      </c>
      <c r="K182" t="s">
        <v>30</v>
      </c>
      <c r="L182" t="s">
        <v>12</v>
      </c>
      <c r="M182" s="22" t="s">
        <v>1752</v>
      </c>
      <c r="N182" t="s">
        <v>31</v>
      </c>
    </row>
    <row r="183" spans="1:14" hidden="1">
      <c r="A183" t="s">
        <v>989</v>
      </c>
      <c r="B183" t="s">
        <v>1978</v>
      </c>
      <c r="C183" t="s">
        <v>1979</v>
      </c>
      <c r="D183">
        <v>2025</v>
      </c>
      <c r="E183" t="s">
        <v>2678</v>
      </c>
      <c r="F183" t="s">
        <v>29</v>
      </c>
      <c r="H183" t="s">
        <v>31</v>
      </c>
      <c r="I183" t="s">
        <v>30</v>
      </c>
      <c r="J183" t="s">
        <v>31</v>
      </c>
      <c r="N183" t="s">
        <v>31</v>
      </c>
    </row>
    <row r="184" spans="1:14" hidden="1">
      <c r="A184" t="s">
        <v>990</v>
      </c>
      <c r="B184" t="s">
        <v>1980</v>
      </c>
      <c r="C184" t="s">
        <v>1981</v>
      </c>
      <c r="D184">
        <v>2025</v>
      </c>
      <c r="E184" t="s">
        <v>2679</v>
      </c>
      <c r="F184" t="s">
        <v>29</v>
      </c>
      <c r="H184" t="s">
        <v>31</v>
      </c>
      <c r="I184" t="s">
        <v>30</v>
      </c>
      <c r="J184" t="s">
        <v>31</v>
      </c>
      <c r="N184" t="s">
        <v>31</v>
      </c>
    </row>
    <row r="185" spans="1:14" hidden="1">
      <c r="A185" t="s">
        <v>991</v>
      </c>
      <c r="B185" t="s">
        <v>1982</v>
      </c>
      <c r="C185" t="s">
        <v>1983</v>
      </c>
      <c r="D185">
        <v>2025</v>
      </c>
      <c r="E185" t="s">
        <v>2680</v>
      </c>
      <c r="F185" t="s">
        <v>29</v>
      </c>
      <c r="H185" t="s">
        <v>31</v>
      </c>
      <c r="I185" t="s">
        <v>30</v>
      </c>
      <c r="J185" t="s">
        <v>31</v>
      </c>
      <c r="N185" t="s">
        <v>31</v>
      </c>
    </row>
    <row r="186" spans="1:14" hidden="1">
      <c r="A186" t="s">
        <v>992</v>
      </c>
      <c r="B186" t="s">
        <v>1984</v>
      </c>
      <c r="C186" t="s">
        <v>1985</v>
      </c>
      <c r="D186">
        <v>2024</v>
      </c>
      <c r="E186" t="s">
        <v>2681</v>
      </c>
      <c r="F186" t="s">
        <v>29</v>
      </c>
      <c r="H186" t="s">
        <v>30</v>
      </c>
      <c r="I186" t="s">
        <v>3733</v>
      </c>
      <c r="J186" t="s">
        <v>31</v>
      </c>
      <c r="N186" t="s">
        <v>31</v>
      </c>
    </row>
    <row r="187" spans="1:14" hidden="1">
      <c r="A187" t="s">
        <v>993</v>
      </c>
      <c r="B187" t="s">
        <v>1986</v>
      </c>
      <c r="C187" t="s">
        <v>1752</v>
      </c>
      <c r="D187">
        <v>2024</v>
      </c>
      <c r="E187" t="s">
        <v>1752</v>
      </c>
      <c r="H187" t="e">
        <v>#N/A</v>
      </c>
      <c r="I187" t="e">
        <v>#N/A</v>
      </c>
      <c r="N187" t="s">
        <v>31</v>
      </c>
    </row>
    <row r="188" spans="1:14" hidden="1">
      <c r="A188" t="s">
        <v>994</v>
      </c>
      <c r="B188" t="s">
        <v>1987</v>
      </c>
      <c r="C188" t="s">
        <v>1988</v>
      </c>
      <c r="D188">
        <v>2025</v>
      </c>
      <c r="E188" t="s">
        <v>2612</v>
      </c>
      <c r="F188" t="s">
        <v>29</v>
      </c>
      <c r="H188" t="s">
        <v>30</v>
      </c>
      <c r="I188" t="s">
        <v>30</v>
      </c>
      <c r="J188" t="s">
        <v>30</v>
      </c>
      <c r="K188" t="s">
        <v>30</v>
      </c>
      <c r="L188" t="s">
        <v>12</v>
      </c>
      <c r="M188" s="22" t="s">
        <v>1752</v>
      </c>
      <c r="N188" t="s">
        <v>31</v>
      </c>
    </row>
    <row r="189" spans="1:14" hidden="1">
      <c r="A189" t="s">
        <v>995</v>
      </c>
      <c r="B189" t="s">
        <v>1989</v>
      </c>
      <c r="C189" t="s">
        <v>1990</v>
      </c>
      <c r="D189">
        <v>2024</v>
      </c>
      <c r="E189" t="s">
        <v>2584</v>
      </c>
      <c r="F189" t="s">
        <v>29</v>
      </c>
      <c r="H189" t="s">
        <v>30</v>
      </c>
      <c r="I189" t="s">
        <v>30</v>
      </c>
      <c r="J189" t="s">
        <v>30</v>
      </c>
      <c r="K189" t="s">
        <v>30</v>
      </c>
      <c r="L189" t="s">
        <v>12</v>
      </c>
      <c r="M189" s="22" t="s">
        <v>1752</v>
      </c>
      <c r="N189" t="s">
        <v>31</v>
      </c>
    </row>
    <row r="190" spans="1:14" hidden="1">
      <c r="A190" t="s">
        <v>996</v>
      </c>
      <c r="B190" t="s">
        <v>1991</v>
      </c>
      <c r="C190" t="s">
        <v>1992</v>
      </c>
      <c r="D190">
        <v>2023</v>
      </c>
      <c r="E190" t="s">
        <v>2625</v>
      </c>
      <c r="F190" t="s">
        <v>29</v>
      </c>
      <c r="H190" t="s">
        <v>30</v>
      </c>
      <c r="I190" t="s">
        <v>3733</v>
      </c>
      <c r="J190" t="s">
        <v>31</v>
      </c>
      <c r="N190" t="s">
        <v>31</v>
      </c>
    </row>
    <row r="191" spans="1:14" hidden="1">
      <c r="A191" t="s">
        <v>997</v>
      </c>
      <c r="B191" t="s">
        <v>1993</v>
      </c>
      <c r="C191" t="s">
        <v>1994</v>
      </c>
      <c r="D191">
        <v>2024</v>
      </c>
      <c r="E191" t="s">
        <v>2609</v>
      </c>
      <c r="F191" t="s">
        <v>29</v>
      </c>
      <c r="H191" t="s">
        <v>30</v>
      </c>
      <c r="I191" t="s">
        <v>30</v>
      </c>
      <c r="J191" t="s">
        <v>30</v>
      </c>
      <c r="K191" t="s">
        <v>30</v>
      </c>
      <c r="L191" t="s">
        <v>12</v>
      </c>
      <c r="M191" s="22" t="s">
        <v>1752</v>
      </c>
      <c r="N191" t="s">
        <v>31</v>
      </c>
    </row>
    <row r="192" spans="1:14" hidden="1">
      <c r="A192" t="s">
        <v>998</v>
      </c>
      <c r="B192" t="s">
        <v>1995</v>
      </c>
      <c r="C192" t="s">
        <v>1752</v>
      </c>
      <c r="D192">
        <v>2023</v>
      </c>
      <c r="E192" t="s">
        <v>1752</v>
      </c>
      <c r="H192" t="e">
        <v>#N/A</v>
      </c>
      <c r="I192" t="e">
        <v>#N/A</v>
      </c>
      <c r="N192" t="s">
        <v>31</v>
      </c>
    </row>
    <row r="193" spans="1:14" hidden="1">
      <c r="A193" t="s">
        <v>999</v>
      </c>
      <c r="B193" t="s">
        <v>1996</v>
      </c>
      <c r="C193" t="s">
        <v>1997</v>
      </c>
      <c r="D193">
        <v>2024</v>
      </c>
      <c r="E193" t="s">
        <v>2682</v>
      </c>
      <c r="F193" t="s">
        <v>29</v>
      </c>
      <c r="H193" t="s">
        <v>30</v>
      </c>
      <c r="I193" t="s">
        <v>30</v>
      </c>
      <c r="J193" t="s">
        <v>30</v>
      </c>
      <c r="K193" t="s">
        <v>30</v>
      </c>
      <c r="L193" t="s">
        <v>12</v>
      </c>
      <c r="M193" s="22" t="s">
        <v>1752</v>
      </c>
      <c r="N193" t="s">
        <v>31</v>
      </c>
    </row>
    <row r="194" spans="1:14" ht="21.6" hidden="1">
      <c r="A194" t="s">
        <v>1000</v>
      </c>
      <c r="B194" t="s">
        <v>1998</v>
      </c>
      <c r="C194" t="s">
        <v>1999</v>
      </c>
      <c r="D194">
        <v>2023</v>
      </c>
      <c r="E194" t="s">
        <v>2570</v>
      </c>
      <c r="F194" t="s">
        <v>29</v>
      </c>
      <c r="G194" t="s">
        <v>31</v>
      </c>
      <c r="H194" t="s">
        <v>30</v>
      </c>
      <c r="I194" t="s">
        <v>30</v>
      </c>
      <c r="J194" t="s">
        <v>30</v>
      </c>
      <c r="K194" t="s">
        <v>30</v>
      </c>
      <c r="L194" t="s">
        <v>15</v>
      </c>
      <c r="M194" s="22" t="s">
        <v>3768</v>
      </c>
      <c r="N194" t="s">
        <v>31</v>
      </c>
    </row>
    <row r="195" spans="1:14" hidden="1">
      <c r="A195" t="s">
        <v>1001</v>
      </c>
      <c r="B195" t="s">
        <v>2000</v>
      </c>
      <c r="C195" t="s">
        <v>2001</v>
      </c>
      <c r="D195">
        <v>2025</v>
      </c>
      <c r="E195" t="s">
        <v>2683</v>
      </c>
      <c r="F195" t="s">
        <v>29</v>
      </c>
      <c r="H195" t="s">
        <v>30</v>
      </c>
      <c r="I195" t="s">
        <v>30</v>
      </c>
      <c r="J195" t="s">
        <v>30</v>
      </c>
      <c r="K195" t="s">
        <v>30</v>
      </c>
      <c r="L195" t="s">
        <v>12</v>
      </c>
      <c r="M195" s="22" t="s">
        <v>1752</v>
      </c>
      <c r="N195" t="s">
        <v>31</v>
      </c>
    </row>
    <row r="196" spans="1:14" hidden="1">
      <c r="A196" t="s">
        <v>1002</v>
      </c>
      <c r="B196" t="s">
        <v>2002</v>
      </c>
      <c r="C196" t="s">
        <v>2003</v>
      </c>
      <c r="D196">
        <v>2023</v>
      </c>
      <c r="E196" t="s">
        <v>2684</v>
      </c>
      <c r="F196" t="s">
        <v>29</v>
      </c>
      <c r="H196" t="s">
        <v>31</v>
      </c>
      <c r="I196" t="s">
        <v>3733</v>
      </c>
      <c r="J196" t="s">
        <v>31</v>
      </c>
      <c r="N196" t="s">
        <v>31</v>
      </c>
    </row>
    <row r="197" spans="1:14" ht="31.8" hidden="1">
      <c r="A197" t="s">
        <v>1003</v>
      </c>
      <c r="B197" t="s">
        <v>2004</v>
      </c>
      <c r="C197" t="s">
        <v>2005</v>
      </c>
      <c r="D197">
        <v>2023</v>
      </c>
      <c r="E197" t="s">
        <v>2685</v>
      </c>
      <c r="F197" t="s">
        <v>29</v>
      </c>
      <c r="G197" t="s">
        <v>31</v>
      </c>
      <c r="H197" t="s">
        <v>30</v>
      </c>
      <c r="I197" t="s">
        <v>30</v>
      </c>
      <c r="J197" t="s">
        <v>30</v>
      </c>
      <c r="K197" t="s">
        <v>30</v>
      </c>
      <c r="L197" t="s">
        <v>15</v>
      </c>
      <c r="M197" s="22" t="s">
        <v>3769</v>
      </c>
      <c r="N197" t="s">
        <v>31</v>
      </c>
    </row>
    <row r="198" spans="1:14" hidden="1">
      <c r="A198" t="s">
        <v>1004</v>
      </c>
      <c r="B198" t="s">
        <v>2006</v>
      </c>
      <c r="C198" t="s">
        <v>2007</v>
      </c>
      <c r="D198">
        <v>2024</v>
      </c>
      <c r="E198" t="s">
        <v>2686</v>
      </c>
      <c r="F198" t="s">
        <v>29</v>
      </c>
      <c r="H198" t="s">
        <v>31</v>
      </c>
      <c r="I198" t="s">
        <v>30</v>
      </c>
      <c r="J198" t="s">
        <v>31</v>
      </c>
      <c r="N198" t="s">
        <v>31</v>
      </c>
    </row>
    <row r="199" spans="1:14" hidden="1">
      <c r="A199" t="s">
        <v>1005</v>
      </c>
      <c r="B199" t="s">
        <v>2008</v>
      </c>
      <c r="C199" t="s">
        <v>2009</v>
      </c>
      <c r="D199">
        <v>2025</v>
      </c>
      <c r="E199" t="s">
        <v>2687</v>
      </c>
      <c r="F199" t="s">
        <v>29</v>
      </c>
      <c r="H199" t="s">
        <v>31</v>
      </c>
      <c r="I199" t="s">
        <v>30</v>
      </c>
      <c r="J199" t="s">
        <v>31</v>
      </c>
      <c r="N199" t="s">
        <v>31</v>
      </c>
    </row>
    <row r="200" spans="1:14" hidden="1">
      <c r="A200" t="s">
        <v>1006</v>
      </c>
      <c r="B200" t="s">
        <v>2010</v>
      </c>
      <c r="C200" t="s">
        <v>2011</v>
      </c>
      <c r="D200">
        <v>2024</v>
      </c>
      <c r="E200" t="s">
        <v>2568</v>
      </c>
      <c r="F200" t="s">
        <v>29</v>
      </c>
      <c r="H200" t="s">
        <v>30</v>
      </c>
      <c r="I200" t="s">
        <v>30</v>
      </c>
      <c r="J200" t="s">
        <v>30</v>
      </c>
      <c r="K200" t="s">
        <v>30</v>
      </c>
      <c r="L200" t="s">
        <v>12</v>
      </c>
      <c r="M200" s="22" t="s">
        <v>1752</v>
      </c>
      <c r="N200" t="s">
        <v>31</v>
      </c>
    </row>
    <row r="201" spans="1:14" hidden="1">
      <c r="A201" t="s">
        <v>1007</v>
      </c>
      <c r="B201" t="s">
        <v>2012</v>
      </c>
      <c r="C201" t="s">
        <v>2013</v>
      </c>
      <c r="D201">
        <v>2025</v>
      </c>
      <c r="E201" t="s">
        <v>2688</v>
      </c>
      <c r="F201" t="s">
        <v>29</v>
      </c>
      <c r="H201" t="s">
        <v>30</v>
      </c>
      <c r="I201" t="s">
        <v>30</v>
      </c>
      <c r="J201" t="s">
        <v>30</v>
      </c>
      <c r="K201" t="s">
        <v>30</v>
      </c>
      <c r="L201" t="s">
        <v>12</v>
      </c>
      <c r="M201" s="22" t="s">
        <v>1752</v>
      </c>
      <c r="N201" t="s">
        <v>31</v>
      </c>
    </row>
    <row r="202" spans="1:14" hidden="1">
      <c r="A202" t="s">
        <v>1008</v>
      </c>
      <c r="B202" t="s">
        <v>2014</v>
      </c>
      <c r="C202" t="s">
        <v>1752</v>
      </c>
      <c r="D202">
        <v>2024</v>
      </c>
      <c r="E202" t="s">
        <v>1752</v>
      </c>
      <c r="H202" t="e">
        <v>#N/A</v>
      </c>
      <c r="I202" t="e">
        <v>#N/A</v>
      </c>
      <c r="N202" t="s">
        <v>31</v>
      </c>
    </row>
    <row r="203" spans="1:14" hidden="1">
      <c r="A203" t="s">
        <v>1009</v>
      </c>
      <c r="B203" t="s">
        <v>2015</v>
      </c>
      <c r="C203" t="s">
        <v>1752</v>
      </c>
      <c r="D203">
        <v>2024</v>
      </c>
      <c r="E203" t="s">
        <v>1752</v>
      </c>
      <c r="H203" t="e">
        <v>#N/A</v>
      </c>
      <c r="I203" t="e">
        <v>#N/A</v>
      </c>
      <c r="N203" t="s">
        <v>31</v>
      </c>
    </row>
    <row r="204" spans="1:14" hidden="1">
      <c r="A204" t="s">
        <v>1010</v>
      </c>
      <c r="B204" t="s">
        <v>2016</v>
      </c>
      <c r="C204" t="s">
        <v>2017</v>
      </c>
      <c r="D204">
        <v>2025</v>
      </c>
      <c r="E204" t="s">
        <v>2689</v>
      </c>
      <c r="F204" t="s">
        <v>29</v>
      </c>
      <c r="H204" t="s">
        <v>30</v>
      </c>
      <c r="I204" t="s">
        <v>30</v>
      </c>
      <c r="J204" t="s">
        <v>30</v>
      </c>
      <c r="K204" t="s">
        <v>30</v>
      </c>
      <c r="L204" t="s">
        <v>12</v>
      </c>
      <c r="M204" s="22" t="s">
        <v>1752</v>
      </c>
      <c r="N204" t="s">
        <v>31</v>
      </c>
    </row>
    <row r="205" spans="1:14" hidden="1">
      <c r="A205" t="s">
        <v>1011</v>
      </c>
      <c r="B205" t="s">
        <v>2018</v>
      </c>
      <c r="C205" t="s">
        <v>2019</v>
      </c>
      <c r="D205">
        <v>2024</v>
      </c>
      <c r="E205" t="s">
        <v>2650</v>
      </c>
      <c r="F205" t="s">
        <v>29</v>
      </c>
      <c r="H205" t="s">
        <v>30</v>
      </c>
      <c r="I205" t="s">
        <v>30</v>
      </c>
      <c r="J205" t="s">
        <v>30</v>
      </c>
      <c r="K205" t="s">
        <v>30</v>
      </c>
      <c r="L205" t="s">
        <v>12</v>
      </c>
      <c r="M205" s="22" t="s">
        <v>1752</v>
      </c>
      <c r="N205" t="s">
        <v>31</v>
      </c>
    </row>
    <row r="206" spans="1:14" hidden="1">
      <c r="A206" t="s">
        <v>1012</v>
      </c>
      <c r="B206" t="s">
        <v>2020</v>
      </c>
      <c r="C206" t="s">
        <v>1752</v>
      </c>
      <c r="D206">
        <v>2023</v>
      </c>
      <c r="E206" t="s">
        <v>1752</v>
      </c>
      <c r="H206" t="e">
        <v>#N/A</v>
      </c>
      <c r="I206" t="e">
        <v>#N/A</v>
      </c>
      <c r="N206" t="s">
        <v>31</v>
      </c>
    </row>
    <row r="207" spans="1:14" hidden="1">
      <c r="A207" t="s">
        <v>1013</v>
      </c>
      <c r="B207" t="s">
        <v>2021</v>
      </c>
      <c r="C207" t="s">
        <v>2022</v>
      </c>
      <c r="D207">
        <v>2023</v>
      </c>
      <c r="E207" t="s">
        <v>2690</v>
      </c>
      <c r="F207" t="s">
        <v>29</v>
      </c>
      <c r="H207" t="s">
        <v>31</v>
      </c>
      <c r="I207" t="s">
        <v>30</v>
      </c>
      <c r="J207" t="s">
        <v>31</v>
      </c>
      <c r="N207" t="s">
        <v>31</v>
      </c>
    </row>
    <row r="208" spans="1:14" hidden="1">
      <c r="A208" t="s">
        <v>1014</v>
      </c>
      <c r="B208" t="s">
        <v>2023</v>
      </c>
      <c r="C208" t="s">
        <v>2024</v>
      </c>
      <c r="D208">
        <v>2023</v>
      </c>
      <c r="E208" t="s">
        <v>2691</v>
      </c>
      <c r="F208" t="s">
        <v>29</v>
      </c>
      <c r="H208" t="s">
        <v>30</v>
      </c>
      <c r="I208" t="s">
        <v>30</v>
      </c>
      <c r="J208" t="s">
        <v>30</v>
      </c>
      <c r="K208" t="s">
        <v>30</v>
      </c>
      <c r="L208" t="s">
        <v>12</v>
      </c>
      <c r="M208" s="22" t="s">
        <v>1752</v>
      </c>
      <c r="N208" t="s">
        <v>31</v>
      </c>
    </row>
    <row r="209" spans="1:14" ht="62.4">
      <c r="A209" t="s">
        <v>1015</v>
      </c>
      <c r="B209" t="s">
        <v>2025</v>
      </c>
      <c r="C209" t="s">
        <v>2026</v>
      </c>
      <c r="D209">
        <v>2024</v>
      </c>
      <c r="E209" t="s">
        <v>2692</v>
      </c>
      <c r="F209" t="s">
        <v>29</v>
      </c>
      <c r="H209" t="s">
        <v>30</v>
      </c>
      <c r="I209" t="s">
        <v>30</v>
      </c>
      <c r="J209" t="s">
        <v>30</v>
      </c>
      <c r="K209" t="s">
        <v>30</v>
      </c>
      <c r="L209" t="s">
        <v>15</v>
      </c>
      <c r="M209" s="22" t="s">
        <v>3770</v>
      </c>
      <c r="N209" t="s">
        <v>30</v>
      </c>
    </row>
    <row r="210" spans="1:14" hidden="1">
      <c r="A210" t="s">
        <v>1016</v>
      </c>
      <c r="B210" t="s">
        <v>2027</v>
      </c>
      <c r="C210" t="s">
        <v>1752</v>
      </c>
      <c r="D210">
        <v>2024</v>
      </c>
      <c r="E210" t="s">
        <v>1752</v>
      </c>
      <c r="H210" t="e">
        <v>#N/A</v>
      </c>
      <c r="I210" t="e">
        <v>#N/A</v>
      </c>
      <c r="N210" t="s">
        <v>31</v>
      </c>
    </row>
    <row r="211" spans="1:14" hidden="1">
      <c r="A211" t="s">
        <v>1017</v>
      </c>
      <c r="B211" t="s">
        <v>2028</v>
      </c>
      <c r="C211" t="s">
        <v>2029</v>
      </c>
      <c r="D211">
        <v>2024</v>
      </c>
      <c r="E211" t="s">
        <v>2693</v>
      </c>
      <c r="F211" t="s">
        <v>29</v>
      </c>
      <c r="H211" t="s">
        <v>30</v>
      </c>
      <c r="I211" t="s">
        <v>3733</v>
      </c>
      <c r="J211" t="s">
        <v>31</v>
      </c>
      <c r="N211" t="s">
        <v>31</v>
      </c>
    </row>
    <row r="212" spans="1:14" hidden="1">
      <c r="A212" t="s">
        <v>1018</v>
      </c>
      <c r="B212" t="s">
        <v>2030</v>
      </c>
      <c r="C212" t="s">
        <v>2031</v>
      </c>
      <c r="D212">
        <v>2024</v>
      </c>
      <c r="E212" t="s">
        <v>2694</v>
      </c>
      <c r="F212" t="s">
        <v>29</v>
      </c>
      <c r="H212" t="s">
        <v>31</v>
      </c>
      <c r="I212" t="s">
        <v>30</v>
      </c>
      <c r="J212" t="s">
        <v>31</v>
      </c>
      <c r="N212" t="s">
        <v>31</v>
      </c>
    </row>
    <row r="213" spans="1:14" hidden="1">
      <c r="A213" t="s">
        <v>1019</v>
      </c>
      <c r="B213" t="s">
        <v>2032</v>
      </c>
      <c r="C213" t="s">
        <v>2033</v>
      </c>
      <c r="D213">
        <v>2025</v>
      </c>
      <c r="E213" t="s">
        <v>2642</v>
      </c>
      <c r="F213" t="s">
        <v>29</v>
      </c>
      <c r="H213" t="s">
        <v>30</v>
      </c>
      <c r="I213" t="s">
        <v>30</v>
      </c>
      <c r="J213" t="s">
        <v>30</v>
      </c>
      <c r="K213" t="s">
        <v>30</v>
      </c>
      <c r="L213" t="s">
        <v>12</v>
      </c>
      <c r="M213" s="22" t="s">
        <v>1752</v>
      </c>
      <c r="N213" t="s">
        <v>31</v>
      </c>
    </row>
    <row r="214" spans="1:14" hidden="1">
      <c r="A214" t="s">
        <v>1020</v>
      </c>
      <c r="B214" t="s">
        <v>2034</v>
      </c>
      <c r="C214" t="s">
        <v>2035</v>
      </c>
      <c r="D214">
        <v>2024</v>
      </c>
      <c r="E214" t="s">
        <v>2695</v>
      </c>
      <c r="F214" t="s">
        <v>29</v>
      </c>
      <c r="H214" t="s">
        <v>30</v>
      </c>
      <c r="I214" t="s">
        <v>30</v>
      </c>
      <c r="J214" t="s">
        <v>30</v>
      </c>
      <c r="K214" t="s">
        <v>30</v>
      </c>
      <c r="L214" t="s">
        <v>12</v>
      </c>
      <c r="M214" s="22" t="s">
        <v>1752</v>
      </c>
      <c r="N214" t="s">
        <v>31</v>
      </c>
    </row>
    <row r="215" spans="1:14" hidden="1">
      <c r="A215" t="s">
        <v>1021</v>
      </c>
      <c r="B215" t="s">
        <v>2036</v>
      </c>
      <c r="C215" t="s">
        <v>2037</v>
      </c>
      <c r="D215">
        <v>2025</v>
      </c>
      <c r="E215" t="s">
        <v>2612</v>
      </c>
      <c r="F215" t="s">
        <v>29</v>
      </c>
      <c r="H215" t="s">
        <v>31</v>
      </c>
      <c r="I215" t="s">
        <v>30</v>
      </c>
      <c r="J215" t="s">
        <v>31</v>
      </c>
      <c r="N215" t="s">
        <v>31</v>
      </c>
    </row>
    <row r="216" spans="1:14" hidden="1">
      <c r="A216" t="s">
        <v>1022</v>
      </c>
      <c r="B216" t="s">
        <v>2038</v>
      </c>
      <c r="C216" t="s">
        <v>2039</v>
      </c>
      <c r="D216">
        <v>2023</v>
      </c>
      <c r="E216" t="s">
        <v>2631</v>
      </c>
      <c r="F216" t="s">
        <v>29</v>
      </c>
      <c r="H216" t="s">
        <v>30</v>
      </c>
      <c r="I216" t="s">
        <v>30</v>
      </c>
      <c r="J216" t="s">
        <v>30</v>
      </c>
      <c r="K216" t="s">
        <v>30</v>
      </c>
      <c r="L216" t="s">
        <v>12</v>
      </c>
      <c r="M216" s="22" t="s">
        <v>1752</v>
      </c>
      <c r="N216" t="s">
        <v>31</v>
      </c>
    </row>
    <row r="217" spans="1:14" hidden="1">
      <c r="A217" t="s">
        <v>1023</v>
      </c>
      <c r="B217" t="s">
        <v>2040</v>
      </c>
      <c r="C217" t="s">
        <v>2041</v>
      </c>
      <c r="D217">
        <v>2023</v>
      </c>
      <c r="E217" t="s">
        <v>2696</v>
      </c>
      <c r="F217" t="s">
        <v>29</v>
      </c>
      <c r="H217" t="s">
        <v>30</v>
      </c>
      <c r="I217" t="s">
        <v>30</v>
      </c>
      <c r="J217" t="s">
        <v>30</v>
      </c>
      <c r="K217" t="s">
        <v>30</v>
      </c>
      <c r="L217" t="s">
        <v>12</v>
      </c>
      <c r="M217" s="22" t="s">
        <v>1752</v>
      </c>
      <c r="N217" t="s">
        <v>31</v>
      </c>
    </row>
    <row r="218" spans="1:14" hidden="1">
      <c r="A218" t="s">
        <v>1024</v>
      </c>
      <c r="B218" t="s">
        <v>2042</v>
      </c>
      <c r="C218" t="s">
        <v>2043</v>
      </c>
      <c r="D218">
        <v>2024</v>
      </c>
      <c r="E218" t="s">
        <v>2697</v>
      </c>
      <c r="F218" t="s">
        <v>29</v>
      </c>
      <c r="H218" t="s">
        <v>30</v>
      </c>
      <c r="I218" t="s">
        <v>30</v>
      </c>
      <c r="J218" t="s">
        <v>30</v>
      </c>
      <c r="K218" t="s">
        <v>30</v>
      </c>
      <c r="L218" t="s">
        <v>12</v>
      </c>
      <c r="M218" s="22" t="s">
        <v>1752</v>
      </c>
      <c r="N218" t="s">
        <v>31</v>
      </c>
    </row>
    <row r="219" spans="1:14" hidden="1">
      <c r="A219" t="s">
        <v>1025</v>
      </c>
      <c r="B219" t="s">
        <v>2044</v>
      </c>
      <c r="C219" t="s">
        <v>2045</v>
      </c>
      <c r="D219">
        <v>2025</v>
      </c>
      <c r="E219" t="s">
        <v>2582</v>
      </c>
      <c r="F219" t="s">
        <v>29</v>
      </c>
      <c r="H219" t="s">
        <v>30</v>
      </c>
      <c r="I219" t="s">
        <v>30</v>
      </c>
      <c r="J219" t="s">
        <v>30</v>
      </c>
      <c r="K219" t="s">
        <v>30</v>
      </c>
      <c r="L219" t="s">
        <v>12</v>
      </c>
      <c r="M219" s="22" t="s">
        <v>1752</v>
      </c>
      <c r="N219" t="s">
        <v>31</v>
      </c>
    </row>
    <row r="220" spans="1:14" hidden="1">
      <c r="A220" t="s">
        <v>1026</v>
      </c>
      <c r="B220" t="s">
        <v>2046</v>
      </c>
      <c r="C220" t="s">
        <v>2047</v>
      </c>
      <c r="D220">
        <v>2025</v>
      </c>
      <c r="E220" t="s">
        <v>2698</v>
      </c>
      <c r="F220" t="s">
        <v>29</v>
      </c>
      <c r="H220" t="s">
        <v>30</v>
      </c>
      <c r="I220" t="s">
        <v>30</v>
      </c>
      <c r="J220" t="s">
        <v>30</v>
      </c>
      <c r="K220" t="s">
        <v>30</v>
      </c>
      <c r="L220" t="s">
        <v>12</v>
      </c>
      <c r="M220" s="22" t="s">
        <v>1752</v>
      </c>
      <c r="N220" t="s">
        <v>31</v>
      </c>
    </row>
    <row r="221" spans="1:14" hidden="1">
      <c r="A221" t="s">
        <v>1027</v>
      </c>
      <c r="B221" t="s">
        <v>2048</v>
      </c>
      <c r="C221" t="s">
        <v>2049</v>
      </c>
      <c r="D221">
        <v>2023</v>
      </c>
      <c r="E221" t="s">
        <v>2699</v>
      </c>
      <c r="F221" t="s">
        <v>29</v>
      </c>
      <c r="H221" t="s">
        <v>30</v>
      </c>
      <c r="I221" t="s">
        <v>30</v>
      </c>
      <c r="J221" t="s">
        <v>30</v>
      </c>
      <c r="K221" t="s">
        <v>30</v>
      </c>
      <c r="L221" t="s">
        <v>12</v>
      </c>
      <c r="M221" s="22" t="s">
        <v>1752</v>
      </c>
      <c r="N221" t="s">
        <v>31</v>
      </c>
    </row>
    <row r="222" spans="1:14" hidden="1">
      <c r="A222" t="s">
        <v>1028</v>
      </c>
      <c r="B222" t="s">
        <v>2050</v>
      </c>
      <c r="C222" t="s">
        <v>2051</v>
      </c>
      <c r="D222">
        <v>2025</v>
      </c>
      <c r="E222" t="s">
        <v>2700</v>
      </c>
      <c r="F222" t="s">
        <v>29</v>
      </c>
      <c r="H222" t="s">
        <v>30</v>
      </c>
      <c r="I222" t="s">
        <v>30</v>
      </c>
      <c r="J222" t="s">
        <v>30</v>
      </c>
      <c r="K222" t="s">
        <v>30</v>
      </c>
      <c r="L222" t="s">
        <v>12</v>
      </c>
      <c r="M222" s="22" t="s">
        <v>1752</v>
      </c>
      <c r="N222" t="s">
        <v>31</v>
      </c>
    </row>
    <row r="223" spans="1:14" hidden="1">
      <c r="A223" t="s">
        <v>1029</v>
      </c>
      <c r="B223" t="s">
        <v>2052</v>
      </c>
      <c r="C223" t="s">
        <v>1752</v>
      </c>
      <c r="D223">
        <v>2023</v>
      </c>
      <c r="E223" t="s">
        <v>1752</v>
      </c>
      <c r="H223" t="e">
        <v>#N/A</v>
      </c>
      <c r="I223" t="e">
        <v>#N/A</v>
      </c>
      <c r="N223" t="s">
        <v>31</v>
      </c>
    </row>
    <row r="224" spans="1:14" hidden="1">
      <c r="A224" t="s">
        <v>1030</v>
      </c>
      <c r="B224" t="s">
        <v>2053</v>
      </c>
      <c r="C224" t="s">
        <v>2054</v>
      </c>
      <c r="D224">
        <v>2023</v>
      </c>
      <c r="E224" t="s">
        <v>2701</v>
      </c>
      <c r="F224" t="s">
        <v>29</v>
      </c>
      <c r="H224" t="s">
        <v>30</v>
      </c>
      <c r="I224" t="s">
        <v>3733</v>
      </c>
      <c r="J224" t="s">
        <v>31</v>
      </c>
      <c r="N224" t="s">
        <v>31</v>
      </c>
    </row>
    <row r="225" spans="1:14" hidden="1">
      <c r="A225" t="s">
        <v>1031</v>
      </c>
      <c r="B225" t="s">
        <v>2055</v>
      </c>
      <c r="C225" t="s">
        <v>2056</v>
      </c>
      <c r="D225">
        <v>2023</v>
      </c>
      <c r="E225" t="s">
        <v>2625</v>
      </c>
      <c r="F225" t="s">
        <v>29</v>
      </c>
      <c r="H225" t="s">
        <v>30</v>
      </c>
      <c r="I225" t="s">
        <v>3733</v>
      </c>
      <c r="J225" t="s">
        <v>31</v>
      </c>
      <c r="N225" t="s">
        <v>31</v>
      </c>
    </row>
    <row r="226" spans="1:14" hidden="1">
      <c r="A226" t="s">
        <v>1032</v>
      </c>
      <c r="B226" t="s">
        <v>2057</v>
      </c>
      <c r="C226" t="s">
        <v>2058</v>
      </c>
      <c r="D226">
        <v>2023</v>
      </c>
      <c r="E226" t="s">
        <v>2702</v>
      </c>
      <c r="F226" t="s">
        <v>29</v>
      </c>
      <c r="H226" t="s">
        <v>31</v>
      </c>
      <c r="I226" t="s">
        <v>30</v>
      </c>
      <c r="J226" t="s">
        <v>31</v>
      </c>
      <c r="N226" t="s">
        <v>31</v>
      </c>
    </row>
    <row r="227" spans="1:14" hidden="1">
      <c r="A227" t="s">
        <v>1033</v>
      </c>
      <c r="B227" t="s">
        <v>2059</v>
      </c>
      <c r="C227" t="s">
        <v>2060</v>
      </c>
      <c r="D227">
        <v>2024</v>
      </c>
      <c r="E227" t="s">
        <v>2630</v>
      </c>
      <c r="F227" t="s">
        <v>29</v>
      </c>
      <c r="H227" t="s">
        <v>31</v>
      </c>
      <c r="I227" t="s">
        <v>30</v>
      </c>
      <c r="J227" t="s">
        <v>31</v>
      </c>
      <c r="N227" t="s">
        <v>31</v>
      </c>
    </row>
    <row r="228" spans="1:14" hidden="1">
      <c r="A228" t="s">
        <v>1034</v>
      </c>
      <c r="B228" t="s">
        <v>2061</v>
      </c>
      <c r="C228" t="s">
        <v>1752</v>
      </c>
      <c r="D228">
        <v>2025</v>
      </c>
      <c r="E228" t="s">
        <v>1752</v>
      </c>
      <c r="H228" t="e">
        <v>#N/A</v>
      </c>
      <c r="I228" t="e">
        <v>#N/A</v>
      </c>
      <c r="N228" t="s">
        <v>31</v>
      </c>
    </row>
    <row r="229" spans="1:14" hidden="1">
      <c r="A229" t="s">
        <v>1035</v>
      </c>
      <c r="B229" t="s">
        <v>2062</v>
      </c>
      <c r="C229" t="s">
        <v>2063</v>
      </c>
      <c r="D229">
        <v>2025</v>
      </c>
      <c r="E229" t="s">
        <v>2703</v>
      </c>
      <c r="F229" t="s">
        <v>29</v>
      </c>
      <c r="H229" t="s">
        <v>31</v>
      </c>
      <c r="I229" t="s">
        <v>3733</v>
      </c>
      <c r="J229" t="s">
        <v>31</v>
      </c>
      <c r="N229" t="s">
        <v>31</v>
      </c>
    </row>
    <row r="230" spans="1:14" hidden="1">
      <c r="A230" t="s">
        <v>1036</v>
      </c>
      <c r="B230" t="s">
        <v>2064</v>
      </c>
      <c r="C230" t="s">
        <v>2065</v>
      </c>
      <c r="D230">
        <v>2024</v>
      </c>
      <c r="E230" t="s">
        <v>2677</v>
      </c>
      <c r="F230" t="s">
        <v>29</v>
      </c>
      <c r="H230" t="s">
        <v>30</v>
      </c>
      <c r="I230" t="s">
        <v>30</v>
      </c>
      <c r="J230" t="s">
        <v>30</v>
      </c>
      <c r="K230" t="s">
        <v>30</v>
      </c>
      <c r="L230" t="s">
        <v>12</v>
      </c>
      <c r="M230" s="22" t="s">
        <v>1752</v>
      </c>
      <c r="N230" t="s">
        <v>31</v>
      </c>
    </row>
    <row r="231" spans="1:14" hidden="1">
      <c r="A231" t="s">
        <v>1037</v>
      </c>
      <c r="B231" t="s">
        <v>2066</v>
      </c>
      <c r="C231" t="s">
        <v>2067</v>
      </c>
      <c r="D231">
        <v>2025</v>
      </c>
      <c r="E231" t="s">
        <v>2614</v>
      </c>
      <c r="F231" t="s">
        <v>29</v>
      </c>
      <c r="H231" t="s">
        <v>30</v>
      </c>
      <c r="I231" t="s">
        <v>30</v>
      </c>
      <c r="J231" t="s">
        <v>30</v>
      </c>
      <c r="K231" t="s">
        <v>30</v>
      </c>
      <c r="L231" t="s">
        <v>12</v>
      </c>
      <c r="M231" s="22" t="s">
        <v>1752</v>
      </c>
      <c r="N231" t="s">
        <v>31</v>
      </c>
    </row>
    <row r="232" spans="1:14" hidden="1">
      <c r="A232" t="s">
        <v>1038</v>
      </c>
      <c r="B232" t="s">
        <v>2068</v>
      </c>
      <c r="C232" t="s">
        <v>2069</v>
      </c>
      <c r="D232">
        <v>2025</v>
      </c>
      <c r="E232" t="s">
        <v>2704</v>
      </c>
      <c r="F232" t="s">
        <v>29</v>
      </c>
      <c r="H232" t="s">
        <v>31</v>
      </c>
      <c r="I232" t="s">
        <v>30</v>
      </c>
      <c r="J232" t="s">
        <v>31</v>
      </c>
      <c r="N232" t="s">
        <v>31</v>
      </c>
    </row>
    <row r="233" spans="1:14" hidden="1">
      <c r="A233" t="s">
        <v>1039</v>
      </c>
      <c r="B233" t="s">
        <v>2070</v>
      </c>
      <c r="C233" t="s">
        <v>2071</v>
      </c>
      <c r="D233">
        <v>2023</v>
      </c>
      <c r="E233" t="s">
        <v>2705</v>
      </c>
      <c r="F233" t="s">
        <v>29</v>
      </c>
      <c r="H233" t="s">
        <v>30</v>
      </c>
      <c r="I233" t="s">
        <v>30</v>
      </c>
      <c r="J233" t="s">
        <v>30</v>
      </c>
      <c r="K233" t="s">
        <v>30</v>
      </c>
      <c r="L233" t="s">
        <v>12</v>
      </c>
      <c r="M233" s="22" t="s">
        <v>1752</v>
      </c>
      <c r="N233" t="s">
        <v>31</v>
      </c>
    </row>
    <row r="234" spans="1:14" hidden="1">
      <c r="A234" t="s">
        <v>1040</v>
      </c>
      <c r="B234" t="s">
        <v>2072</v>
      </c>
      <c r="C234" t="s">
        <v>2073</v>
      </c>
      <c r="D234">
        <v>2023</v>
      </c>
      <c r="E234" t="s">
        <v>2653</v>
      </c>
      <c r="F234" t="s">
        <v>29</v>
      </c>
      <c r="H234" t="s">
        <v>31</v>
      </c>
      <c r="I234" t="s">
        <v>30</v>
      </c>
      <c r="J234" t="s">
        <v>31</v>
      </c>
      <c r="N234" t="s">
        <v>31</v>
      </c>
    </row>
    <row r="235" spans="1:14" hidden="1">
      <c r="A235" t="s">
        <v>1041</v>
      </c>
      <c r="B235" t="s">
        <v>2074</v>
      </c>
      <c r="C235" t="s">
        <v>2075</v>
      </c>
      <c r="D235">
        <v>2024</v>
      </c>
      <c r="E235" t="s">
        <v>2706</v>
      </c>
      <c r="F235" t="s">
        <v>29</v>
      </c>
      <c r="H235" t="s">
        <v>30</v>
      </c>
      <c r="I235" t="s">
        <v>30</v>
      </c>
      <c r="J235" t="s">
        <v>30</v>
      </c>
      <c r="K235" t="s">
        <v>30</v>
      </c>
      <c r="L235" t="s">
        <v>12</v>
      </c>
      <c r="M235" s="22" t="s">
        <v>1752</v>
      </c>
      <c r="N235" t="s">
        <v>31</v>
      </c>
    </row>
    <row r="236" spans="1:14" hidden="1">
      <c r="A236" t="s">
        <v>1042</v>
      </c>
      <c r="B236" t="s">
        <v>2076</v>
      </c>
      <c r="C236" t="s">
        <v>2077</v>
      </c>
      <c r="D236">
        <v>2025</v>
      </c>
      <c r="E236" t="s">
        <v>2707</v>
      </c>
      <c r="F236" t="s">
        <v>29</v>
      </c>
      <c r="H236" t="s">
        <v>30</v>
      </c>
      <c r="I236" t="s">
        <v>30</v>
      </c>
      <c r="J236" t="s">
        <v>30</v>
      </c>
      <c r="K236" t="s">
        <v>30</v>
      </c>
      <c r="L236" t="s">
        <v>12</v>
      </c>
      <c r="M236" s="22" t="s">
        <v>1752</v>
      </c>
      <c r="N236" t="s">
        <v>31</v>
      </c>
    </row>
    <row r="237" spans="1:14" hidden="1">
      <c r="A237" t="s">
        <v>1043</v>
      </c>
      <c r="B237" t="s">
        <v>2078</v>
      </c>
      <c r="C237" t="s">
        <v>1752</v>
      </c>
      <c r="D237">
        <v>2024</v>
      </c>
      <c r="E237" t="s">
        <v>1752</v>
      </c>
      <c r="H237" t="e">
        <v>#N/A</v>
      </c>
      <c r="I237" t="e">
        <v>#N/A</v>
      </c>
      <c r="N237" t="s">
        <v>31</v>
      </c>
    </row>
    <row r="238" spans="1:14" ht="52.2">
      <c r="A238" t="s">
        <v>1044</v>
      </c>
      <c r="B238" t="s">
        <v>2079</v>
      </c>
      <c r="C238" t="s">
        <v>2080</v>
      </c>
      <c r="D238">
        <v>2025</v>
      </c>
      <c r="E238" t="s">
        <v>2595</v>
      </c>
      <c r="F238" t="s">
        <v>29</v>
      </c>
      <c r="H238" t="s">
        <v>30</v>
      </c>
      <c r="I238" t="s">
        <v>30</v>
      </c>
      <c r="J238" t="s">
        <v>30</v>
      </c>
      <c r="K238" t="s">
        <v>30</v>
      </c>
      <c r="L238" t="s">
        <v>15</v>
      </c>
      <c r="M238" s="22" t="s">
        <v>3771</v>
      </c>
      <c r="N238" t="s">
        <v>30</v>
      </c>
    </row>
    <row r="239" spans="1:14" hidden="1">
      <c r="A239" t="s">
        <v>1045</v>
      </c>
      <c r="B239" t="s">
        <v>2081</v>
      </c>
      <c r="C239" t="s">
        <v>2082</v>
      </c>
      <c r="D239">
        <v>2025</v>
      </c>
      <c r="E239" t="s">
        <v>2612</v>
      </c>
      <c r="F239" t="s">
        <v>29</v>
      </c>
      <c r="H239" t="s">
        <v>30</v>
      </c>
      <c r="I239" t="s">
        <v>30</v>
      </c>
      <c r="J239" t="s">
        <v>30</v>
      </c>
      <c r="K239" t="s">
        <v>30</v>
      </c>
      <c r="L239" t="s">
        <v>12</v>
      </c>
      <c r="M239" s="22" t="s">
        <v>1752</v>
      </c>
      <c r="N239" t="s">
        <v>31</v>
      </c>
    </row>
    <row r="240" spans="1:14" hidden="1">
      <c r="A240" t="s">
        <v>1046</v>
      </c>
      <c r="B240" t="s">
        <v>2083</v>
      </c>
      <c r="C240" t="s">
        <v>2084</v>
      </c>
      <c r="D240">
        <v>2024</v>
      </c>
      <c r="E240" t="s">
        <v>2708</v>
      </c>
      <c r="F240" t="s">
        <v>29</v>
      </c>
      <c r="H240" t="s">
        <v>31</v>
      </c>
      <c r="I240" t="s">
        <v>30</v>
      </c>
      <c r="J240" t="s">
        <v>31</v>
      </c>
      <c r="N240" t="s">
        <v>31</v>
      </c>
    </row>
    <row r="241" spans="1:14" hidden="1">
      <c r="A241" t="s">
        <v>1047</v>
      </c>
      <c r="B241" t="s">
        <v>2085</v>
      </c>
      <c r="C241" t="s">
        <v>2086</v>
      </c>
      <c r="D241">
        <v>2023</v>
      </c>
      <c r="E241" t="s">
        <v>2709</v>
      </c>
      <c r="F241" t="s">
        <v>29</v>
      </c>
      <c r="H241" t="s">
        <v>30</v>
      </c>
      <c r="I241" t="s">
        <v>3733</v>
      </c>
      <c r="J241" t="s">
        <v>31</v>
      </c>
      <c r="N241" t="s">
        <v>31</v>
      </c>
    </row>
    <row r="242" spans="1:14" hidden="1">
      <c r="A242" t="s">
        <v>1048</v>
      </c>
      <c r="B242" t="s">
        <v>2087</v>
      </c>
      <c r="C242" t="s">
        <v>1752</v>
      </c>
      <c r="D242">
        <v>2023</v>
      </c>
      <c r="E242" t="s">
        <v>1752</v>
      </c>
      <c r="H242" t="e">
        <v>#N/A</v>
      </c>
      <c r="I242" t="e">
        <v>#N/A</v>
      </c>
      <c r="N242" t="s">
        <v>31</v>
      </c>
    </row>
    <row r="243" spans="1:14" hidden="1">
      <c r="A243" t="s">
        <v>1049</v>
      </c>
      <c r="B243" t="s">
        <v>2088</v>
      </c>
      <c r="C243" t="s">
        <v>2089</v>
      </c>
      <c r="D243">
        <v>2024</v>
      </c>
      <c r="E243" t="s">
        <v>2710</v>
      </c>
      <c r="F243" t="s">
        <v>29</v>
      </c>
      <c r="H243" t="s">
        <v>30</v>
      </c>
      <c r="I243" t="s">
        <v>30</v>
      </c>
      <c r="J243" t="s">
        <v>30</v>
      </c>
      <c r="K243" t="s">
        <v>30</v>
      </c>
      <c r="L243" t="s">
        <v>12</v>
      </c>
      <c r="M243" s="22" t="s">
        <v>1752</v>
      </c>
      <c r="N243" t="s">
        <v>31</v>
      </c>
    </row>
    <row r="244" spans="1:14" hidden="1">
      <c r="A244" t="s">
        <v>1050</v>
      </c>
      <c r="B244" t="s">
        <v>2090</v>
      </c>
      <c r="C244" t="s">
        <v>1752</v>
      </c>
      <c r="D244">
        <v>2024</v>
      </c>
      <c r="E244" t="s">
        <v>1752</v>
      </c>
      <c r="H244" t="e">
        <v>#N/A</v>
      </c>
      <c r="I244" t="e">
        <v>#N/A</v>
      </c>
      <c r="N244" t="s">
        <v>31</v>
      </c>
    </row>
    <row r="245" spans="1:14" hidden="1">
      <c r="A245" t="s">
        <v>1051</v>
      </c>
      <c r="B245" t="s">
        <v>2091</v>
      </c>
      <c r="C245" t="s">
        <v>2092</v>
      </c>
      <c r="D245">
        <v>2025</v>
      </c>
      <c r="E245" t="s">
        <v>2711</v>
      </c>
      <c r="F245" t="s">
        <v>29</v>
      </c>
      <c r="H245" t="s">
        <v>30</v>
      </c>
      <c r="I245" t="s">
        <v>30</v>
      </c>
      <c r="J245" t="s">
        <v>30</v>
      </c>
      <c r="K245" t="s">
        <v>30</v>
      </c>
      <c r="L245" t="s">
        <v>12</v>
      </c>
      <c r="M245" s="22" t="s">
        <v>1752</v>
      </c>
      <c r="N245" t="s">
        <v>31</v>
      </c>
    </row>
    <row r="246" spans="1:14" hidden="1">
      <c r="A246" t="s">
        <v>1052</v>
      </c>
      <c r="B246" t="s">
        <v>2093</v>
      </c>
      <c r="C246" t="s">
        <v>1752</v>
      </c>
      <c r="D246">
        <v>2024</v>
      </c>
      <c r="E246" t="s">
        <v>1752</v>
      </c>
      <c r="H246" t="e">
        <v>#N/A</v>
      </c>
      <c r="I246" t="e">
        <v>#N/A</v>
      </c>
      <c r="N246" t="s">
        <v>31</v>
      </c>
    </row>
    <row r="247" spans="1:14" hidden="1">
      <c r="A247" t="s">
        <v>1053</v>
      </c>
      <c r="B247" t="s">
        <v>2094</v>
      </c>
      <c r="C247" t="s">
        <v>2095</v>
      </c>
      <c r="D247">
        <v>2023</v>
      </c>
      <c r="E247" t="s">
        <v>2712</v>
      </c>
      <c r="F247" t="s">
        <v>29</v>
      </c>
      <c r="H247" t="s">
        <v>30</v>
      </c>
      <c r="I247" t="s">
        <v>30</v>
      </c>
      <c r="J247" t="s">
        <v>30</v>
      </c>
      <c r="K247" t="s">
        <v>30</v>
      </c>
      <c r="L247" t="s">
        <v>12</v>
      </c>
      <c r="M247" s="22" t="s">
        <v>1752</v>
      </c>
      <c r="N247" t="s">
        <v>31</v>
      </c>
    </row>
    <row r="248" spans="1:14" hidden="1">
      <c r="A248" t="s">
        <v>1054</v>
      </c>
      <c r="B248" t="s">
        <v>2096</v>
      </c>
      <c r="C248" t="s">
        <v>2097</v>
      </c>
      <c r="D248">
        <v>2025</v>
      </c>
      <c r="E248" t="s">
        <v>2614</v>
      </c>
      <c r="F248" t="s">
        <v>29</v>
      </c>
      <c r="H248" t="s">
        <v>30</v>
      </c>
      <c r="I248" t="s">
        <v>30</v>
      </c>
      <c r="J248" t="s">
        <v>30</v>
      </c>
      <c r="K248" t="s">
        <v>30</v>
      </c>
      <c r="L248" t="s">
        <v>12</v>
      </c>
      <c r="M248" s="22" t="s">
        <v>1752</v>
      </c>
      <c r="N248" t="s">
        <v>31</v>
      </c>
    </row>
    <row r="249" spans="1:14" hidden="1">
      <c r="A249" t="s">
        <v>1055</v>
      </c>
      <c r="B249" t="s">
        <v>2098</v>
      </c>
      <c r="C249" t="s">
        <v>2099</v>
      </c>
      <c r="D249">
        <v>2024</v>
      </c>
      <c r="E249" t="s">
        <v>2713</v>
      </c>
      <c r="F249" t="s">
        <v>29</v>
      </c>
      <c r="H249" t="s">
        <v>30</v>
      </c>
      <c r="I249" t="s">
        <v>3733</v>
      </c>
      <c r="J249" t="s">
        <v>31</v>
      </c>
      <c r="N249" t="s">
        <v>31</v>
      </c>
    </row>
    <row r="250" spans="1:14" hidden="1">
      <c r="A250" t="s">
        <v>1056</v>
      </c>
      <c r="B250" t="s">
        <v>2100</v>
      </c>
      <c r="C250" t="s">
        <v>2101</v>
      </c>
      <c r="D250">
        <v>2024</v>
      </c>
      <c r="E250" t="s">
        <v>2714</v>
      </c>
      <c r="F250" t="s">
        <v>29</v>
      </c>
      <c r="H250" t="s">
        <v>30</v>
      </c>
      <c r="I250" t="s">
        <v>30</v>
      </c>
      <c r="J250" t="s">
        <v>30</v>
      </c>
      <c r="K250" t="s">
        <v>30</v>
      </c>
      <c r="L250" t="s">
        <v>12</v>
      </c>
      <c r="M250" s="22" t="s">
        <v>1752</v>
      </c>
      <c r="N250" t="s">
        <v>31</v>
      </c>
    </row>
    <row r="251" spans="1:14" hidden="1">
      <c r="A251" t="s">
        <v>1057</v>
      </c>
      <c r="B251" t="s">
        <v>2102</v>
      </c>
      <c r="C251" t="s">
        <v>2103</v>
      </c>
      <c r="D251">
        <v>2024</v>
      </c>
      <c r="E251" t="s">
        <v>2715</v>
      </c>
      <c r="F251" t="s">
        <v>29</v>
      </c>
      <c r="G251" t="s">
        <v>31</v>
      </c>
      <c r="H251" t="s">
        <v>30</v>
      </c>
      <c r="I251" t="s">
        <v>30</v>
      </c>
      <c r="J251" t="s">
        <v>30</v>
      </c>
      <c r="K251" t="s">
        <v>30</v>
      </c>
      <c r="L251" t="s">
        <v>15</v>
      </c>
      <c r="M251" s="22" t="s">
        <v>3772</v>
      </c>
      <c r="N251" t="s">
        <v>31</v>
      </c>
    </row>
    <row r="252" spans="1:14" hidden="1">
      <c r="A252" t="s">
        <v>1058</v>
      </c>
      <c r="B252" t="s">
        <v>2104</v>
      </c>
      <c r="C252" t="s">
        <v>1752</v>
      </c>
      <c r="D252">
        <v>2023</v>
      </c>
      <c r="E252" t="s">
        <v>1752</v>
      </c>
      <c r="H252" t="e">
        <v>#N/A</v>
      </c>
      <c r="I252" t="e">
        <v>#N/A</v>
      </c>
      <c r="N252" t="s">
        <v>31</v>
      </c>
    </row>
    <row r="253" spans="1:14" hidden="1">
      <c r="A253" t="s">
        <v>1059</v>
      </c>
      <c r="B253" t="s">
        <v>2105</v>
      </c>
      <c r="C253" t="s">
        <v>2106</v>
      </c>
      <c r="D253">
        <v>2024</v>
      </c>
      <c r="E253" t="s">
        <v>2716</v>
      </c>
      <c r="F253" t="s">
        <v>29</v>
      </c>
      <c r="H253" t="s">
        <v>30</v>
      </c>
      <c r="I253" t="s">
        <v>3733</v>
      </c>
      <c r="J253" t="s">
        <v>31</v>
      </c>
      <c r="N253" t="s">
        <v>31</v>
      </c>
    </row>
    <row r="254" spans="1:14" hidden="1">
      <c r="A254" t="s">
        <v>1060</v>
      </c>
      <c r="B254" t="s">
        <v>2107</v>
      </c>
      <c r="C254" t="s">
        <v>2108</v>
      </c>
      <c r="D254">
        <v>2024</v>
      </c>
      <c r="E254" t="s">
        <v>2717</v>
      </c>
      <c r="F254" t="s">
        <v>29</v>
      </c>
      <c r="H254" t="s">
        <v>30</v>
      </c>
      <c r="I254" t="s">
        <v>30</v>
      </c>
      <c r="J254" t="s">
        <v>30</v>
      </c>
      <c r="K254" t="s">
        <v>30</v>
      </c>
      <c r="L254" t="s">
        <v>12</v>
      </c>
      <c r="M254" s="22" t="s">
        <v>1752</v>
      </c>
      <c r="N254" t="s">
        <v>31</v>
      </c>
    </row>
    <row r="255" spans="1:14" hidden="1">
      <c r="A255" t="s">
        <v>1061</v>
      </c>
      <c r="B255" t="s">
        <v>2109</v>
      </c>
      <c r="C255" t="s">
        <v>2110</v>
      </c>
      <c r="D255">
        <v>2025</v>
      </c>
      <c r="E255" t="s">
        <v>2718</v>
      </c>
      <c r="F255" t="s">
        <v>29</v>
      </c>
      <c r="H255" t="s">
        <v>31</v>
      </c>
      <c r="I255" t="s">
        <v>30</v>
      </c>
      <c r="J255" t="s">
        <v>31</v>
      </c>
      <c r="N255" t="s">
        <v>31</v>
      </c>
    </row>
    <row r="256" spans="1:14" hidden="1">
      <c r="A256" t="s">
        <v>1062</v>
      </c>
      <c r="B256" t="s">
        <v>2111</v>
      </c>
      <c r="C256" t="s">
        <v>2112</v>
      </c>
      <c r="D256">
        <v>2024</v>
      </c>
      <c r="E256" t="s">
        <v>2612</v>
      </c>
      <c r="F256" t="s">
        <v>29</v>
      </c>
      <c r="H256" t="s">
        <v>30</v>
      </c>
      <c r="I256" t="s">
        <v>30</v>
      </c>
      <c r="J256" t="s">
        <v>30</v>
      </c>
      <c r="K256" t="s">
        <v>30</v>
      </c>
      <c r="L256" t="s">
        <v>12</v>
      </c>
      <c r="M256" s="22" t="s">
        <v>1752</v>
      </c>
      <c r="N256" t="s">
        <v>31</v>
      </c>
    </row>
    <row r="257" spans="1:14" hidden="1">
      <c r="A257" t="s">
        <v>1063</v>
      </c>
      <c r="B257" t="s">
        <v>2113</v>
      </c>
      <c r="C257" t="s">
        <v>2114</v>
      </c>
      <c r="D257">
        <v>2023</v>
      </c>
      <c r="E257" t="s">
        <v>2596</v>
      </c>
      <c r="F257" t="s">
        <v>29</v>
      </c>
      <c r="H257" t="s">
        <v>30</v>
      </c>
      <c r="I257" t="s">
        <v>30</v>
      </c>
      <c r="J257" t="s">
        <v>30</v>
      </c>
      <c r="K257" t="s">
        <v>30</v>
      </c>
      <c r="L257" t="s">
        <v>12</v>
      </c>
      <c r="M257" s="22" t="s">
        <v>1752</v>
      </c>
      <c r="N257" t="s">
        <v>31</v>
      </c>
    </row>
    <row r="258" spans="1:14" hidden="1">
      <c r="A258" t="s">
        <v>1064</v>
      </c>
      <c r="B258" t="s">
        <v>2115</v>
      </c>
      <c r="C258" t="s">
        <v>2116</v>
      </c>
      <c r="D258">
        <v>2024</v>
      </c>
      <c r="E258" t="s">
        <v>2584</v>
      </c>
      <c r="F258" t="s">
        <v>29</v>
      </c>
      <c r="H258" t="s">
        <v>31</v>
      </c>
      <c r="I258" t="s">
        <v>30</v>
      </c>
      <c r="J258" t="s">
        <v>31</v>
      </c>
      <c r="N258" t="s">
        <v>31</v>
      </c>
    </row>
    <row r="259" spans="1:14" hidden="1">
      <c r="A259" t="s">
        <v>1065</v>
      </c>
      <c r="B259" t="s">
        <v>2117</v>
      </c>
      <c r="C259" t="s">
        <v>2118</v>
      </c>
      <c r="D259">
        <v>2024</v>
      </c>
      <c r="E259" t="s">
        <v>2719</v>
      </c>
      <c r="F259" t="s">
        <v>29</v>
      </c>
      <c r="H259" t="s">
        <v>30</v>
      </c>
      <c r="I259" t="s">
        <v>3733</v>
      </c>
      <c r="J259" t="s">
        <v>31</v>
      </c>
      <c r="N259" t="s">
        <v>31</v>
      </c>
    </row>
    <row r="260" spans="1:14" hidden="1">
      <c r="A260" t="s">
        <v>1066</v>
      </c>
      <c r="B260" t="s">
        <v>2119</v>
      </c>
      <c r="C260" t="s">
        <v>2120</v>
      </c>
      <c r="D260">
        <v>2024</v>
      </c>
      <c r="E260" t="s">
        <v>2568</v>
      </c>
      <c r="F260" t="s">
        <v>29</v>
      </c>
      <c r="H260" t="s">
        <v>30</v>
      </c>
      <c r="I260" t="s">
        <v>30</v>
      </c>
      <c r="J260" t="s">
        <v>30</v>
      </c>
      <c r="K260" t="s">
        <v>30</v>
      </c>
      <c r="L260" t="s">
        <v>12</v>
      </c>
      <c r="M260" s="22" t="s">
        <v>1752</v>
      </c>
      <c r="N260" t="s">
        <v>31</v>
      </c>
    </row>
    <row r="261" spans="1:14" hidden="1">
      <c r="A261" t="s">
        <v>1067</v>
      </c>
      <c r="B261" t="s">
        <v>2121</v>
      </c>
      <c r="C261" t="s">
        <v>1752</v>
      </c>
      <c r="D261">
        <v>2022</v>
      </c>
      <c r="E261" t="s">
        <v>1752</v>
      </c>
      <c r="H261" t="e">
        <v>#N/A</v>
      </c>
      <c r="I261" t="e">
        <v>#N/A</v>
      </c>
      <c r="N261" t="s">
        <v>31</v>
      </c>
    </row>
    <row r="262" spans="1:14" hidden="1">
      <c r="A262" t="s">
        <v>1068</v>
      </c>
      <c r="B262" t="s">
        <v>2122</v>
      </c>
      <c r="C262" t="s">
        <v>1752</v>
      </c>
      <c r="D262">
        <v>2023</v>
      </c>
      <c r="E262" t="s">
        <v>1752</v>
      </c>
      <c r="H262" t="e">
        <v>#N/A</v>
      </c>
      <c r="I262" t="e">
        <v>#N/A</v>
      </c>
      <c r="N262" t="s">
        <v>31</v>
      </c>
    </row>
    <row r="263" spans="1:14" hidden="1">
      <c r="A263" t="s">
        <v>1069</v>
      </c>
      <c r="B263" t="s">
        <v>2123</v>
      </c>
      <c r="C263" t="s">
        <v>2124</v>
      </c>
      <c r="D263">
        <v>2023</v>
      </c>
      <c r="E263" t="s">
        <v>2720</v>
      </c>
      <c r="F263" t="s">
        <v>29</v>
      </c>
      <c r="H263" t="s">
        <v>30</v>
      </c>
      <c r="I263" t="s">
        <v>30</v>
      </c>
      <c r="J263" t="s">
        <v>30</v>
      </c>
      <c r="K263" t="s">
        <v>30</v>
      </c>
      <c r="L263" t="s">
        <v>12</v>
      </c>
      <c r="M263" s="22" t="s">
        <v>1752</v>
      </c>
      <c r="N263" t="s">
        <v>31</v>
      </c>
    </row>
    <row r="264" spans="1:14" hidden="1">
      <c r="A264" t="s">
        <v>1070</v>
      </c>
      <c r="B264" t="s">
        <v>2125</v>
      </c>
      <c r="C264" t="s">
        <v>1752</v>
      </c>
      <c r="D264">
        <v>2023</v>
      </c>
      <c r="E264" t="s">
        <v>1752</v>
      </c>
      <c r="H264" t="e">
        <v>#N/A</v>
      </c>
      <c r="I264" t="e">
        <v>#N/A</v>
      </c>
      <c r="N264" t="s">
        <v>31</v>
      </c>
    </row>
    <row r="265" spans="1:14" hidden="1">
      <c r="A265" t="s">
        <v>1071</v>
      </c>
      <c r="B265" t="s">
        <v>2126</v>
      </c>
      <c r="C265" t="s">
        <v>2127</v>
      </c>
      <c r="D265">
        <v>2023</v>
      </c>
      <c r="E265" t="s">
        <v>2582</v>
      </c>
      <c r="F265" t="s">
        <v>29</v>
      </c>
      <c r="H265" t="s">
        <v>30</v>
      </c>
      <c r="I265" t="s">
        <v>30</v>
      </c>
      <c r="J265" t="s">
        <v>30</v>
      </c>
      <c r="K265" t="s">
        <v>30</v>
      </c>
      <c r="L265" t="s">
        <v>12</v>
      </c>
      <c r="M265" s="22" t="s">
        <v>1752</v>
      </c>
      <c r="N265" t="s">
        <v>31</v>
      </c>
    </row>
    <row r="266" spans="1:14" hidden="1">
      <c r="A266" t="s">
        <v>1072</v>
      </c>
      <c r="B266" t="s">
        <v>2128</v>
      </c>
      <c r="C266" t="s">
        <v>2129</v>
      </c>
      <c r="D266">
        <v>2024</v>
      </c>
      <c r="E266" t="s">
        <v>2721</v>
      </c>
      <c r="F266" t="s">
        <v>29</v>
      </c>
      <c r="H266" t="s">
        <v>31</v>
      </c>
      <c r="I266" t="s">
        <v>3733</v>
      </c>
      <c r="J266" t="s">
        <v>31</v>
      </c>
      <c r="N266" t="s">
        <v>31</v>
      </c>
    </row>
    <row r="267" spans="1:14" hidden="1">
      <c r="A267" t="s">
        <v>1073</v>
      </c>
      <c r="B267" t="s">
        <v>2130</v>
      </c>
      <c r="C267" t="s">
        <v>2131</v>
      </c>
      <c r="D267">
        <v>2023</v>
      </c>
      <c r="E267" t="s">
        <v>2713</v>
      </c>
      <c r="F267" t="s">
        <v>29</v>
      </c>
      <c r="H267" t="s">
        <v>30</v>
      </c>
      <c r="I267" t="s">
        <v>3733</v>
      </c>
      <c r="J267" t="s">
        <v>31</v>
      </c>
      <c r="N267" t="s">
        <v>31</v>
      </c>
    </row>
    <row r="268" spans="1:14" hidden="1">
      <c r="A268" t="s">
        <v>1074</v>
      </c>
      <c r="B268" t="s">
        <v>2132</v>
      </c>
      <c r="C268" t="s">
        <v>2133</v>
      </c>
      <c r="D268">
        <v>2023</v>
      </c>
      <c r="E268" t="s">
        <v>2655</v>
      </c>
      <c r="F268" t="s">
        <v>29</v>
      </c>
      <c r="H268" t="s">
        <v>30</v>
      </c>
      <c r="I268" t="s">
        <v>30</v>
      </c>
      <c r="J268" t="s">
        <v>30</v>
      </c>
      <c r="K268" t="s">
        <v>30</v>
      </c>
      <c r="L268" t="s">
        <v>12</v>
      </c>
      <c r="M268" s="22" t="s">
        <v>1752</v>
      </c>
      <c r="N268" t="s">
        <v>31</v>
      </c>
    </row>
    <row r="269" spans="1:14" hidden="1">
      <c r="A269" t="s">
        <v>1075</v>
      </c>
      <c r="B269" t="s">
        <v>2134</v>
      </c>
      <c r="C269" t="s">
        <v>2135</v>
      </c>
      <c r="D269">
        <v>2023</v>
      </c>
      <c r="E269" t="s">
        <v>2653</v>
      </c>
      <c r="F269" t="s">
        <v>29</v>
      </c>
      <c r="H269" t="s">
        <v>31</v>
      </c>
      <c r="I269" t="s">
        <v>30</v>
      </c>
      <c r="J269" t="s">
        <v>31</v>
      </c>
      <c r="N269" t="s">
        <v>31</v>
      </c>
    </row>
    <row r="270" spans="1:14" hidden="1">
      <c r="A270" t="s">
        <v>1076</v>
      </c>
      <c r="B270" t="s">
        <v>2136</v>
      </c>
      <c r="C270" t="s">
        <v>2137</v>
      </c>
      <c r="D270">
        <v>2023</v>
      </c>
      <c r="E270" t="s">
        <v>2722</v>
      </c>
      <c r="F270" t="s">
        <v>29</v>
      </c>
      <c r="H270" t="s">
        <v>30</v>
      </c>
      <c r="I270" t="s">
        <v>30</v>
      </c>
      <c r="J270" t="s">
        <v>30</v>
      </c>
      <c r="K270" t="s">
        <v>30</v>
      </c>
      <c r="L270" t="s">
        <v>12</v>
      </c>
      <c r="M270" s="22" t="s">
        <v>1752</v>
      </c>
      <c r="N270" t="s">
        <v>31</v>
      </c>
    </row>
    <row r="271" spans="1:14" hidden="1">
      <c r="A271" t="s">
        <v>1077</v>
      </c>
      <c r="B271" t="s">
        <v>2138</v>
      </c>
      <c r="C271" t="s">
        <v>2139</v>
      </c>
      <c r="D271">
        <v>2024</v>
      </c>
      <c r="E271" t="s">
        <v>2693</v>
      </c>
      <c r="F271" t="s">
        <v>29</v>
      </c>
      <c r="H271" t="s">
        <v>30</v>
      </c>
      <c r="I271" t="s">
        <v>3733</v>
      </c>
      <c r="J271" t="s">
        <v>31</v>
      </c>
      <c r="N271" t="s">
        <v>31</v>
      </c>
    </row>
    <row r="272" spans="1:14" hidden="1">
      <c r="A272" t="s">
        <v>1078</v>
      </c>
      <c r="B272" t="s">
        <v>2140</v>
      </c>
      <c r="C272" t="s">
        <v>2141</v>
      </c>
      <c r="D272">
        <v>2023</v>
      </c>
      <c r="E272" t="s">
        <v>2723</v>
      </c>
      <c r="F272" t="s">
        <v>29</v>
      </c>
      <c r="H272" t="s">
        <v>30</v>
      </c>
      <c r="I272" t="s">
        <v>30</v>
      </c>
      <c r="J272" t="s">
        <v>30</v>
      </c>
      <c r="K272" t="s">
        <v>30</v>
      </c>
      <c r="L272" t="s">
        <v>12</v>
      </c>
      <c r="M272" s="22" t="s">
        <v>1752</v>
      </c>
      <c r="N272" t="s">
        <v>31</v>
      </c>
    </row>
    <row r="273" spans="1:14" hidden="1">
      <c r="A273" t="s">
        <v>1079</v>
      </c>
      <c r="B273" t="s">
        <v>2142</v>
      </c>
      <c r="C273" t="s">
        <v>2143</v>
      </c>
      <c r="D273">
        <v>2023</v>
      </c>
      <c r="E273" t="s">
        <v>2631</v>
      </c>
      <c r="F273" t="s">
        <v>29</v>
      </c>
      <c r="H273" t="s">
        <v>31</v>
      </c>
      <c r="I273" t="s">
        <v>30</v>
      </c>
      <c r="J273" t="s">
        <v>31</v>
      </c>
      <c r="N273" t="s">
        <v>31</v>
      </c>
    </row>
    <row r="274" spans="1:14" hidden="1">
      <c r="A274" t="s">
        <v>1080</v>
      </c>
      <c r="B274" t="s">
        <v>2144</v>
      </c>
      <c r="C274" t="s">
        <v>2145</v>
      </c>
      <c r="D274">
        <v>2025</v>
      </c>
      <c r="E274" t="s">
        <v>2724</v>
      </c>
      <c r="F274" t="s">
        <v>29</v>
      </c>
      <c r="H274" t="s">
        <v>31</v>
      </c>
      <c r="I274" t="s">
        <v>30</v>
      </c>
      <c r="J274" t="s">
        <v>31</v>
      </c>
      <c r="N274" t="s">
        <v>31</v>
      </c>
    </row>
    <row r="275" spans="1:14" hidden="1">
      <c r="A275" t="s">
        <v>1081</v>
      </c>
      <c r="B275" t="s">
        <v>2146</v>
      </c>
      <c r="C275" t="s">
        <v>2147</v>
      </c>
      <c r="D275">
        <v>2023</v>
      </c>
      <c r="E275" t="s">
        <v>2612</v>
      </c>
      <c r="F275" t="s">
        <v>29</v>
      </c>
      <c r="H275" t="s">
        <v>31</v>
      </c>
      <c r="I275" t="s">
        <v>30</v>
      </c>
      <c r="J275" t="s">
        <v>31</v>
      </c>
      <c r="N275" t="s">
        <v>31</v>
      </c>
    </row>
    <row r="276" spans="1:14" hidden="1">
      <c r="A276" t="s">
        <v>1082</v>
      </c>
      <c r="B276" t="s">
        <v>2148</v>
      </c>
      <c r="C276" t="s">
        <v>2149</v>
      </c>
      <c r="D276">
        <v>2023</v>
      </c>
      <c r="E276" t="s">
        <v>2725</v>
      </c>
      <c r="F276" t="s">
        <v>29</v>
      </c>
      <c r="H276" t="s">
        <v>30</v>
      </c>
      <c r="I276" t="s">
        <v>30</v>
      </c>
      <c r="J276" t="s">
        <v>30</v>
      </c>
      <c r="K276" t="s">
        <v>30</v>
      </c>
      <c r="L276" t="s">
        <v>12</v>
      </c>
      <c r="M276" s="22" t="s">
        <v>1752</v>
      </c>
      <c r="N276" t="s">
        <v>31</v>
      </c>
    </row>
    <row r="277" spans="1:14" hidden="1">
      <c r="A277" t="s">
        <v>1083</v>
      </c>
      <c r="B277" t="s">
        <v>2150</v>
      </c>
      <c r="C277" t="s">
        <v>2151</v>
      </c>
      <c r="D277">
        <v>2024</v>
      </c>
      <c r="E277" t="s">
        <v>2726</v>
      </c>
      <c r="F277" t="s">
        <v>29</v>
      </c>
      <c r="H277" t="s">
        <v>31</v>
      </c>
      <c r="I277" t="s">
        <v>30</v>
      </c>
      <c r="J277" t="s">
        <v>31</v>
      </c>
      <c r="N277" t="s">
        <v>31</v>
      </c>
    </row>
    <row r="278" spans="1:14" hidden="1">
      <c r="A278" t="s">
        <v>1084</v>
      </c>
      <c r="B278" t="s">
        <v>2152</v>
      </c>
      <c r="C278" t="s">
        <v>2153</v>
      </c>
      <c r="D278">
        <v>2024</v>
      </c>
      <c r="E278" t="s">
        <v>2568</v>
      </c>
      <c r="F278" t="s">
        <v>29</v>
      </c>
      <c r="H278" t="s">
        <v>30</v>
      </c>
      <c r="I278" t="s">
        <v>30</v>
      </c>
      <c r="J278" t="s">
        <v>30</v>
      </c>
      <c r="K278" t="s">
        <v>30</v>
      </c>
      <c r="L278" t="s">
        <v>12</v>
      </c>
      <c r="M278" s="22" t="s">
        <v>1752</v>
      </c>
      <c r="N278" t="s">
        <v>31</v>
      </c>
    </row>
    <row r="279" spans="1:14" hidden="1">
      <c r="A279" t="s">
        <v>1085</v>
      </c>
      <c r="B279" t="s">
        <v>2154</v>
      </c>
      <c r="C279" t="s">
        <v>2155</v>
      </c>
      <c r="D279">
        <v>2023</v>
      </c>
      <c r="E279" t="s">
        <v>2727</v>
      </c>
      <c r="F279" t="s">
        <v>29</v>
      </c>
      <c r="H279" t="s">
        <v>30</v>
      </c>
      <c r="I279" t="s">
        <v>30</v>
      </c>
      <c r="J279" t="s">
        <v>30</v>
      </c>
      <c r="K279" t="s">
        <v>30</v>
      </c>
      <c r="L279" t="s">
        <v>12</v>
      </c>
      <c r="M279" s="22" t="s">
        <v>1752</v>
      </c>
      <c r="N279" t="s">
        <v>31</v>
      </c>
    </row>
    <row r="280" spans="1:14" hidden="1">
      <c r="A280" t="s">
        <v>1086</v>
      </c>
      <c r="B280" t="s">
        <v>2156</v>
      </c>
      <c r="C280" t="s">
        <v>2157</v>
      </c>
      <c r="D280">
        <v>2024</v>
      </c>
      <c r="E280" t="s">
        <v>2575</v>
      </c>
      <c r="F280" t="s">
        <v>29</v>
      </c>
      <c r="H280" t="s">
        <v>30</v>
      </c>
      <c r="I280" t="s">
        <v>3733</v>
      </c>
      <c r="J280" t="s">
        <v>31</v>
      </c>
      <c r="N280" t="s">
        <v>31</v>
      </c>
    </row>
    <row r="281" spans="1:14" hidden="1">
      <c r="A281" t="s">
        <v>1087</v>
      </c>
      <c r="B281" t="s">
        <v>2158</v>
      </c>
      <c r="C281" t="s">
        <v>2159</v>
      </c>
      <c r="D281">
        <v>2025</v>
      </c>
      <c r="E281" t="s">
        <v>2728</v>
      </c>
      <c r="F281" t="s">
        <v>29</v>
      </c>
      <c r="H281" t="s">
        <v>30</v>
      </c>
      <c r="I281" t="s">
        <v>30</v>
      </c>
      <c r="J281" t="s">
        <v>30</v>
      </c>
      <c r="K281" t="s">
        <v>30</v>
      </c>
      <c r="L281" t="s">
        <v>12</v>
      </c>
      <c r="M281" s="22" t="s">
        <v>1752</v>
      </c>
      <c r="N281" t="s">
        <v>31</v>
      </c>
    </row>
    <row r="282" spans="1:14" hidden="1">
      <c r="A282" t="s">
        <v>1088</v>
      </c>
      <c r="B282" t="s">
        <v>2160</v>
      </c>
      <c r="C282" t="s">
        <v>2161</v>
      </c>
      <c r="D282">
        <v>2024</v>
      </c>
      <c r="E282" t="s">
        <v>2621</v>
      </c>
      <c r="F282" t="s">
        <v>29</v>
      </c>
      <c r="H282" t="s">
        <v>30</v>
      </c>
      <c r="I282" t="s">
        <v>30</v>
      </c>
      <c r="J282" t="s">
        <v>30</v>
      </c>
      <c r="K282" t="s">
        <v>30</v>
      </c>
      <c r="L282" t="s">
        <v>12</v>
      </c>
      <c r="M282" s="22" t="s">
        <v>1752</v>
      </c>
      <c r="N282" t="s">
        <v>31</v>
      </c>
    </row>
    <row r="283" spans="1:14" hidden="1">
      <c r="A283" t="s">
        <v>1089</v>
      </c>
      <c r="B283" t="s">
        <v>2162</v>
      </c>
      <c r="C283" t="s">
        <v>2163</v>
      </c>
      <c r="D283">
        <v>2024</v>
      </c>
      <c r="E283" t="s">
        <v>2729</v>
      </c>
      <c r="F283" t="s">
        <v>29</v>
      </c>
      <c r="H283" t="s">
        <v>30</v>
      </c>
      <c r="I283" t="s">
        <v>30</v>
      </c>
      <c r="J283" t="s">
        <v>30</v>
      </c>
      <c r="K283" t="s">
        <v>30</v>
      </c>
      <c r="L283" t="s">
        <v>12</v>
      </c>
      <c r="M283" s="22" t="s">
        <v>1752</v>
      </c>
      <c r="N283" t="s">
        <v>31</v>
      </c>
    </row>
    <row r="284" spans="1:14" hidden="1">
      <c r="A284" t="s">
        <v>1090</v>
      </c>
      <c r="B284" t="s">
        <v>2164</v>
      </c>
      <c r="C284" t="s">
        <v>2165</v>
      </c>
      <c r="D284">
        <v>2024</v>
      </c>
      <c r="E284" t="s">
        <v>2730</v>
      </c>
      <c r="F284" t="s">
        <v>29</v>
      </c>
      <c r="H284" t="s">
        <v>30</v>
      </c>
      <c r="I284" t="s">
        <v>3733</v>
      </c>
      <c r="J284" t="s">
        <v>31</v>
      </c>
      <c r="N284" t="s">
        <v>31</v>
      </c>
    </row>
    <row r="285" spans="1:14" hidden="1">
      <c r="A285" t="s">
        <v>1091</v>
      </c>
      <c r="B285" t="s">
        <v>2166</v>
      </c>
      <c r="C285" t="s">
        <v>2167</v>
      </c>
      <c r="D285">
        <v>2025</v>
      </c>
      <c r="E285" t="s">
        <v>2573</v>
      </c>
      <c r="F285" t="s">
        <v>29</v>
      </c>
      <c r="H285" t="s">
        <v>30</v>
      </c>
      <c r="I285" t="s">
        <v>30</v>
      </c>
      <c r="J285" t="s">
        <v>30</v>
      </c>
      <c r="K285" t="s">
        <v>30</v>
      </c>
      <c r="L285" t="s">
        <v>12</v>
      </c>
      <c r="M285" s="22" t="s">
        <v>1752</v>
      </c>
      <c r="N285" t="s">
        <v>31</v>
      </c>
    </row>
    <row r="286" spans="1:14" hidden="1">
      <c r="A286" t="s">
        <v>1092</v>
      </c>
      <c r="B286" t="s">
        <v>2168</v>
      </c>
      <c r="C286" t="s">
        <v>2169</v>
      </c>
      <c r="D286">
        <v>2025</v>
      </c>
      <c r="E286" t="s">
        <v>2698</v>
      </c>
      <c r="F286" t="s">
        <v>29</v>
      </c>
      <c r="H286" t="s">
        <v>31</v>
      </c>
      <c r="I286" t="s">
        <v>30</v>
      </c>
      <c r="J286" t="s">
        <v>31</v>
      </c>
      <c r="N286" t="s">
        <v>31</v>
      </c>
    </row>
    <row r="287" spans="1:14" hidden="1">
      <c r="A287" t="s">
        <v>1093</v>
      </c>
      <c r="B287" t="s">
        <v>2170</v>
      </c>
      <c r="C287" t="s">
        <v>1752</v>
      </c>
      <c r="D287">
        <v>2023</v>
      </c>
      <c r="E287" t="s">
        <v>1752</v>
      </c>
      <c r="H287" t="e">
        <v>#N/A</v>
      </c>
      <c r="I287" t="e">
        <v>#N/A</v>
      </c>
      <c r="N287" t="s">
        <v>31</v>
      </c>
    </row>
    <row r="288" spans="1:14" hidden="1">
      <c r="A288" t="s">
        <v>1094</v>
      </c>
      <c r="B288" t="s">
        <v>2171</v>
      </c>
      <c r="C288" t="s">
        <v>2172</v>
      </c>
      <c r="D288">
        <v>2024</v>
      </c>
      <c r="E288" t="s">
        <v>2731</v>
      </c>
      <c r="F288" t="s">
        <v>29</v>
      </c>
      <c r="H288" t="s">
        <v>30</v>
      </c>
      <c r="I288" t="s">
        <v>3733</v>
      </c>
      <c r="J288" t="s">
        <v>31</v>
      </c>
      <c r="N288" t="s">
        <v>31</v>
      </c>
    </row>
    <row r="289" spans="1:14" hidden="1">
      <c r="A289" t="s">
        <v>1095</v>
      </c>
      <c r="B289" t="s">
        <v>2173</v>
      </c>
      <c r="C289" t="s">
        <v>2174</v>
      </c>
      <c r="D289">
        <v>2024</v>
      </c>
      <c r="E289" t="s">
        <v>2612</v>
      </c>
      <c r="F289" t="s">
        <v>29</v>
      </c>
      <c r="H289" t="s">
        <v>30</v>
      </c>
      <c r="I289" t="s">
        <v>30</v>
      </c>
      <c r="J289" t="s">
        <v>30</v>
      </c>
      <c r="K289" t="s">
        <v>30</v>
      </c>
      <c r="L289" t="s">
        <v>12</v>
      </c>
      <c r="M289" s="22" t="s">
        <v>1752</v>
      </c>
      <c r="N289" t="s">
        <v>31</v>
      </c>
    </row>
    <row r="290" spans="1:14" hidden="1">
      <c r="A290" t="s">
        <v>1096</v>
      </c>
      <c r="B290" t="s">
        <v>2175</v>
      </c>
      <c r="C290" t="s">
        <v>1752</v>
      </c>
      <c r="D290">
        <v>2023</v>
      </c>
      <c r="E290" t="s">
        <v>1752</v>
      </c>
      <c r="H290" t="e">
        <v>#N/A</v>
      </c>
      <c r="I290" t="e">
        <v>#N/A</v>
      </c>
      <c r="N290" t="s">
        <v>31</v>
      </c>
    </row>
    <row r="291" spans="1:14" hidden="1">
      <c r="A291" t="s">
        <v>1097</v>
      </c>
      <c r="B291" t="s">
        <v>2176</v>
      </c>
      <c r="C291" t="s">
        <v>1752</v>
      </c>
      <c r="D291">
        <v>2023</v>
      </c>
      <c r="E291" t="s">
        <v>1752</v>
      </c>
      <c r="H291" t="e">
        <v>#N/A</v>
      </c>
      <c r="I291" t="e">
        <v>#N/A</v>
      </c>
      <c r="N291" t="s">
        <v>31</v>
      </c>
    </row>
    <row r="292" spans="1:14" hidden="1">
      <c r="A292" t="s">
        <v>1098</v>
      </c>
      <c r="B292" t="s">
        <v>2177</v>
      </c>
      <c r="C292" t="s">
        <v>2178</v>
      </c>
      <c r="D292">
        <v>2023</v>
      </c>
      <c r="E292" t="s">
        <v>2616</v>
      </c>
      <c r="F292" t="s">
        <v>29</v>
      </c>
      <c r="H292" t="s">
        <v>30</v>
      </c>
      <c r="I292" t="s">
        <v>30</v>
      </c>
      <c r="J292" t="s">
        <v>30</v>
      </c>
      <c r="K292" t="s">
        <v>30</v>
      </c>
      <c r="L292" t="s">
        <v>12</v>
      </c>
      <c r="M292" s="22" t="s">
        <v>1752</v>
      </c>
      <c r="N292" t="s">
        <v>31</v>
      </c>
    </row>
    <row r="293" spans="1:14" hidden="1">
      <c r="A293" t="s">
        <v>1099</v>
      </c>
      <c r="B293" t="s">
        <v>2179</v>
      </c>
      <c r="C293" t="s">
        <v>2180</v>
      </c>
      <c r="D293">
        <v>2024</v>
      </c>
      <c r="E293" t="s">
        <v>2568</v>
      </c>
      <c r="F293" t="s">
        <v>29</v>
      </c>
      <c r="H293" t="s">
        <v>30</v>
      </c>
      <c r="I293" t="s">
        <v>30</v>
      </c>
      <c r="J293" t="s">
        <v>30</v>
      </c>
      <c r="K293" t="s">
        <v>30</v>
      </c>
      <c r="L293" t="s">
        <v>12</v>
      </c>
      <c r="M293" s="22" t="s">
        <v>1752</v>
      </c>
      <c r="N293" t="s">
        <v>31</v>
      </c>
    </row>
    <row r="294" spans="1:14" hidden="1">
      <c r="A294" t="s">
        <v>1100</v>
      </c>
      <c r="B294" t="s">
        <v>2181</v>
      </c>
      <c r="C294" t="s">
        <v>2182</v>
      </c>
      <c r="D294">
        <v>2024</v>
      </c>
      <c r="E294" t="s">
        <v>2673</v>
      </c>
      <c r="F294" t="s">
        <v>29</v>
      </c>
      <c r="H294" t="s">
        <v>30</v>
      </c>
      <c r="I294" t="s">
        <v>30</v>
      </c>
      <c r="J294" t="s">
        <v>30</v>
      </c>
      <c r="K294" t="s">
        <v>30</v>
      </c>
      <c r="L294" t="s">
        <v>12</v>
      </c>
      <c r="M294" s="22" t="s">
        <v>1752</v>
      </c>
      <c r="N294" t="s">
        <v>31</v>
      </c>
    </row>
    <row r="295" spans="1:14" hidden="1">
      <c r="A295" t="s">
        <v>1101</v>
      </c>
      <c r="B295" t="s">
        <v>2183</v>
      </c>
      <c r="C295" t="s">
        <v>2184</v>
      </c>
      <c r="D295">
        <v>2025</v>
      </c>
      <c r="E295" t="s">
        <v>2732</v>
      </c>
      <c r="F295" t="s">
        <v>29</v>
      </c>
      <c r="H295" t="s">
        <v>30</v>
      </c>
      <c r="I295" t="s">
        <v>30</v>
      </c>
      <c r="J295" t="s">
        <v>30</v>
      </c>
      <c r="K295" t="s">
        <v>30</v>
      </c>
      <c r="L295" t="s">
        <v>12</v>
      </c>
      <c r="M295" s="22" t="s">
        <v>1752</v>
      </c>
      <c r="N295" t="s">
        <v>31</v>
      </c>
    </row>
    <row r="296" spans="1:14" hidden="1">
      <c r="A296" t="s">
        <v>1102</v>
      </c>
      <c r="B296" t="s">
        <v>2185</v>
      </c>
      <c r="C296" t="s">
        <v>2186</v>
      </c>
      <c r="D296">
        <v>2023</v>
      </c>
      <c r="E296" t="s">
        <v>2723</v>
      </c>
      <c r="F296" t="s">
        <v>29</v>
      </c>
      <c r="H296" t="s">
        <v>31</v>
      </c>
      <c r="I296" t="s">
        <v>30</v>
      </c>
      <c r="J296" t="s">
        <v>31</v>
      </c>
      <c r="N296" t="s">
        <v>31</v>
      </c>
    </row>
    <row r="297" spans="1:14" hidden="1">
      <c r="A297" t="s">
        <v>1103</v>
      </c>
      <c r="B297" t="s">
        <v>2187</v>
      </c>
      <c r="C297" t="s">
        <v>2188</v>
      </c>
      <c r="D297">
        <v>2024</v>
      </c>
      <c r="E297" t="s">
        <v>2584</v>
      </c>
      <c r="F297" t="s">
        <v>29</v>
      </c>
      <c r="H297" t="s">
        <v>30</v>
      </c>
      <c r="I297" t="s">
        <v>30</v>
      </c>
      <c r="J297" t="s">
        <v>30</v>
      </c>
      <c r="K297" t="s">
        <v>30</v>
      </c>
      <c r="L297" t="s">
        <v>12</v>
      </c>
      <c r="M297" s="22" t="s">
        <v>1752</v>
      </c>
      <c r="N297" t="s">
        <v>31</v>
      </c>
    </row>
    <row r="298" spans="1:14" hidden="1">
      <c r="A298" t="s">
        <v>1104</v>
      </c>
      <c r="B298" t="s">
        <v>2189</v>
      </c>
      <c r="C298" t="s">
        <v>2190</v>
      </c>
      <c r="D298">
        <v>2023</v>
      </c>
      <c r="E298" t="s">
        <v>2733</v>
      </c>
      <c r="F298" t="s">
        <v>29</v>
      </c>
      <c r="H298" t="s">
        <v>30</v>
      </c>
      <c r="I298" t="s">
        <v>30</v>
      </c>
      <c r="J298" t="s">
        <v>30</v>
      </c>
      <c r="K298" t="s">
        <v>30</v>
      </c>
      <c r="L298" t="s">
        <v>12</v>
      </c>
      <c r="M298" s="22" t="s">
        <v>1752</v>
      </c>
      <c r="N298" t="s">
        <v>31</v>
      </c>
    </row>
    <row r="299" spans="1:14" hidden="1">
      <c r="A299" t="s">
        <v>1105</v>
      </c>
      <c r="B299" t="s">
        <v>2191</v>
      </c>
      <c r="C299" t="s">
        <v>2192</v>
      </c>
      <c r="D299">
        <v>2025</v>
      </c>
      <c r="E299" t="s">
        <v>2734</v>
      </c>
      <c r="F299" t="s">
        <v>29</v>
      </c>
      <c r="H299" t="s">
        <v>30</v>
      </c>
      <c r="I299" t="s">
        <v>30</v>
      </c>
      <c r="J299" t="s">
        <v>30</v>
      </c>
      <c r="K299" t="s">
        <v>30</v>
      </c>
      <c r="L299" t="s">
        <v>12</v>
      </c>
      <c r="M299" s="22" t="s">
        <v>1752</v>
      </c>
      <c r="N299" t="s">
        <v>31</v>
      </c>
    </row>
    <row r="300" spans="1:14" hidden="1">
      <c r="A300" t="s">
        <v>1106</v>
      </c>
      <c r="B300" t="s">
        <v>2193</v>
      </c>
      <c r="C300" t="s">
        <v>2194</v>
      </c>
      <c r="D300">
        <v>2023</v>
      </c>
      <c r="E300" t="s">
        <v>2735</v>
      </c>
      <c r="F300" t="s">
        <v>29</v>
      </c>
      <c r="H300" t="s">
        <v>30</v>
      </c>
      <c r="I300" t="s">
        <v>30</v>
      </c>
      <c r="J300" t="s">
        <v>30</v>
      </c>
      <c r="K300" t="s">
        <v>30</v>
      </c>
      <c r="L300" t="s">
        <v>12</v>
      </c>
      <c r="M300" s="22" t="s">
        <v>1752</v>
      </c>
      <c r="N300" t="s">
        <v>31</v>
      </c>
    </row>
    <row r="301" spans="1:14" hidden="1">
      <c r="A301" t="s">
        <v>1107</v>
      </c>
      <c r="B301" t="s">
        <v>2195</v>
      </c>
      <c r="C301" t="s">
        <v>1752</v>
      </c>
      <c r="D301">
        <v>2023</v>
      </c>
      <c r="E301" t="s">
        <v>1752</v>
      </c>
      <c r="H301" t="e">
        <v>#N/A</v>
      </c>
      <c r="I301" t="e">
        <v>#N/A</v>
      </c>
      <c r="N301" t="s">
        <v>31</v>
      </c>
    </row>
    <row r="302" spans="1:14" hidden="1">
      <c r="A302" t="s">
        <v>1108</v>
      </c>
      <c r="B302" t="s">
        <v>2196</v>
      </c>
      <c r="C302" t="s">
        <v>2197</v>
      </c>
      <c r="D302">
        <v>2025</v>
      </c>
      <c r="E302" t="s">
        <v>2573</v>
      </c>
      <c r="F302" t="s">
        <v>29</v>
      </c>
      <c r="H302" t="s">
        <v>30</v>
      </c>
      <c r="I302" t="s">
        <v>30</v>
      </c>
      <c r="J302" t="s">
        <v>30</v>
      </c>
      <c r="K302" t="s">
        <v>30</v>
      </c>
      <c r="L302" t="s">
        <v>12</v>
      </c>
      <c r="M302" s="22" t="s">
        <v>1752</v>
      </c>
      <c r="N302" t="s">
        <v>31</v>
      </c>
    </row>
    <row r="303" spans="1:14" hidden="1">
      <c r="A303" t="s">
        <v>1109</v>
      </c>
      <c r="B303" t="s">
        <v>2198</v>
      </c>
      <c r="C303" t="s">
        <v>2199</v>
      </c>
      <c r="D303">
        <v>2024</v>
      </c>
      <c r="E303" t="s">
        <v>2736</v>
      </c>
      <c r="F303" t="s">
        <v>29</v>
      </c>
      <c r="H303" t="s">
        <v>30</v>
      </c>
      <c r="I303" t="s">
        <v>30</v>
      </c>
      <c r="J303" t="s">
        <v>30</v>
      </c>
      <c r="K303" t="s">
        <v>30</v>
      </c>
      <c r="L303" t="s">
        <v>12</v>
      </c>
      <c r="M303" s="22" t="s">
        <v>1752</v>
      </c>
      <c r="N303" t="s">
        <v>31</v>
      </c>
    </row>
    <row r="304" spans="1:14" hidden="1">
      <c r="A304" t="s">
        <v>1110</v>
      </c>
      <c r="B304" t="s">
        <v>2200</v>
      </c>
      <c r="C304" t="s">
        <v>2201</v>
      </c>
      <c r="D304">
        <v>2024</v>
      </c>
      <c r="E304" t="s">
        <v>2612</v>
      </c>
      <c r="F304" t="s">
        <v>29</v>
      </c>
      <c r="H304" t="s">
        <v>30</v>
      </c>
      <c r="I304" t="s">
        <v>30</v>
      </c>
      <c r="J304" t="s">
        <v>30</v>
      </c>
      <c r="K304" t="s">
        <v>30</v>
      </c>
      <c r="L304" t="s">
        <v>12</v>
      </c>
      <c r="M304" s="22" t="s">
        <v>1752</v>
      </c>
      <c r="N304" t="s">
        <v>31</v>
      </c>
    </row>
    <row r="305" spans="1:14" hidden="1">
      <c r="A305" t="s">
        <v>1111</v>
      </c>
      <c r="B305" t="s">
        <v>1569</v>
      </c>
      <c r="C305" t="s">
        <v>2202</v>
      </c>
      <c r="D305">
        <v>2023</v>
      </c>
      <c r="E305" t="s">
        <v>2737</v>
      </c>
      <c r="F305" t="s">
        <v>29</v>
      </c>
      <c r="H305" t="s">
        <v>30</v>
      </c>
      <c r="I305" t="s">
        <v>30</v>
      </c>
      <c r="J305" t="s">
        <v>30</v>
      </c>
      <c r="K305" t="s">
        <v>30</v>
      </c>
      <c r="L305" t="s">
        <v>12</v>
      </c>
      <c r="M305" s="22" t="s">
        <v>1752</v>
      </c>
      <c r="N305" t="s">
        <v>31</v>
      </c>
    </row>
    <row r="306" spans="1:14" hidden="1">
      <c r="A306" t="s">
        <v>1112</v>
      </c>
      <c r="B306" t="s">
        <v>2203</v>
      </c>
      <c r="C306" t="s">
        <v>2204</v>
      </c>
      <c r="D306">
        <v>2024</v>
      </c>
      <c r="E306" t="s">
        <v>2738</v>
      </c>
      <c r="F306" t="s">
        <v>29</v>
      </c>
      <c r="H306" t="s">
        <v>30</v>
      </c>
      <c r="I306" t="s">
        <v>30</v>
      </c>
      <c r="J306" t="s">
        <v>30</v>
      </c>
      <c r="K306" t="s">
        <v>30</v>
      </c>
      <c r="L306" t="s">
        <v>12</v>
      </c>
      <c r="M306" s="22" t="s">
        <v>1752</v>
      </c>
      <c r="N306" t="s">
        <v>31</v>
      </c>
    </row>
    <row r="307" spans="1:14" hidden="1">
      <c r="A307" t="s">
        <v>1113</v>
      </c>
      <c r="B307" t="s">
        <v>1334</v>
      </c>
      <c r="C307" t="s">
        <v>1752</v>
      </c>
      <c r="D307">
        <v>2024</v>
      </c>
      <c r="E307" t="s">
        <v>1752</v>
      </c>
      <c r="H307" t="e">
        <v>#N/A</v>
      </c>
      <c r="I307" t="e">
        <v>#N/A</v>
      </c>
      <c r="N307" t="s">
        <v>31</v>
      </c>
    </row>
    <row r="308" spans="1:14" hidden="1">
      <c r="A308" t="s">
        <v>1114</v>
      </c>
      <c r="B308" t="s">
        <v>2205</v>
      </c>
      <c r="C308" t="s">
        <v>2206</v>
      </c>
      <c r="D308">
        <v>2025</v>
      </c>
      <c r="E308" t="s">
        <v>2684</v>
      </c>
      <c r="F308" t="s">
        <v>29</v>
      </c>
      <c r="H308" t="s">
        <v>31</v>
      </c>
      <c r="I308" t="s">
        <v>3733</v>
      </c>
      <c r="J308" t="s">
        <v>31</v>
      </c>
      <c r="N308" t="s">
        <v>31</v>
      </c>
    </row>
    <row r="309" spans="1:14" hidden="1">
      <c r="A309" t="s">
        <v>1115</v>
      </c>
      <c r="B309" t="s">
        <v>2207</v>
      </c>
      <c r="C309" t="s">
        <v>2208</v>
      </c>
      <c r="D309">
        <v>2025</v>
      </c>
      <c r="E309" t="s">
        <v>2642</v>
      </c>
      <c r="F309" t="s">
        <v>29</v>
      </c>
      <c r="H309" t="s">
        <v>30</v>
      </c>
      <c r="I309" t="s">
        <v>30</v>
      </c>
      <c r="J309" t="s">
        <v>30</v>
      </c>
      <c r="K309" t="s">
        <v>30</v>
      </c>
      <c r="L309" t="s">
        <v>12</v>
      </c>
      <c r="M309" s="22" t="s">
        <v>1752</v>
      </c>
      <c r="N309" t="s">
        <v>31</v>
      </c>
    </row>
    <row r="310" spans="1:14" hidden="1">
      <c r="A310" t="s">
        <v>1116</v>
      </c>
      <c r="B310" t="s">
        <v>2209</v>
      </c>
      <c r="C310" t="s">
        <v>2210</v>
      </c>
      <c r="D310">
        <v>2024</v>
      </c>
      <c r="E310" t="s">
        <v>2630</v>
      </c>
      <c r="F310" t="s">
        <v>29</v>
      </c>
      <c r="H310" t="s">
        <v>30</v>
      </c>
      <c r="I310" t="s">
        <v>30</v>
      </c>
      <c r="J310" t="s">
        <v>30</v>
      </c>
      <c r="K310" t="s">
        <v>30</v>
      </c>
      <c r="L310" t="s">
        <v>12</v>
      </c>
      <c r="M310" s="22" t="s">
        <v>1752</v>
      </c>
      <c r="N310" t="s">
        <v>31</v>
      </c>
    </row>
    <row r="311" spans="1:14" hidden="1">
      <c r="A311" t="s">
        <v>1117</v>
      </c>
      <c r="B311" t="s">
        <v>2211</v>
      </c>
      <c r="C311" t="s">
        <v>2212</v>
      </c>
      <c r="D311">
        <v>2025</v>
      </c>
      <c r="E311" t="s">
        <v>2698</v>
      </c>
      <c r="F311" t="s">
        <v>29</v>
      </c>
      <c r="H311" t="s">
        <v>30</v>
      </c>
      <c r="I311" t="s">
        <v>30</v>
      </c>
      <c r="J311" t="s">
        <v>30</v>
      </c>
      <c r="K311" t="s">
        <v>30</v>
      </c>
      <c r="L311" t="s">
        <v>12</v>
      </c>
      <c r="M311" s="22" t="s">
        <v>1752</v>
      </c>
      <c r="N311" t="s">
        <v>31</v>
      </c>
    </row>
    <row r="312" spans="1:14" hidden="1">
      <c r="A312" t="s">
        <v>1118</v>
      </c>
      <c r="B312" t="s">
        <v>2213</v>
      </c>
      <c r="C312" t="s">
        <v>2214</v>
      </c>
      <c r="D312">
        <v>2025</v>
      </c>
      <c r="E312" t="s">
        <v>2642</v>
      </c>
      <c r="F312" t="s">
        <v>29</v>
      </c>
      <c r="H312" t="s">
        <v>30</v>
      </c>
      <c r="I312" t="s">
        <v>30</v>
      </c>
      <c r="J312" t="s">
        <v>30</v>
      </c>
      <c r="K312" t="s">
        <v>30</v>
      </c>
      <c r="L312" t="s">
        <v>12</v>
      </c>
      <c r="M312" s="22" t="s">
        <v>1752</v>
      </c>
      <c r="N312" t="s">
        <v>31</v>
      </c>
    </row>
    <row r="313" spans="1:14" hidden="1">
      <c r="A313" t="s">
        <v>1119</v>
      </c>
      <c r="B313" t="s">
        <v>2215</v>
      </c>
      <c r="C313" t="s">
        <v>1752</v>
      </c>
      <c r="D313">
        <v>2023</v>
      </c>
      <c r="E313" t="s">
        <v>1752</v>
      </c>
      <c r="H313" t="e">
        <v>#N/A</v>
      </c>
      <c r="I313" t="e">
        <v>#N/A</v>
      </c>
      <c r="N313" t="s">
        <v>31</v>
      </c>
    </row>
    <row r="314" spans="1:14" hidden="1">
      <c r="A314" t="s">
        <v>1120</v>
      </c>
      <c r="B314" t="s">
        <v>2216</v>
      </c>
      <c r="C314" t="s">
        <v>1752</v>
      </c>
      <c r="D314">
        <v>2024</v>
      </c>
      <c r="E314" t="s">
        <v>1752</v>
      </c>
      <c r="H314" t="e">
        <v>#N/A</v>
      </c>
      <c r="I314" t="e">
        <v>#N/A</v>
      </c>
      <c r="N314" t="s">
        <v>31</v>
      </c>
    </row>
    <row r="315" spans="1:14" hidden="1">
      <c r="A315" t="s">
        <v>1121</v>
      </c>
      <c r="B315" t="s">
        <v>2217</v>
      </c>
      <c r="C315" t="s">
        <v>1752</v>
      </c>
      <c r="D315">
        <v>2025</v>
      </c>
      <c r="E315" t="s">
        <v>1752</v>
      </c>
      <c r="H315" t="e">
        <v>#N/A</v>
      </c>
      <c r="I315" t="e">
        <v>#N/A</v>
      </c>
      <c r="N315" t="s">
        <v>31</v>
      </c>
    </row>
    <row r="316" spans="1:14" hidden="1">
      <c r="A316" t="s">
        <v>1122</v>
      </c>
      <c r="B316" t="s">
        <v>2218</v>
      </c>
      <c r="C316" t="s">
        <v>2219</v>
      </c>
      <c r="D316">
        <v>2025</v>
      </c>
      <c r="E316" t="s">
        <v>2689</v>
      </c>
      <c r="F316" t="s">
        <v>29</v>
      </c>
      <c r="H316" t="s">
        <v>30</v>
      </c>
      <c r="I316" t="s">
        <v>30</v>
      </c>
      <c r="J316" t="s">
        <v>30</v>
      </c>
      <c r="K316" t="s">
        <v>30</v>
      </c>
      <c r="L316" t="s">
        <v>12</v>
      </c>
      <c r="M316" s="22" t="s">
        <v>1752</v>
      </c>
      <c r="N316" t="s">
        <v>31</v>
      </c>
    </row>
    <row r="317" spans="1:14" hidden="1">
      <c r="A317" t="s">
        <v>1123</v>
      </c>
      <c r="B317" t="s">
        <v>2220</v>
      </c>
      <c r="C317" t="s">
        <v>2221</v>
      </c>
      <c r="D317">
        <v>2024</v>
      </c>
      <c r="E317" t="s">
        <v>2636</v>
      </c>
      <c r="F317" t="s">
        <v>29</v>
      </c>
      <c r="H317" t="s">
        <v>30</v>
      </c>
      <c r="I317" t="s">
        <v>30</v>
      </c>
      <c r="J317" t="s">
        <v>30</v>
      </c>
      <c r="K317" t="s">
        <v>30</v>
      </c>
      <c r="L317" t="s">
        <v>12</v>
      </c>
      <c r="M317" s="22" t="s">
        <v>1752</v>
      </c>
      <c r="N317" t="s">
        <v>31</v>
      </c>
    </row>
    <row r="318" spans="1:14" hidden="1">
      <c r="A318" t="s">
        <v>1124</v>
      </c>
      <c r="B318" t="s">
        <v>2222</v>
      </c>
      <c r="C318" t="s">
        <v>1752</v>
      </c>
      <c r="D318">
        <v>2024</v>
      </c>
      <c r="E318" t="s">
        <v>1752</v>
      </c>
      <c r="H318" t="e">
        <v>#N/A</v>
      </c>
      <c r="I318" t="e">
        <v>#N/A</v>
      </c>
      <c r="N318" t="s">
        <v>31</v>
      </c>
    </row>
    <row r="319" spans="1:14" hidden="1">
      <c r="A319" t="s">
        <v>1125</v>
      </c>
      <c r="B319" t="s">
        <v>2223</v>
      </c>
      <c r="C319" t="s">
        <v>2224</v>
      </c>
      <c r="D319">
        <v>2023</v>
      </c>
      <c r="E319" t="s">
        <v>2625</v>
      </c>
      <c r="F319" t="s">
        <v>29</v>
      </c>
      <c r="H319" t="s">
        <v>31</v>
      </c>
      <c r="I319" t="s">
        <v>3733</v>
      </c>
      <c r="J319" t="s">
        <v>31</v>
      </c>
      <c r="N319" t="s">
        <v>31</v>
      </c>
    </row>
    <row r="320" spans="1:14" hidden="1">
      <c r="A320" t="s">
        <v>1126</v>
      </c>
      <c r="B320" t="s">
        <v>2225</v>
      </c>
      <c r="C320" t="s">
        <v>2226</v>
      </c>
      <c r="D320">
        <v>2024</v>
      </c>
      <c r="E320" t="s">
        <v>2590</v>
      </c>
      <c r="F320" t="s">
        <v>29</v>
      </c>
      <c r="H320" t="s">
        <v>30</v>
      </c>
      <c r="I320" t="s">
        <v>30</v>
      </c>
      <c r="J320" t="s">
        <v>30</v>
      </c>
      <c r="K320" t="s">
        <v>30</v>
      </c>
      <c r="L320" t="s">
        <v>12</v>
      </c>
      <c r="M320" s="22" t="s">
        <v>1752</v>
      </c>
      <c r="N320" t="s">
        <v>31</v>
      </c>
    </row>
    <row r="321" spans="1:14" hidden="1">
      <c r="A321" t="s">
        <v>1127</v>
      </c>
      <c r="B321" t="s">
        <v>2227</v>
      </c>
      <c r="C321" t="s">
        <v>2228</v>
      </c>
      <c r="D321">
        <v>2025</v>
      </c>
      <c r="E321" t="s">
        <v>2739</v>
      </c>
      <c r="F321" t="s">
        <v>29</v>
      </c>
      <c r="H321" t="s">
        <v>30</v>
      </c>
      <c r="I321" t="s">
        <v>30</v>
      </c>
      <c r="J321" t="s">
        <v>30</v>
      </c>
      <c r="K321" t="s">
        <v>30</v>
      </c>
      <c r="L321" t="s">
        <v>12</v>
      </c>
      <c r="M321" s="22" t="s">
        <v>1752</v>
      </c>
      <c r="N321" t="s">
        <v>31</v>
      </c>
    </row>
    <row r="322" spans="1:14" hidden="1">
      <c r="A322" t="s">
        <v>1128</v>
      </c>
      <c r="B322" t="s">
        <v>2229</v>
      </c>
      <c r="C322" t="s">
        <v>2230</v>
      </c>
      <c r="D322">
        <v>2025</v>
      </c>
      <c r="E322" t="s">
        <v>2612</v>
      </c>
      <c r="F322" t="s">
        <v>29</v>
      </c>
      <c r="H322" t="s">
        <v>30</v>
      </c>
      <c r="I322" t="s">
        <v>30</v>
      </c>
      <c r="J322" t="s">
        <v>30</v>
      </c>
      <c r="K322" t="s">
        <v>30</v>
      </c>
      <c r="L322" t="s">
        <v>12</v>
      </c>
      <c r="M322" s="22" t="s">
        <v>1752</v>
      </c>
      <c r="N322" t="s">
        <v>31</v>
      </c>
    </row>
    <row r="323" spans="1:14" hidden="1">
      <c r="A323" t="s">
        <v>1129</v>
      </c>
      <c r="B323" t="s">
        <v>2231</v>
      </c>
      <c r="C323" t="s">
        <v>1752</v>
      </c>
      <c r="D323">
        <v>2024</v>
      </c>
      <c r="E323" t="s">
        <v>1752</v>
      </c>
      <c r="H323" t="e">
        <v>#N/A</v>
      </c>
      <c r="I323" t="e">
        <v>#N/A</v>
      </c>
      <c r="N323" t="s">
        <v>31</v>
      </c>
    </row>
    <row r="324" spans="1:14" hidden="1">
      <c r="A324" t="s">
        <v>1130</v>
      </c>
      <c r="B324" t="s">
        <v>2232</v>
      </c>
      <c r="C324" t="s">
        <v>2233</v>
      </c>
      <c r="D324">
        <v>2024</v>
      </c>
      <c r="E324" t="s">
        <v>2584</v>
      </c>
      <c r="F324" t="s">
        <v>29</v>
      </c>
      <c r="H324" t="s">
        <v>30</v>
      </c>
      <c r="I324" t="s">
        <v>30</v>
      </c>
      <c r="J324" t="s">
        <v>30</v>
      </c>
      <c r="K324" t="s">
        <v>30</v>
      </c>
      <c r="L324" t="s">
        <v>12</v>
      </c>
      <c r="M324" s="22" t="s">
        <v>1752</v>
      </c>
      <c r="N324" t="s">
        <v>31</v>
      </c>
    </row>
    <row r="325" spans="1:14" hidden="1">
      <c r="A325" t="s">
        <v>1131</v>
      </c>
      <c r="B325" t="s">
        <v>2234</v>
      </c>
      <c r="C325" t="s">
        <v>1752</v>
      </c>
      <c r="D325">
        <v>2025</v>
      </c>
      <c r="E325" t="s">
        <v>1752</v>
      </c>
      <c r="H325" t="e">
        <v>#N/A</v>
      </c>
      <c r="I325" t="e">
        <v>#N/A</v>
      </c>
      <c r="N325" t="s">
        <v>31</v>
      </c>
    </row>
    <row r="326" spans="1:14" hidden="1">
      <c r="A326" t="s">
        <v>1132</v>
      </c>
      <c r="B326" t="s">
        <v>2235</v>
      </c>
      <c r="C326" t="s">
        <v>2236</v>
      </c>
      <c r="D326">
        <v>2024</v>
      </c>
      <c r="E326" t="s">
        <v>2612</v>
      </c>
      <c r="F326" t="s">
        <v>29</v>
      </c>
      <c r="H326" t="s">
        <v>30</v>
      </c>
      <c r="I326" t="s">
        <v>30</v>
      </c>
      <c r="J326" t="s">
        <v>30</v>
      </c>
      <c r="K326" t="s">
        <v>30</v>
      </c>
      <c r="L326" t="s">
        <v>12</v>
      </c>
      <c r="M326" s="22" t="s">
        <v>1752</v>
      </c>
      <c r="N326" t="s">
        <v>31</v>
      </c>
    </row>
    <row r="327" spans="1:14" hidden="1">
      <c r="A327" t="s">
        <v>1133</v>
      </c>
      <c r="B327" t="s">
        <v>2237</v>
      </c>
      <c r="C327" t="s">
        <v>2238</v>
      </c>
      <c r="D327">
        <v>2025</v>
      </c>
      <c r="E327" t="s">
        <v>2740</v>
      </c>
      <c r="F327" t="s">
        <v>29</v>
      </c>
      <c r="H327" t="s">
        <v>30</v>
      </c>
      <c r="I327" t="s">
        <v>30</v>
      </c>
      <c r="J327" t="s">
        <v>30</v>
      </c>
      <c r="K327" t="s">
        <v>30</v>
      </c>
      <c r="L327" t="s">
        <v>12</v>
      </c>
      <c r="M327" s="22" t="s">
        <v>1752</v>
      </c>
      <c r="N327" t="s">
        <v>31</v>
      </c>
    </row>
    <row r="328" spans="1:14" hidden="1">
      <c r="A328" t="s">
        <v>1134</v>
      </c>
      <c r="B328" t="s">
        <v>2239</v>
      </c>
      <c r="C328" t="s">
        <v>2240</v>
      </c>
      <c r="D328">
        <v>2024</v>
      </c>
      <c r="E328" t="s">
        <v>2614</v>
      </c>
      <c r="F328" t="s">
        <v>29</v>
      </c>
      <c r="H328" t="s">
        <v>30</v>
      </c>
      <c r="I328" t="s">
        <v>30</v>
      </c>
      <c r="J328" t="s">
        <v>30</v>
      </c>
      <c r="K328" t="s">
        <v>30</v>
      </c>
      <c r="L328" t="s">
        <v>12</v>
      </c>
      <c r="M328" s="22" t="s">
        <v>1752</v>
      </c>
      <c r="N328" t="s">
        <v>31</v>
      </c>
    </row>
    <row r="329" spans="1:14" hidden="1">
      <c r="A329" t="s">
        <v>1135</v>
      </c>
      <c r="B329" t="s">
        <v>2241</v>
      </c>
      <c r="C329" t="s">
        <v>2242</v>
      </c>
      <c r="D329">
        <v>2024</v>
      </c>
      <c r="E329" t="s">
        <v>2741</v>
      </c>
      <c r="F329" t="s">
        <v>29</v>
      </c>
      <c r="H329" t="s">
        <v>30</v>
      </c>
      <c r="I329" t="s">
        <v>30</v>
      </c>
      <c r="J329" t="s">
        <v>30</v>
      </c>
      <c r="K329" t="s">
        <v>30</v>
      </c>
      <c r="L329" t="s">
        <v>12</v>
      </c>
      <c r="M329" s="22" t="s">
        <v>1752</v>
      </c>
      <c r="N329" t="s">
        <v>31</v>
      </c>
    </row>
    <row r="330" spans="1:14" hidden="1">
      <c r="A330" t="s">
        <v>1136</v>
      </c>
      <c r="B330" t="s">
        <v>2243</v>
      </c>
      <c r="C330" t="s">
        <v>2244</v>
      </c>
      <c r="D330">
        <v>2024</v>
      </c>
      <c r="E330" t="s">
        <v>2568</v>
      </c>
      <c r="F330" t="s">
        <v>29</v>
      </c>
      <c r="H330" t="s">
        <v>31</v>
      </c>
      <c r="I330" t="s">
        <v>30</v>
      </c>
      <c r="J330" t="s">
        <v>31</v>
      </c>
      <c r="N330" t="s">
        <v>31</v>
      </c>
    </row>
    <row r="331" spans="1:14" hidden="1">
      <c r="A331" t="s">
        <v>1137</v>
      </c>
      <c r="B331" t="s">
        <v>2245</v>
      </c>
      <c r="C331" t="s">
        <v>2246</v>
      </c>
      <c r="D331">
        <v>2025</v>
      </c>
      <c r="E331" t="s">
        <v>2679</v>
      </c>
      <c r="F331" t="s">
        <v>29</v>
      </c>
      <c r="H331" t="s">
        <v>31</v>
      </c>
      <c r="I331" t="s">
        <v>30</v>
      </c>
      <c r="J331" t="s">
        <v>31</v>
      </c>
      <c r="N331" t="s">
        <v>31</v>
      </c>
    </row>
    <row r="332" spans="1:14" hidden="1">
      <c r="A332" t="s">
        <v>1138</v>
      </c>
      <c r="B332" t="s">
        <v>2247</v>
      </c>
      <c r="C332" t="s">
        <v>2248</v>
      </c>
      <c r="D332">
        <v>2023</v>
      </c>
      <c r="E332" t="s">
        <v>2742</v>
      </c>
      <c r="F332" t="s">
        <v>29</v>
      </c>
      <c r="H332" t="s">
        <v>30</v>
      </c>
      <c r="I332" t="s">
        <v>30</v>
      </c>
      <c r="J332" t="s">
        <v>30</v>
      </c>
      <c r="K332" t="s">
        <v>30</v>
      </c>
      <c r="L332" t="s">
        <v>12</v>
      </c>
      <c r="M332" s="22" t="s">
        <v>1752</v>
      </c>
      <c r="N332" t="s">
        <v>31</v>
      </c>
    </row>
    <row r="333" spans="1:14" hidden="1">
      <c r="A333" t="s">
        <v>1139</v>
      </c>
      <c r="B333" t="s">
        <v>2249</v>
      </c>
      <c r="C333" t="s">
        <v>2250</v>
      </c>
      <c r="D333">
        <v>2024</v>
      </c>
      <c r="E333" t="s">
        <v>2612</v>
      </c>
      <c r="F333" t="s">
        <v>29</v>
      </c>
      <c r="H333" t="s">
        <v>30</v>
      </c>
      <c r="I333" t="s">
        <v>30</v>
      </c>
      <c r="J333" t="s">
        <v>30</v>
      </c>
      <c r="K333" t="s">
        <v>30</v>
      </c>
      <c r="L333" t="s">
        <v>12</v>
      </c>
      <c r="M333" s="22" t="s">
        <v>1752</v>
      </c>
      <c r="N333" t="s">
        <v>31</v>
      </c>
    </row>
    <row r="334" spans="1:14" hidden="1">
      <c r="A334" t="s">
        <v>1140</v>
      </c>
      <c r="B334" t="s">
        <v>2251</v>
      </c>
      <c r="C334" t="s">
        <v>2252</v>
      </c>
      <c r="D334">
        <v>2024</v>
      </c>
      <c r="E334" t="s">
        <v>2646</v>
      </c>
      <c r="F334" t="s">
        <v>29</v>
      </c>
      <c r="H334" t="s">
        <v>30</v>
      </c>
      <c r="I334" t="s">
        <v>30</v>
      </c>
      <c r="J334" t="s">
        <v>30</v>
      </c>
      <c r="K334" t="s">
        <v>30</v>
      </c>
      <c r="L334" t="s">
        <v>12</v>
      </c>
      <c r="M334" s="22" t="s">
        <v>1752</v>
      </c>
      <c r="N334" t="s">
        <v>31</v>
      </c>
    </row>
    <row r="335" spans="1:14" hidden="1">
      <c r="A335" t="s">
        <v>1141</v>
      </c>
      <c r="B335" t="s">
        <v>2253</v>
      </c>
      <c r="C335" t="s">
        <v>2254</v>
      </c>
      <c r="D335">
        <v>2023</v>
      </c>
      <c r="E335" t="s">
        <v>2653</v>
      </c>
      <c r="F335" t="s">
        <v>29</v>
      </c>
      <c r="H335" t="s">
        <v>30</v>
      </c>
      <c r="I335" t="s">
        <v>30</v>
      </c>
      <c r="J335" t="s">
        <v>30</v>
      </c>
      <c r="K335" t="s">
        <v>30</v>
      </c>
      <c r="L335" t="s">
        <v>12</v>
      </c>
      <c r="M335" s="22" t="s">
        <v>1752</v>
      </c>
      <c r="N335" t="s">
        <v>31</v>
      </c>
    </row>
    <row r="336" spans="1:14" hidden="1">
      <c r="A336" t="s">
        <v>1142</v>
      </c>
      <c r="B336" t="s">
        <v>2255</v>
      </c>
      <c r="C336" t="s">
        <v>2256</v>
      </c>
      <c r="D336">
        <v>2023</v>
      </c>
      <c r="E336" t="s">
        <v>2649</v>
      </c>
      <c r="F336" t="s">
        <v>29</v>
      </c>
      <c r="H336" t="s">
        <v>31</v>
      </c>
      <c r="I336" t="s">
        <v>30</v>
      </c>
      <c r="J336" t="s">
        <v>31</v>
      </c>
      <c r="N336" t="s">
        <v>31</v>
      </c>
    </row>
    <row r="337" spans="1:14" hidden="1">
      <c r="A337" t="s">
        <v>1143</v>
      </c>
      <c r="B337" t="s">
        <v>2257</v>
      </c>
      <c r="C337" t="s">
        <v>2258</v>
      </c>
      <c r="D337">
        <v>2024</v>
      </c>
      <c r="E337" t="s">
        <v>2743</v>
      </c>
      <c r="F337" t="s">
        <v>29</v>
      </c>
      <c r="H337" t="s">
        <v>30</v>
      </c>
      <c r="I337" t="s">
        <v>30</v>
      </c>
      <c r="J337" t="s">
        <v>30</v>
      </c>
      <c r="K337" t="s">
        <v>30</v>
      </c>
      <c r="L337" t="s">
        <v>12</v>
      </c>
      <c r="M337" s="22" t="s">
        <v>1752</v>
      </c>
      <c r="N337" t="s">
        <v>31</v>
      </c>
    </row>
    <row r="338" spans="1:14" hidden="1">
      <c r="A338" t="s">
        <v>1144</v>
      </c>
      <c r="B338" t="s">
        <v>2259</v>
      </c>
      <c r="C338" t="s">
        <v>2260</v>
      </c>
      <c r="D338">
        <v>2024</v>
      </c>
      <c r="E338" t="s">
        <v>2646</v>
      </c>
      <c r="F338" t="s">
        <v>29</v>
      </c>
      <c r="H338" t="s">
        <v>31</v>
      </c>
      <c r="I338" t="s">
        <v>30</v>
      </c>
      <c r="J338" t="s">
        <v>31</v>
      </c>
      <c r="N338" t="s">
        <v>31</v>
      </c>
    </row>
    <row r="339" spans="1:14" hidden="1">
      <c r="A339" t="s">
        <v>1145</v>
      </c>
      <c r="B339" t="s">
        <v>2261</v>
      </c>
      <c r="C339" t="s">
        <v>1752</v>
      </c>
      <c r="D339">
        <v>2025</v>
      </c>
      <c r="E339" t="s">
        <v>1752</v>
      </c>
      <c r="H339" t="e">
        <v>#N/A</v>
      </c>
      <c r="I339" t="e">
        <v>#N/A</v>
      </c>
      <c r="N339" t="s">
        <v>31</v>
      </c>
    </row>
    <row r="340" spans="1:14" hidden="1">
      <c r="A340" t="s">
        <v>1146</v>
      </c>
      <c r="B340" t="s">
        <v>2262</v>
      </c>
      <c r="C340" t="s">
        <v>2263</v>
      </c>
      <c r="D340">
        <v>2023</v>
      </c>
      <c r="E340" t="s">
        <v>2713</v>
      </c>
      <c r="F340" t="s">
        <v>29</v>
      </c>
      <c r="H340" t="s">
        <v>30</v>
      </c>
      <c r="I340" t="s">
        <v>3733</v>
      </c>
      <c r="J340" t="s">
        <v>31</v>
      </c>
      <c r="N340" t="s">
        <v>31</v>
      </c>
    </row>
    <row r="341" spans="1:14" hidden="1">
      <c r="A341" t="s">
        <v>1147</v>
      </c>
      <c r="B341" t="s">
        <v>2264</v>
      </c>
      <c r="C341" t="s">
        <v>2265</v>
      </c>
      <c r="D341">
        <v>2023</v>
      </c>
      <c r="E341" t="s">
        <v>2744</v>
      </c>
      <c r="F341" t="s">
        <v>29</v>
      </c>
      <c r="H341" t="s">
        <v>30</v>
      </c>
      <c r="I341" t="s">
        <v>30</v>
      </c>
      <c r="J341" t="s">
        <v>30</v>
      </c>
      <c r="K341" t="s">
        <v>30</v>
      </c>
      <c r="L341" t="s">
        <v>12</v>
      </c>
      <c r="M341" s="22" t="s">
        <v>1752</v>
      </c>
      <c r="N341" t="s">
        <v>31</v>
      </c>
    </row>
    <row r="342" spans="1:14" hidden="1">
      <c r="A342" t="s">
        <v>1148</v>
      </c>
      <c r="B342" t="s">
        <v>2266</v>
      </c>
      <c r="C342" t="s">
        <v>1752</v>
      </c>
      <c r="D342">
        <v>2024</v>
      </c>
      <c r="E342" t="s">
        <v>1752</v>
      </c>
      <c r="H342" t="e">
        <v>#N/A</v>
      </c>
      <c r="I342" t="e">
        <v>#N/A</v>
      </c>
      <c r="N342" t="s">
        <v>31</v>
      </c>
    </row>
    <row r="343" spans="1:14" hidden="1">
      <c r="A343" t="s">
        <v>1149</v>
      </c>
      <c r="B343" t="s">
        <v>2267</v>
      </c>
      <c r="C343" t="s">
        <v>2268</v>
      </c>
      <c r="D343">
        <v>2024</v>
      </c>
      <c r="E343" t="s">
        <v>2716</v>
      </c>
      <c r="F343" t="s">
        <v>29</v>
      </c>
      <c r="H343" t="s">
        <v>31</v>
      </c>
      <c r="I343" t="s">
        <v>3733</v>
      </c>
      <c r="J343" t="s">
        <v>31</v>
      </c>
      <c r="N343" t="s">
        <v>31</v>
      </c>
    </row>
    <row r="344" spans="1:14" hidden="1">
      <c r="A344" t="s">
        <v>1150</v>
      </c>
      <c r="B344" t="s">
        <v>2269</v>
      </c>
      <c r="C344" t="s">
        <v>2270</v>
      </c>
      <c r="D344">
        <v>2023</v>
      </c>
      <c r="E344" t="s">
        <v>2745</v>
      </c>
      <c r="F344" t="s">
        <v>29</v>
      </c>
      <c r="H344" t="s">
        <v>30</v>
      </c>
      <c r="I344" t="s">
        <v>3733</v>
      </c>
      <c r="J344" t="s">
        <v>31</v>
      </c>
      <c r="N344" t="s">
        <v>31</v>
      </c>
    </row>
    <row r="345" spans="1:14" hidden="1">
      <c r="A345" t="s">
        <v>1151</v>
      </c>
      <c r="B345" t="s">
        <v>2271</v>
      </c>
      <c r="C345" t="s">
        <v>2272</v>
      </c>
      <c r="D345">
        <v>2023</v>
      </c>
      <c r="E345" t="s">
        <v>2655</v>
      </c>
      <c r="F345" t="s">
        <v>29</v>
      </c>
      <c r="H345" t="s">
        <v>30</v>
      </c>
      <c r="I345" t="s">
        <v>30</v>
      </c>
      <c r="J345" t="s">
        <v>30</v>
      </c>
      <c r="K345" t="s">
        <v>30</v>
      </c>
      <c r="L345" t="s">
        <v>12</v>
      </c>
      <c r="M345" s="22" t="s">
        <v>1752</v>
      </c>
      <c r="N345" t="s">
        <v>31</v>
      </c>
    </row>
    <row r="346" spans="1:14" hidden="1">
      <c r="A346" t="s">
        <v>1152</v>
      </c>
      <c r="B346" t="s">
        <v>2273</v>
      </c>
      <c r="C346" t="s">
        <v>2274</v>
      </c>
      <c r="D346">
        <v>2024</v>
      </c>
      <c r="E346" t="s">
        <v>2746</v>
      </c>
      <c r="F346" t="s">
        <v>29</v>
      </c>
      <c r="H346" t="s">
        <v>30</v>
      </c>
      <c r="I346" t="s">
        <v>30</v>
      </c>
      <c r="J346" t="s">
        <v>30</v>
      </c>
      <c r="K346" t="s">
        <v>30</v>
      </c>
      <c r="L346" t="s">
        <v>12</v>
      </c>
      <c r="M346" s="22" t="s">
        <v>1752</v>
      </c>
      <c r="N346" t="s">
        <v>31</v>
      </c>
    </row>
    <row r="347" spans="1:14" hidden="1">
      <c r="A347" t="s">
        <v>1153</v>
      </c>
      <c r="B347" t="s">
        <v>2275</v>
      </c>
      <c r="C347" t="s">
        <v>2276</v>
      </c>
      <c r="D347">
        <v>2024</v>
      </c>
      <c r="E347" t="s">
        <v>2747</v>
      </c>
      <c r="F347" t="s">
        <v>29</v>
      </c>
      <c r="H347" t="s">
        <v>30</v>
      </c>
      <c r="I347" t="s">
        <v>30</v>
      </c>
      <c r="J347" t="s">
        <v>30</v>
      </c>
      <c r="K347" t="s">
        <v>30</v>
      </c>
      <c r="L347" t="s">
        <v>12</v>
      </c>
      <c r="M347" s="22" t="s">
        <v>1752</v>
      </c>
      <c r="N347" t="s">
        <v>31</v>
      </c>
    </row>
    <row r="348" spans="1:14" hidden="1">
      <c r="A348" t="s">
        <v>1154</v>
      </c>
      <c r="B348" t="s">
        <v>2277</v>
      </c>
      <c r="C348" t="s">
        <v>2278</v>
      </c>
      <c r="D348">
        <v>2023</v>
      </c>
      <c r="E348" t="s">
        <v>2748</v>
      </c>
      <c r="F348" t="s">
        <v>29</v>
      </c>
      <c r="H348" t="s">
        <v>30</v>
      </c>
      <c r="I348" t="s">
        <v>30</v>
      </c>
      <c r="J348" t="s">
        <v>30</v>
      </c>
      <c r="K348" t="s">
        <v>30</v>
      </c>
      <c r="L348" t="s">
        <v>12</v>
      </c>
      <c r="M348" s="22" t="s">
        <v>1752</v>
      </c>
      <c r="N348" t="s">
        <v>31</v>
      </c>
    </row>
    <row r="349" spans="1:14" hidden="1">
      <c r="A349" t="s">
        <v>1155</v>
      </c>
      <c r="B349" t="s">
        <v>2279</v>
      </c>
      <c r="C349" t="s">
        <v>2280</v>
      </c>
      <c r="D349">
        <v>2023</v>
      </c>
      <c r="E349" t="s">
        <v>2749</v>
      </c>
      <c r="F349" t="s">
        <v>29</v>
      </c>
      <c r="H349" t="s">
        <v>30</v>
      </c>
      <c r="I349" t="s">
        <v>30</v>
      </c>
      <c r="J349" t="s">
        <v>30</v>
      </c>
      <c r="K349" t="s">
        <v>30</v>
      </c>
      <c r="L349" t="s">
        <v>12</v>
      </c>
      <c r="M349" s="22" t="s">
        <v>1752</v>
      </c>
      <c r="N349" t="s">
        <v>31</v>
      </c>
    </row>
    <row r="350" spans="1:14" hidden="1">
      <c r="A350" t="s">
        <v>1156</v>
      </c>
      <c r="B350" t="s">
        <v>2281</v>
      </c>
      <c r="C350" t="s">
        <v>2282</v>
      </c>
      <c r="D350">
        <v>2024</v>
      </c>
      <c r="E350" t="s">
        <v>2750</v>
      </c>
      <c r="F350" t="s">
        <v>29</v>
      </c>
      <c r="H350" t="s">
        <v>30</v>
      </c>
      <c r="I350" t="s">
        <v>30</v>
      </c>
      <c r="J350" t="s">
        <v>30</v>
      </c>
      <c r="K350" t="s">
        <v>30</v>
      </c>
      <c r="L350" t="s">
        <v>12</v>
      </c>
      <c r="M350" s="22" t="s">
        <v>1752</v>
      </c>
      <c r="N350" t="s">
        <v>31</v>
      </c>
    </row>
    <row r="351" spans="1:14" hidden="1">
      <c r="A351" t="s">
        <v>1157</v>
      </c>
      <c r="B351" t="s">
        <v>2283</v>
      </c>
      <c r="C351" t="s">
        <v>2284</v>
      </c>
      <c r="D351">
        <v>2024</v>
      </c>
      <c r="E351" t="s">
        <v>2693</v>
      </c>
      <c r="F351" t="s">
        <v>29</v>
      </c>
      <c r="H351" t="s">
        <v>30</v>
      </c>
      <c r="I351" t="s">
        <v>3733</v>
      </c>
      <c r="J351" t="s">
        <v>31</v>
      </c>
      <c r="N351" t="s">
        <v>31</v>
      </c>
    </row>
    <row r="352" spans="1:14" hidden="1">
      <c r="A352" t="s">
        <v>1158</v>
      </c>
      <c r="B352" t="s">
        <v>2285</v>
      </c>
      <c r="C352" t="s">
        <v>2286</v>
      </c>
      <c r="D352">
        <v>2024</v>
      </c>
      <c r="E352" t="s">
        <v>2751</v>
      </c>
      <c r="F352" t="s">
        <v>29</v>
      </c>
      <c r="H352" t="s">
        <v>31</v>
      </c>
      <c r="I352" t="s">
        <v>30</v>
      </c>
      <c r="J352" t="s">
        <v>31</v>
      </c>
      <c r="N352" t="s">
        <v>31</v>
      </c>
    </row>
    <row r="353" spans="1:14" hidden="1">
      <c r="A353" t="s">
        <v>1159</v>
      </c>
      <c r="B353" t="s">
        <v>2287</v>
      </c>
      <c r="C353" t="s">
        <v>1752</v>
      </c>
      <c r="D353">
        <v>2025</v>
      </c>
      <c r="E353" t="s">
        <v>1752</v>
      </c>
      <c r="H353" t="e">
        <v>#N/A</v>
      </c>
      <c r="I353" t="e">
        <v>#N/A</v>
      </c>
      <c r="N353" t="s">
        <v>31</v>
      </c>
    </row>
    <row r="354" spans="1:14" hidden="1">
      <c r="A354" t="s">
        <v>1160</v>
      </c>
      <c r="B354" t="s">
        <v>2288</v>
      </c>
      <c r="C354" t="s">
        <v>1752</v>
      </c>
      <c r="D354">
        <v>2023</v>
      </c>
      <c r="E354" t="s">
        <v>1752</v>
      </c>
      <c r="H354" t="e">
        <v>#N/A</v>
      </c>
      <c r="I354" t="e">
        <v>#N/A</v>
      </c>
      <c r="N354" t="s">
        <v>31</v>
      </c>
    </row>
    <row r="355" spans="1:14" hidden="1">
      <c r="A355" t="s">
        <v>1161</v>
      </c>
      <c r="B355" t="s">
        <v>2289</v>
      </c>
      <c r="C355" t="s">
        <v>2290</v>
      </c>
      <c r="D355">
        <v>2023</v>
      </c>
      <c r="E355" t="s">
        <v>2752</v>
      </c>
      <c r="F355" t="s">
        <v>29</v>
      </c>
      <c r="H355" t="s">
        <v>31</v>
      </c>
      <c r="I355" t="s">
        <v>30</v>
      </c>
      <c r="J355" t="s">
        <v>31</v>
      </c>
      <c r="N355" t="s">
        <v>31</v>
      </c>
    </row>
    <row r="356" spans="1:14" hidden="1">
      <c r="A356" t="s">
        <v>1162</v>
      </c>
      <c r="B356" t="s">
        <v>2291</v>
      </c>
      <c r="C356" t="s">
        <v>2292</v>
      </c>
      <c r="D356">
        <v>2024</v>
      </c>
      <c r="E356" t="s">
        <v>2709</v>
      </c>
      <c r="F356" t="s">
        <v>29</v>
      </c>
      <c r="H356" t="s">
        <v>30</v>
      </c>
      <c r="I356" t="s">
        <v>3733</v>
      </c>
      <c r="J356" t="s">
        <v>31</v>
      </c>
      <c r="N356" t="s">
        <v>31</v>
      </c>
    </row>
    <row r="357" spans="1:14" hidden="1">
      <c r="A357" t="s">
        <v>1163</v>
      </c>
      <c r="B357" t="s">
        <v>2293</v>
      </c>
      <c r="C357" t="s">
        <v>2294</v>
      </c>
      <c r="D357">
        <v>2025</v>
      </c>
      <c r="E357" t="s">
        <v>2753</v>
      </c>
      <c r="F357" t="s">
        <v>29</v>
      </c>
      <c r="H357" t="s">
        <v>30</v>
      </c>
      <c r="I357" t="s">
        <v>30</v>
      </c>
      <c r="J357" t="s">
        <v>30</v>
      </c>
      <c r="K357" t="s">
        <v>30</v>
      </c>
      <c r="L357" t="s">
        <v>12</v>
      </c>
      <c r="M357" s="22" t="s">
        <v>1752</v>
      </c>
      <c r="N357" t="s">
        <v>31</v>
      </c>
    </row>
    <row r="358" spans="1:14" hidden="1">
      <c r="A358" t="s">
        <v>1164</v>
      </c>
      <c r="B358" t="s">
        <v>2295</v>
      </c>
      <c r="C358" t="s">
        <v>2296</v>
      </c>
      <c r="D358">
        <v>2023</v>
      </c>
      <c r="E358" t="s">
        <v>2754</v>
      </c>
      <c r="F358" t="s">
        <v>29</v>
      </c>
      <c r="H358" t="s">
        <v>31</v>
      </c>
      <c r="I358" t="s">
        <v>3733</v>
      </c>
      <c r="J358" t="s">
        <v>31</v>
      </c>
      <c r="N358" t="s">
        <v>31</v>
      </c>
    </row>
    <row r="359" spans="1:14" hidden="1">
      <c r="A359" t="s">
        <v>1165</v>
      </c>
      <c r="B359" t="s">
        <v>2297</v>
      </c>
      <c r="C359" t="s">
        <v>2298</v>
      </c>
      <c r="D359">
        <v>2025</v>
      </c>
      <c r="E359" t="s">
        <v>2596</v>
      </c>
      <c r="F359" t="s">
        <v>29</v>
      </c>
      <c r="H359" t="s">
        <v>30</v>
      </c>
      <c r="I359" t="s">
        <v>30</v>
      </c>
      <c r="J359" t="s">
        <v>30</v>
      </c>
      <c r="K359" t="s">
        <v>30</v>
      </c>
      <c r="L359" t="s">
        <v>12</v>
      </c>
      <c r="M359" s="22" t="s">
        <v>1752</v>
      </c>
      <c r="N359" t="s">
        <v>31</v>
      </c>
    </row>
    <row r="360" spans="1:14" hidden="1">
      <c r="A360" t="s">
        <v>1166</v>
      </c>
      <c r="B360" t="s">
        <v>2299</v>
      </c>
      <c r="C360" t="s">
        <v>2300</v>
      </c>
      <c r="D360">
        <v>2025</v>
      </c>
      <c r="E360" t="s">
        <v>2612</v>
      </c>
      <c r="F360" t="s">
        <v>29</v>
      </c>
      <c r="H360" t="s">
        <v>30</v>
      </c>
      <c r="I360" t="s">
        <v>30</v>
      </c>
      <c r="J360" t="s">
        <v>30</v>
      </c>
      <c r="K360" t="s">
        <v>30</v>
      </c>
      <c r="L360" t="s">
        <v>12</v>
      </c>
      <c r="M360" s="22" t="s">
        <v>1752</v>
      </c>
      <c r="N360" t="s">
        <v>31</v>
      </c>
    </row>
    <row r="361" spans="1:14" hidden="1">
      <c r="A361" t="s">
        <v>1167</v>
      </c>
      <c r="B361" t="s">
        <v>2301</v>
      </c>
      <c r="C361" t="s">
        <v>2302</v>
      </c>
      <c r="D361">
        <v>2024</v>
      </c>
      <c r="E361" t="s">
        <v>2755</v>
      </c>
      <c r="F361" t="s">
        <v>29</v>
      </c>
      <c r="H361" t="s">
        <v>30</v>
      </c>
      <c r="I361" t="s">
        <v>30</v>
      </c>
      <c r="J361" t="s">
        <v>30</v>
      </c>
      <c r="K361" t="s">
        <v>30</v>
      </c>
      <c r="L361" t="s">
        <v>12</v>
      </c>
      <c r="M361" s="22" t="s">
        <v>1752</v>
      </c>
      <c r="N361" t="s">
        <v>31</v>
      </c>
    </row>
    <row r="362" spans="1:14" hidden="1">
      <c r="A362" t="s">
        <v>1168</v>
      </c>
      <c r="B362" t="s">
        <v>2303</v>
      </c>
      <c r="C362" t="s">
        <v>1752</v>
      </c>
      <c r="D362">
        <v>2024</v>
      </c>
      <c r="E362" t="s">
        <v>1752</v>
      </c>
      <c r="H362" t="e">
        <v>#N/A</v>
      </c>
      <c r="I362" t="e">
        <v>#N/A</v>
      </c>
      <c r="N362" t="s">
        <v>31</v>
      </c>
    </row>
    <row r="363" spans="1:14" hidden="1">
      <c r="A363" t="s">
        <v>1169</v>
      </c>
      <c r="B363" t="s">
        <v>2304</v>
      </c>
      <c r="C363" t="s">
        <v>2305</v>
      </c>
      <c r="D363">
        <v>2025</v>
      </c>
      <c r="E363" t="s">
        <v>2612</v>
      </c>
      <c r="F363" t="s">
        <v>29</v>
      </c>
      <c r="H363" t="s">
        <v>30</v>
      </c>
      <c r="I363" t="s">
        <v>30</v>
      </c>
      <c r="J363" t="s">
        <v>30</v>
      </c>
      <c r="K363" t="s">
        <v>30</v>
      </c>
      <c r="L363" t="s">
        <v>12</v>
      </c>
      <c r="M363" s="22" t="s">
        <v>1752</v>
      </c>
      <c r="N363" t="s">
        <v>31</v>
      </c>
    </row>
    <row r="364" spans="1:14" hidden="1">
      <c r="A364" t="s">
        <v>1170</v>
      </c>
      <c r="B364" t="s">
        <v>2306</v>
      </c>
      <c r="C364" t="s">
        <v>1752</v>
      </c>
      <c r="D364">
        <v>2024</v>
      </c>
      <c r="E364" t="s">
        <v>1752</v>
      </c>
      <c r="H364" t="e">
        <v>#N/A</v>
      </c>
      <c r="I364" t="e">
        <v>#N/A</v>
      </c>
      <c r="N364" t="s">
        <v>31</v>
      </c>
    </row>
    <row r="365" spans="1:14" hidden="1">
      <c r="A365" t="s">
        <v>1171</v>
      </c>
      <c r="B365" t="s">
        <v>2307</v>
      </c>
      <c r="C365" t="s">
        <v>2308</v>
      </c>
      <c r="D365">
        <v>2023</v>
      </c>
      <c r="E365" t="s">
        <v>2639</v>
      </c>
      <c r="F365" t="s">
        <v>29</v>
      </c>
      <c r="H365" t="s">
        <v>31</v>
      </c>
      <c r="I365" t="s">
        <v>30</v>
      </c>
      <c r="J365" t="s">
        <v>31</v>
      </c>
      <c r="N365" t="s">
        <v>31</v>
      </c>
    </row>
    <row r="366" spans="1:14" hidden="1">
      <c r="A366" t="s">
        <v>1172</v>
      </c>
      <c r="B366" t="s">
        <v>2309</v>
      </c>
      <c r="C366" t="s">
        <v>2310</v>
      </c>
      <c r="D366">
        <v>2024</v>
      </c>
      <c r="E366" t="s">
        <v>2756</v>
      </c>
      <c r="F366" t="s">
        <v>29</v>
      </c>
      <c r="H366" t="s">
        <v>30</v>
      </c>
      <c r="I366" t="s">
        <v>30</v>
      </c>
      <c r="J366" t="s">
        <v>30</v>
      </c>
      <c r="K366" t="s">
        <v>30</v>
      </c>
      <c r="L366" t="s">
        <v>12</v>
      </c>
      <c r="M366" s="22" t="s">
        <v>1752</v>
      </c>
      <c r="N366" t="s">
        <v>31</v>
      </c>
    </row>
    <row r="367" spans="1:14" hidden="1">
      <c r="A367" t="s">
        <v>1173</v>
      </c>
      <c r="B367" t="s">
        <v>2311</v>
      </c>
      <c r="C367" t="s">
        <v>2312</v>
      </c>
      <c r="D367">
        <v>2023</v>
      </c>
      <c r="E367" t="s">
        <v>2757</v>
      </c>
      <c r="F367" t="s">
        <v>29</v>
      </c>
      <c r="H367" t="s">
        <v>31</v>
      </c>
      <c r="I367" t="s">
        <v>30</v>
      </c>
      <c r="J367" t="s">
        <v>31</v>
      </c>
      <c r="N367" t="s">
        <v>31</v>
      </c>
    </row>
    <row r="368" spans="1:14" hidden="1">
      <c r="A368" t="s">
        <v>1174</v>
      </c>
      <c r="B368" t="s">
        <v>2313</v>
      </c>
      <c r="C368" t="s">
        <v>2314</v>
      </c>
      <c r="D368">
        <v>2023</v>
      </c>
      <c r="E368" t="s">
        <v>2758</v>
      </c>
      <c r="F368" t="s">
        <v>29</v>
      </c>
      <c r="H368" t="s">
        <v>30</v>
      </c>
      <c r="I368" t="s">
        <v>30</v>
      </c>
      <c r="J368" t="s">
        <v>30</v>
      </c>
      <c r="K368" t="s">
        <v>30</v>
      </c>
      <c r="L368" t="s">
        <v>12</v>
      </c>
      <c r="M368" s="22" t="s">
        <v>1752</v>
      </c>
      <c r="N368" t="s">
        <v>31</v>
      </c>
    </row>
    <row r="369" spans="1:14" hidden="1">
      <c r="A369" t="s">
        <v>1175</v>
      </c>
      <c r="B369" t="s">
        <v>2315</v>
      </c>
      <c r="C369" t="s">
        <v>1752</v>
      </c>
      <c r="D369">
        <v>2022</v>
      </c>
      <c r="E369" t="s">
        <v>1752</v>
      </c>
      <c r="H369" t="e">
        <v>#N/A</v>
      </c>
      <c r="I369" t="e">
        <v>#N/A</v>
      </c>
      <c r="N369" t="s">
        <v>31</v>
      </c>
    </row>
    <row r="370" spans="1:14" hidden="1">
      <c r="A370" t="s">
        <v>1176</v>
      </c>
      <c r="B370" t="s">
        <v>2316</v>
      </c>
      <c r="C370" t="s">
        <v>2317</v>
      </c>
      <c r="D370">
        <v>2025</v>
      </c>
      <c r="E370" t="s">
        <v>2759</v>
      </c>
      <c r="F370" t="s">
        <v>29</v>
      </c>
      <c r="H370" t="s">
        <v>30</v>
      </c>
      <c r="I370" t="s">
        <v>30</v>
      </c>
      <c r="J370" t="s">
        <v>30</v>
      </c>
      <c r="K370" t="s">
        <v>30</v>
      </c>
      <c r="L370" t="s">
        <v>12</v>
      </c>
      <c r="M370" s="22" t="s">
        <v>1752</v>
      </c>
      <c r="N370" t="s">
        <v>31</v>
      </c>
    </row>
    <row r="371" spans="1:14" hidden="1">
      <c r="A371" t="s">
        <v>1177</v>
      </c>
      <c r="B371" t="s">
        <v>2318</v>
      </c>
      <c r="C371" t="s">
        <v>2319</v>
      </c>
      <c r="D371">
        <v>2024</v>
      </c>
      <c r="E371" t="s">
        <v>2677</v>
      </c>
      <c r="F371" t="s">
        <v>29</v>
      </c>
      <c r="H371" t="s">
        <v>31</v>
      </c>
      <c r="I371" t="s">
        <v>30</v>
      </c>
      <c r="J371" t="s">
        <v>31</v>
      </c>
      <c r="N371" t="s">
        <v>31</v>
      </c>
    </row>
    <row r="372" spans="1:14" hidden="1">
      <c r="A372" t="s">
        <v>1178</v>
      </c>
      <c r="B372" t="s">
        <v>2320</v>
      </c>
      <c r="C372" t="s">
        <v>2321</v>
      </c>
      <c r="D372">
        <v>2024</v>
      </c>
      <c r="E372" t="s">
        <v>2760</v>
      </c>
      <c r="F372" t="s">
        <v>29</v>
      </c>
      <c r="H372" t="s">
        <v>30</v>
      </c>
      <c r="I372" t="s">
        <v>30</v>
      </c>
      <c r="J372" t="s">
        <v>30</v>
      </c>
      <c r="K372" t="s">
        <v>30</v>
      </c>
      <c r="L372" t="s">
        <v>12</v>
      </c>
      <c r="M372" s="22" t="s">
        <v>1752</v>
      </c>
      <c r="N372" t="s">
        <v>31</v>
      </c>
    </row>
    <row r="373" spans="1:14" hidden="1">
      <c r="A373" t="s">
        <v>1179</v>
      </c>
      <c r="B373" t="s">
        <v>2322</v>
      </c>
      <c r="C373" t="s">
        <v>1752</v>
      </c>
      <c r="D373">
        <v>2023</v>
      </c>
      <c r="E373" t="s">
        <v>1752</v>
      </c>
      <c r="H373" t="e">
        <v>#N/A</v>
      </c>
      <c r="I373" t="e">
        <v>#N/A</v>
      </c>
      <c r="N373" t="s">
        <v>31</v>
      </c>
    </row>
    <row r="374" spans="1:14" hidden="1">
      <c r="A374" t="s">
        <v>1180</v>
      </c>
      <c r="B374" t="s">
        <v>2323</v>
      </c>
      <c r="C374" t="s">
        <v>2324</v>
      </c>
      <c r="D374">
        <v>2023</v>
      </c>
      <c r="E374" t="s">
        <v>2727</v>
      </c>
      <c r="F374" t="s">
        <v>29</v>
      </c>
      <c r="H374" t="s">
        <v>30</v>
      </c>
      <c r="I374" t="s">
        <v>30</v>
      </c>
      <c r="J374" t="s">
        <v>30</v>
      </c>
      <c r="K374" t="s">
        <v>30</v>
      </c>
      <c r="L374" t="s">
        <v>12</v>
      </c>
      <c r="M374" s="22" t="s">
        <v>1752</v>
      </c>
      <c r="N374" t="s">
        <v>31</v>
      </c>
    </row>
    <row r="375" spans="1:14" hidden="1">
      <c r="A375" t="s">
        <v>1181</v>
      </c>
      <c r="B375" t="s">
        <v>2325</v>
      </c>
      <c r="C375" t="s">
        <v>2326</v>
      </c>
      <c r="D375">
        <v>2024</v>
      </c>
      <c r="E375" t="s">
        <v>2612</v>
      </c>
      <c r="F375" t="s">
        <v>29</v>
      </c>
      <c r="H375" t="s">
        <v>30</v>
      </c>
      <c r="I375" t="s">
        <v>30</v>
      </c>
      <c r="J375" t="s">
        <v>30</v>
      </c>
      <c r="K375" t="s">
        <v>30</v>
      </c>
      <c r="L375" t="s">
        <v>12</v>
      </c>
      <c r="M375" s="22" t="s">
        <v>1752</v>
      </c>
      <c r="N375" t="s">
        <v>31</v>
      </c>
    </row>
    <row r="376" spans="1:14" hidden="1">
      <c r="A376" t="s">
        <v>1182</v>
      </c>
      <c r="B376" t="s">
        <v>2327</v>
      </c>
      <c r="C376" t="s">
        <v>1752</v>
      </c>
      <c r="D376">
        <v>2024</v>
      </c>
      <c r="E376" t="s">
        <v>1752</v>
      </c>
      <c r="H376" t="e">
        <v>#N/A</v>
      </c>
      <c r="I376" t="e">
        <v>#N/A</v>
      </c>
      <c r="N376" t="s">
        <v>31</v>
      </c>
    </row>
    <row r="377" spans="1:14" hidden="1">
      <c r="A377" t="s">
        <v>1183</v>
      </c>
      <c r="B377" t="s">
        <v>2328</v>
      </c>
      <c r="C377" t="s">
        <v>1752</v>
      </c>
      <c r="D377">
        <v>2025</v>
      </c>
      <c r="E377" t="s">
        <v>1752</v>
      </c>
      <c r="H377" t="e">
        <v>#N/A</v>
      </c>
      <c r="I377" t="e">
        <v>#N/A</v>
      </c>
      <c r="N377" t="s">
        <v>31</v>
      </c>
    </row>
    <row r="378" spans="1:14" hidden="1">
      <c r="A378" t="s">
        <v>1184</v>
      </c>
      <c r="B378" t="s">
        <v>2329</v>
      </c>
      <c r="C378" t="s">
        <v>2330</v>
      </c>
      <c r="D378">
        <v>2024</v>
      </c>
      <c r="E378" t="s">
        <v>2761</v>
      </c>
      <c r="F378" t="s">
        <v>29</v>
      </c>
      <c r="H378" t="s">
        <v>30</v>
      </c>
      <c r="I378" t="s">
        <v>30</v>
      </c>
      <c r="J378" t="s">
        <v>30</v>
      </c>
      <c r="K378" t="s">
        <v>30</v>
      </c>
      <c r="L378" t="s">
        <v>12</v>
      </c>
      <c r="M378" s="22" t="s">
        <v>1752</v>
      </c>
      <c r="N378" t="s">
        <v>31</v>
      </c>
    </row>
    <row r="379" spans="1:14" hidden="1">
      <c r="A379" t="s">
        <v>1185</v>
      </c>
      <c r="B379" t="s">
        <v>2331</v>
      </c>
      <c r="C379" t="s">
        <v>2332</v>
      </c>
      <c r="D379">
        <v>2025</v>
      </c>
      <c r="E379" t="s">
        <v>2687</v>
      </c>
      <c r="F379" t="s">
        <v>29</v>
      </c>
      <c r="H379" t="s">
        <v>31</v>
      </c>
      <c r="I379" t="s">
        <v>30</v>
      </c>
      <c r="J379" t="s">
        <v>31</v>
      </c>
      <c r="N379" t="s">
        <v>31</v>
      </c>
    </row>
    <row r="380" spans="1:14" hidden="1">
      <c r="A380" t="s">
        <v>1186</v>
      </c>
      <c r="B380" t="s">
        <v>2333</v>
      </c>
      <c r="C380" t="s">
        <v>1752</v>
      </c>
      <c r="D380">
        <v>2024</v>
      </c>
      <c r="E380" t="s">
        <v>1752</v>
      </c>
      <c r="H380" t="e">
        <v>#N/A</v>
      </c>
      <c r="I380" t="e">
        <v>#N/A</v>
      </c>
      <c r="N380" t="s">
        <v>31</v>
      </c>
    </row>
    <row r="381" spans="1:14" hidden="1">
      <c r="A381" t="s">
        <v>1187</v>
      </c>
      <c r="B381" t="s">
        <v>2334</v>
      </c>
      <c r="C381" t="s">
        <v>2335</v>
      </c>
      <c r="D381">
        <v>2023</v>
      </c>
      <c r="E381" t="s">
        <v>2762</v>
      </c>
      <c r="F381" t="s">
        <v>29</v>
      </c>
      <c r="H381" t="s">
        <v>30</v>
      </c>
      <c r="I381" t="s">
        <v>30</v>
      </c>
      <c r="J381" t="s">
        <v>30</v>
      </c>
      <c r="K381" t="s">
        <v>30</v>
      </c>
      <c r="L381" t="s">
        <v>12</v>
      </c>
      <c r="M381" s="22"/>
      <c r="N381" t="s">
        <v>31</v>
      </c>
    </row>
    <row r="382" spans="1:14" hidden="1">
      <c r="A382" t="s">
        <v>1188</v>
      </c>
      <c r="B382" t="s">
        <v>2336</v>
      </c>
      <c r="C382" t="s">
        <v>2337</v>
      </c>
      <c r="D382">
        <v>2024</v>
      </c>
      <c r="E382" t="s">
        <v>2763</v>
      </c>
      <c r="F382" t="s">
        <v>29</v>
      </c>
      <c r="H382" t="s">
        <v>31</v>
      </c>
      <c r="I382" t="s">
        <v>30</v>
      </c>
      <c r="J382" t="s">
        <v>31</v>
      </c>
      <c r="N382" t="s">
        <v>31</v>
      </c>
    </row>
    <row r="383" spans="1:14" hidden="1">
      <c r="A383" t="s">
        <v>1189</v>
      </c>
      <c r="B383" t="s">
        <v>2338</v>
      </c>
      <c r="C383" t="s">
        <v>1752</v>
      </c>
      <c r="D383">
        <v>2024</v>
      </c>
      <c r="E383" t="s">
        <v>1752</v>
      </c>
      <c r="H383" t="e">
        <v>#N/A</v>
      </c>
      <c r="I383" t="e">
        <v>#N/A</v>
      </c>
      <c r="N383" t="s">
        <v>31</v>
      </c>
    </row>
    <row r="384" spans="1:14" hidden="1">
      <c r="A384" t="s">
        <v>1190</v>
      </c>
      <c r="B384" t="s">
        <v>2339</v>
      </c>
      <c r="C384" t="s">
        <v>2340</v>
      </c>
      <c r="D384">
        <v>2023</v>
      </c>
      <c r="E384" t="s">
        <v>2764</v>
      </c>
      <c r="F384" t="s">
        <v>29</v>
      </c>
      <c r="H384" t="s">
        <v>31</v>
      </c>
      <c r="I384" t="s">
        <v>30</v>
      </c>
      <c r="J384" t="s">
        <v>31</v>
      </c>
      <c r="N384" t="s">
        <v>31</v>
      </c>
    </row>
    <row r="385" spans="1:14" hidden="1">
      <c r="A385" t="s">
        <v>1191</v>
      </c>
      <c r="B385" t="s">
        <v>2341</v>
      </c>
      <c r="C385" t="s">
        <v>1752</v>
      </c>
      <c r="D385">
        <v>2024</v>
      </c>
      <c r="E385" t="s">
        <v>1752</v>
      </c>
      <c r="H385" t="e">
        <v>#N/A</v>
      </c>
      <c r="I385" t="e">
        <v>#N/A</v>
      </c>
      <c r="N385" t="s">
        <v>31</v>
      </c>
    </row>
    <row r="386" spans="1:14" hidden="1">
      <c r="A386" t="s">
        <v>1192</v>
      </c>
      <c r="B386" t="s">
        <v>2342</v>
      </c>
      <c r="C386" t="s">
        <v>2343</v>
      </c>
      <c r="D386">
        <v>2023</v>
      </c>
      <c r="E386" t="s">
        <v>2765</v>
      </c>
      <c r="F386" t="s">
        <v>29</v>
      </c>
      <c r="H386" t="s">
        <v>30</v>
      </c>
      <c r="I386" t="s">
        <v>30</v>
      </c>
      <c r="J386" t="s">
        <v>30</v>
      </c>
      <c r="K386" t="s">
        <v>30</v>
      </c>
      <c r="L386" t="s">
        <v>12</v>
      </c>
      <c r="M386" s="22" t="s">
        <v>1752</v>
      </c>
      <c r="N386" t="s">
        <v>31</v>
      </c>
    </row>
    <row r="387" spans="1:14" hidden="1">
      <c r="A387" t="s">
        <v>1193</v>
      </c>
      <c r="B387" t="s">
        <v>2344</v>
      </c>
      <c r="C387" t="s">
        <v>2345</v>
      </c>
      <c r="D387">
        <v>2024</v>
      </c>
      <c r="E387" t="s">
        <v>2766</v>
      </c>
      <c r="F387" t="s">
        <v>29</v>
      </c>
      <c r="H387" t="s">
        <v>30</v>
      </c>
      <c r="I387" t="s">
        <v>30</v>
      </c>
      <c r="J387" t="s">
        <v>30</v>
      </c>
      <c r="K387" t="s">
        <v>30</v>
      </c>
      <c r="L387" t="s">
        <v>12</v>
      </c>
      <c r="M387" s="22" t="s">
        <v>1752</v>
      </c>
      <c r="N387" t="s">
        <v>31</v>
      </c>
    </row>
    <row r="388" spans="1:14" hidden="1">
      <c r="A388" t="s">
        <v>1194</v>
      </c>
      <c r="B388" t="s">
        <v>2346</v>
      </c>
      <c r="C388" t="s">
        <v>2347</v>
      </c>
      <c r="D388">
        <v>2025</v>
      </c>
      <c r="E388" t="s">
        <v>2612</v>
      </c>
      <c r="F388" t="s">
        <v>29</v>
      </c>
      <c r="H388" t="s">
        <v>30</v>
      </c>
      <c r="I388" t="s">
        <v>30</v>
      </c>
      <c r="J388" t="s">
        <v>30</v>
      </c>
      <c r="K388" t="s">
        <v>30</v>
      </c>
      <c r="L388" t="s">
        <v>12</v>
      </c>
      <c r="M388" s="22" t="s">
        <v>1752</v>
      </c>
      <c r="N388" t="s">
        <v>31</v>
      </c>
    </row>
    <row r="389" spans="1:14" hidden="1">
      <c r="A389" t="s">
        <v>1195</v>
      </c>
      <c r="B389" t="s">
        <v>2348</v>
      </c>
      <c r="C389" t="s">
        <v>2349</v>
      </c>
      <c r="D389">
        <v>2025</v>
      </c>
      <c r="E389" t="s">
        <v>2767</v>
      </c>
      <c r="F389" t="s">
        <v>29</v>
      </c>
      <c r="H389" t="s">
        <v>30</v>
      </c>
      <c r="I389" t="s">
        <v>30</v>
      </c>
      <c r="J389" t="s">
        <v>30</v>
      </c>
      <c r="K389" t="s">
        <v>30</v>
      </c>
      <c r="L389" t="s">
        <v>12</v>
      </c>
      <c r="M389" s="22" t="s">
        <v>1752</v>
      </c>
      <c r="N389" t="s">
        <v>31</v>
      </c>
    </row>
    <row r="390" spans="1:14" hidden="1">
      <c r="A390" t="s">
        <v>1196</v>
      </c>
      <c r="B390" t="s">
        <v>2350</v>
      </c>
      <c r="C390" t="s">
        <v>2351</v>
      </c>
      <c r="D390">
        <v>2024</v>
      </c>
      <c r="E390" t="s">
        <v>2650</v>
      </c>
      <c r="F390" t="s">
        <v>29</v>
      </c>
      <c r="H390" t="s">
        <v>30</v>
      </c>
      <c r="I390" t="s">
        <v>30</v>
      </c>
      <c r="J390" t="s">
        <v>30</v>
      </c>
      <c r="K390" t="s">
        <v>30</v>
      </c>
      <c r="L390" t="s">
        <v>12</v>
      </c>
      <c r="M390" s="22" t="s">
        <v>1752</v>
      </c>
      <c r="N390" t="s">
        <v>31</v>
      </c>
    </row>
    <row r="391" spans="1:14" hidden="1">
      <c r="A391" t="s">
        <v>1197</v>
      </c>
      <c r="B391" t="s">
        <v>2352</v>
      </c>
      <c r="C391" t="s">
        <v>2353</v>
      </c>
      <c r="D391">
        <v>2023</v>
      </c>
      <c r="E391" t="s">
        <v>2716</v>
      </c>
      <c r="F391" t="s">
        <v>29</v>
      </c>
      <c r="H391" t="s">
        <v>31</v>
      </c>
      <c r="I391" t="s">
        <v>3733</v>
      </c>
      <c r="J391" t="s">
        <v>31</v>
      </c>
      <c r="N391" t="s">
        <v>31</v>
      </c>
    </row>
    <row r="392" spans="1:14" hidden="1">
      <c r="A392" t="s">
        <v>1198</v>
      </c>
      <c r="B392" t="s">
        <v>2354</v>
      </c>
      <c r="C392" t="s">
        <v>1752</v>
      </c>
      <c r="D392">
        <v>2023</v>
      </c>
      <c r="E392" t="s">
        <v>1752</v>
      </c>
      <c r="H392" t="e">
        <v>#N/A</v>
      </c>
      <c r="I392" t="e">
        <v>#N/A</v>
      </c>
      <c r="N392" t="s">
        <v>31</v>
      </c>
    </row>
    <row r="393" spans="1:14" hidden="1">
      <c r="A393" t="s">
        <v>1199</v>
      </c>
      <c r="B393" t="s">
        <v>2355</v>
      </c>
      <c r="C393" t="s">
        <v>2356</v>
      </c>
      <c r="D393">
        <v>2023</v>
      </c>
      <c r="E393" t="s">
        <v>2618</v>
      </c>
      <c r="F393" t="s">
        <v>29</v>
      </c>
      <c r="H393" t="s">
        <v>30</v>
      </c>
      <c r="I393" t="s">
        <v>30</v>
      </c>
      <c r="J393" t="s">
        <v>30</v>
      </c>
      <c r="K393" t="s">
        <v>30</v>
      </c>
      <c r="L393" t="s">
        <v>12</v>
      </c>
      <c r="M393" s="22" t="s">
        <v>1752</v>
      </c>
      <c r="N393" t="s">
        <v>31</v>
      </c>
    </row>
    <row r="394" spans="1:14" hidden="1">
      <c r="A394" t="s">
        <v>1200</v>
      </c>
      <c r="B394" t="s">
        <v>2357</v>
      </c>
      <c r="C394" t="s">
        <v>2358</v>
      </c>
      <c r="D394">
        <v>2024</v>
      </c>
      <c r="E394" t="s">
        <v>2568</v>
      </c>
      <c r="F394" t="s">
        <v>29</v>
      </c>
      <c r="H394" t="s">
        <v>30</v>
      </c>
      <c r="I394" t="s">
        <v>30</v>
      </c>
      <c r="J394" t="s">
        <v>30</v>
      </c>
      <c r="K394" t="s">
        <v>30</v>
      </c>
      <c r="L394" t="s">
        <v>12</v>
      </c>
      <c r="M394" s="22" t="s">
        <v>1752</v>
      </c>
      <c r="N394" t="s">
        <v>31</v>
      </c>
    </row>
    <row r="395" spans="1:14" hidden="1">
      <c r="A395" t="s">
        <v>1201</v>
      </c>
      <c r="B395" t="s">
        <v>2359</v>
      </c>
      <c r="C395" t="s">
        <v>1752</v>
      </c>
      <c r="D395">
        <v>2023</v>
      </c>
      <c r="E395" t="s">
        <v>1752</v>
      </c>
      <c r="H395" t="e">
        <v>#N/A</v>
      </c>
      <c r="I395" t="e">
        <v>#N/A</v>
      </c>
      <c r="N395" t="s">
        <v>31</v>
      </c>
    </row>
    <row r="396" spans="1:14" hidden="1">
      <c r="A396" t="s">
        <v>1202</v>
      </c>
      <c r="B396" t="s">
        <v>2360</v>
      </c>
      <c r="C396" t="s">
        <v>2361</v>
      </c>
      <c r="D396">
        <v>2023</v>
      </c>
      <c r="E396" t="s">
        <v>2712</v>
      </c>
      <c r="F396" t="s">
        <v>29</v>
      </c>
      <c r="H396" t="s">
        <v>30</v>
      </c>
      <c r="I396" t="s">
        <v>30</v>
      </c>
      <c r="J396" t="s">
        <v>30</v>
      </c>
      <c r="K396" t="s">
        <v>30</v>
      </c>
      <c r="L396" t="s">
        <v>12</v>
      </c>
      <c r="M396" s="22" t="s">
        <v>1752</v>
      </c>
      <c r="N396" t="s">
        <v>31</v>
      </c>
    </row>
    <row r="397" spans="1:14" hidden="1">
      <c r="A397" t="s">
        <v>1203</v>
      </c>
      <c r="B397" t="s">
        <v>2362</v>
      </c>
      <c r="C397" t="s">
        <v>1752</v>
      </c>
      <c r="D397">
        <v>2024</v>
      </c>
      <c r="E397" t="s">
        <v>1752</v>
      </c>
      <c r="H397" t="e">
        <v>#N/A</v>
      </c>
      <c r="I397" t="e">
        <v>#N/A</v>
      </c>
      <c r="N397" t="s">
        <v>31</v>
      </c>
    </row>
    <row r="398" spans="1:14" ht="21.6" hidden="1">
      <c r="A398" t="s">
        <v>1204</v>
      </c>
      <c r="B398" t="s">
        <v>2363</v>
      </c>
      <c r="C398" t="s">
        <v>2364</v>
      </c>
      <c r="D398">
        <v>2023</v>
      </c>
      <c r="E398" t="s">
        <v>2570</v>
      </c>
      <c r="F398" t="s">
        <v>29</v>
      </c>
      <c r="G398" t="s">
        <v>31</v>
      </c>
      <c r="H398" t="s">
        <v>30</v>
      </c>
      <c r="I398" t="s">
        <v>30</v>
      </c>
      <c r="J398" t="s">
        <v>30</v>
      </c>
      <c r="K398" t="s">
        <v>30</v>
      </c>
      <c r="L398" t="s">
        <v>15</v>
      </c>
      <c r="M398" s="22" t="s">
        <v>3773</v>
      </c>
      <c r="N398" t="s">
        <v>31</v>
      </c>
    </row>
    <row r="399" spans="1:14" hidden="1">
      <c r="A399" t="s">
        <v>1205</v>
      </c>
      <c r="B399" t="s">
        <v>2365</v>
      </c>
      <c r="C399" t="s">
        <v>1752</v>
      </c>
      <c r="D399">
        <v>2024</v>
      </c>
      <c r="E399" t="s">
        <v>1752</v>
      </c>
      <c r="H399" t="e">
        <v>#N/A</v>
      </c>
      <c r="I399" t="e">
        <v>#N/A</v>
      </c>
      <c r="N399" t="s">
        <v>31</v>
      </c>
    </row>
    <row r="400" spans="1:14" hidden="1">
      <c r="A400" t="s">
        <v>1206</v>
      </c>
      <c r="B400" t="s">
        <v>2366</v>
      </c>
      <c r="C400" t="s">
        <v>1752</v>
      </c>
      <c r="D400">
        <v>2025</v>
      </c>
      <c r="E400" t="s">
        <v>1752</v>
      </c>
      <c r="H400" t="e">
        <v>#N/A</v>
      </c>
      <c r="I400" t="e">
        <v>#N/A</v>
      </c>
      <c r="N400" t="s">
        <v>31</v>
      </c>
    </row>
    <row r="401" spans="1:14" hidden="1">
      <c r="A401" t="s">
        <v>1207</v>
      </c>
      <c r="B401" t="s">
        <v>2367</v>
      </c>
      <c r="C401" t="s">
        <v>1752</v>
      </c>
      <c r="D401">
        <v>2025</v>
      </c>
      <c r="E401" t="s">
        <v>1752</v>
      </c>
      <c r="H401" t="e">
        <v>#N/A</v>
      </c>
      <c r="I401" t="e">
        <v>#N/A</v>
      </c>
      <c r="N401" t="s">
        <v>31</v>
      </c>
    </row>
    <row r="402" spans="1:14" hidden="1">
      <c r="A402" t="s">
        <v>1208</v>
      </c>
      <c r="B402" t="s">
        <v>2368</v>
      </c>
      <c r="C402" t="s">
        <v>1752</v>
      </c>
      <c r="D402">
        <v>2025</v>
      </c>
      <c r="E402" t="s">
        <v>1752</v>
      </c>
      <c r="H402" t="e">
        <v>#N/A</v>
      </c>
      <c r="I402" t="e">
        <v>#N/A</v>
      </c>
      <c r="N402" t="s">
        <v>31</v>
      </c>
    </row>
    <row r="403" spans="1:14" hidden="1">
      <c r="A403" t="s">
        <v>1209</v>
      </c>
      <c r="B403" t="s">
        <v>2369</v>
      </c>
      <c r="C403" t="s">
        <v>2370</v>
      </c>
      <c r="D403">
        <v>2024</v>
      </c>
      <c r="E403" t="s">
        <v>2568</v>
      </c>
      <c r="F403" t="s">
        <v>29</v>
      </c>
      <c r="H403" t="s">
        <v>31</v>
      </c>
      <c r="I403" t="s">
        <v>30</v>
      </c>
      <c r="J403" t="s">
        <v>31</v>
      </c>
      <c r="N403" t="s">
        <v>31</v>
      </c>
    </row>
    <row r="404" spans="1:14" hidden="1">
      <c r="A404" t="s">
        <v>1210</v>
      </c>
      <c r="B404" t="s">
        <v>2371</v>
      </c>
      <c r="C404" t="s">
        <v>2372</v>
      </c>
      <c r="D404">
        <v>2024</v>
      </c>
      <c r="E404" t="s">
        <v>2584</v>
      </c>
      <c r="F404" t="s">
        <v>29</v>
      </c>
      <c r="H404" t="s">
        <v>30</v>
      </c>
      <c r="I404" t="s">
        <v>30</v>
      </c>
      <c r="J404" t="s">
        <v>30</v>
      </c>
      <c r="K404" t="s">
        <v>30</v>
      </c>
      <c r="L404" t="s">
        <v>12</v>
      </c>
      <c r="M404" s="22" t="s">
        <v>1752</v>
      </c>
      <c r="N404" t="s">
        <v>31</v>
      </c>
    </row>
    <row r="405" spans="1:14" hidden="1">
      <c r="A405" t="s">
        <v>1211</v>
      </c>
      <c r="B405" t="s">
        <v>2373</v>
      </c>
      <c r="C405" t="s">
        <v>1752</v>
      </c>
      <c r="D405">
        <v>2024</v>
      </c>
      <c r="E405" t="s">
        <v>1752</v>
      </c>
      <c r="H405" t="e">
        <v>#N/A</v>
      </c>
      <c r="I405" t="e">
        <v>#N/A</v>
      </c>
      <c r="N405" t="s">
        <v>31</v>
      </c>
    </row>
    <row r="406" spans="1:14" hidden="1">
      <c r="A406" t="s">
        <v>1212</v>
      </c>
      <c r="B406" t="s">
        <v>2374</v>
      </c>
      <c r="C406" t="s">
        <v>2375</v>
      </c>
      <c r="D406">
        <v>2024</v>
      </c>
      <c r="E406" t="s">
        <v>2674</v>
      </c>
      <c r="F406" t="s">
        <v>29</v>
      </c>
      <c r="H406" t="s">
        <v>30</v>
      </c>
      <c r="I406" t="s">
        <v>30</v>
      </c>
      <c r="J406" t="s">
        <v>30</v>
      </c>
      <c r="K406" t="s">
        <v>30</v>
      </c>
      <c r="L406" t="s">
        <v>12</v>
      </c>
      <c r="M406" s="22" t="s">
        <v>1752</v>
      </c>
      <c r="N406" t="s">
        <v>31</v>
      </c>
    </row>
    <row r="407" spans="1:14" hidden="1">
      <c r="A407" t="s">
        <v>1213</v>
      </c>
      <c r="B407" t="s">
        <v>2376</v>
      </c>
      <c r="C407" t="s">
        <v>1752</v>
      </c>
      <c r="D407">
        <v>2024</v>
      </c>
      <c r="E407" t="s">
        <v>1752</v>
      </c>
      <c r="H407" t="e">
        <v>#N/A</v>
      </c>
      <c r="I407" t="e">
        <v>#N/A</v>
      </c>
      <c r="N407" t="s">
        <v>31</v>
      </c>
    </row>
    <row r="408" spans="1:14" hidden="1">
      <c r="A408" t="s">
        <v>1214</v>
      </c>
      <c r="B408" t="s">
        <v>2377</v>
      </c>
      <c r="C408" t="s">
        <v>1752</v>
      </c>
      <c r="D408">
        <v>2024</v>
      </c>
      <c r="E408" t="s">
        <v>1752</v>
      </c>
      <c r="H408" t="e">
        <v>#N/A</v>
      </c>
      <c r="I408" t="e">
        <v>#N/A</v>
      </c>
      <c r="N408" t="s">
        <v>31</v>
      </c>
    </row>
    <row r="409" spans="1:14" hidden="1">
      <c r="A409" t="s">
        <v>1215</v>
      </c>
      <c r="B409" t="s">
        <v>2378</v>
      </c>
      <c r="C409" t="s">
        <v>1752</v>
      </c>
      <c r="D409">
        <v>2024</v>
      </c>
      <c r="E409" t="s">
        <v>1752</v>
      </c>
      <c r="H409" t="e">
        <v>#N/A</v>
      </c>
      <c r="I409" t="e">
        <v>#N/A</v>
      </c>
      <c r="N409" t="s">
        <v>31</v>
      </c>
    </row>
    <row r="410" spans="1:14" hidden="1">
      <c r="A410" t="s">
        <v>1216</v>
      </c>
      <c r="B410" t="s">
        <v>2379</v>
      </c>
      <c r="C410" t="s">
        <v>1752</v>
      </c>
      <c r="D410">
        <v>2024</v>
      </c>
      <c r="E410" t="s">
        <v>1752</v>
      </c>
      <c r="H410" t="e">
        <v>#N/A</v>
      </c>
      <c r="I410" t="e">
        <v>#N/A</v>
      </c>
      <c r="N410" t="s">
        <v>31</v>
      </c>
    </row>
    <row r="411" spans="1:14" hidden="1">
      <c r="A411" t="s">
        <v>1217</v>
      </c>
      <c r="B411" t="s">
        <v>2380</v>
      </c>
      <c r="C411" t="s">
        <v>1752</v>
      </c>
      <c r="D411">
        <v>2024</v>
      </c>
      <c r="E411" t="s">
        <v>1752</v>
      </c>
      <c r="H411" t="e">
        <v>#N/A</v>
      </c>
      <c r="I411" t="e">
        <v>#N/A</v>
      </c>
      <c r="N411" t="s">
        <v>31</v>
      </c>
    </row>
    <row r="412" spans="1:14" hidden="1">
      <c r="A412" t="s">
        <v>1218</v>
      </c>
      <c r="B412" t="s">
        <v>2381</v>
      </c>
      <c r="C412" t="s">
        <v>1752</v>
      </c>
      <c r="D412">
        <v>2024</v>
      </c>
      <c r="E412" t="s">
        <v>1752</v>
      </c>
      <c r="H412" t="e">
        <v>#N/A</v>
      </c>
      <c r="I412" t="e">
        <v>#N/A</v>
      </c>
      <c r="N412" t="s">
        <v>31</v>
      </c>
    </row>
    <row r="413" spans="1:14" hidden="1">
      <c r="A413" t="s">
        <v>1219</v>
      </c>
      <c r="B413" t="s">
        <v>2382</v>
      </c>
      <c r="C413" t="s">
        <v>1752</v>
      </c>
      <c r="D413">
        <v>2024</v>
      </c>
      <c r="E413" t="s">
        <v>1752</v>
      </c>
      <c r="H413" t="e">
        <v>#N/A</v>
      </c>
      <c r="I413" t="e">
        <v>#N/A</v>
      </c>
      <c r="N413" t="s">
        <v>31</v>
      </c>
    </row>
    <row r="414" spans="1:14" hidden="1">
      <c r="A414" t="s">
        <v>1220</v>
      </c>
      <c r="B414" t="s">
        <v>2383</v>
      </c>
      <c r="C414" t="s">
        <v>2384</v>
      </c>
      <c r="D414">
        <v>2025</v>
      </c>
      <c r="E414" t="s">
        <v>2768</v>
      </c>
      <c r="F414" t="s">
        <v>29</v>
      </c>
      <c r="H414" t="s">
        <v>30</v>
      </c>
      <c r="I414" t="s">
        <v>30</v>
      </c>
      <c r="J414" t="s">
        <v>30</v>
      </c>
      <c r="K414" t="s">
        <v>30</v>
      </c>
      <c r="L414" t="s">
        <v>12</v>
      </c>
      <c r="M414" s="22" t="s">
        <v>1752</v>
      </c>
      <c r="N414" t="s">
        <v>31</v>
      </c>
    </row>
    <row r="415" spans="1:14" hidden="1">
      <c r="A415" t="s">
        <v>1221</v>
      </c>
      <c r="B415" t="s">
        <v>2385</v>
      </c>
      <c r="C415" t="s">
        <v>2386</v>
      </c>
      <c r="D415">
        <v>2024</v>
      </c>
      <c r="E415" t="s">
        <v>2769</v>
      </c>
      <c r="F415" t="s">
        <v>29</v>
      </c>
      <c r="H415" t="s">
        <v>31</v>
      </c>
      <c r="I415" t="s">
        <v>30</v>
      </c>
      <c r="J415" t="s">
        <v>31</v>
      </c>
      <c r="N415" t="s">
        <v>31</v>
      </c>
    </row>
    <row r="416" spans="1:14" hidden="1">
      <c r="A416" t="s">
        <v>1222</v>
      </c>
      <c r="B416" t="s">
        <v>2387</v>
      </c>
      <c r="C416" t="s">
        <v>1752</v>
      </c>
      <c r="D416">
        <v>2025</v>
      </c>
      <c r="E416" t="s">
        <v>1752</v>
      </c>
      <c r="H416" t="e">
        <v>#N/A</v>
      </c>
      <c r="I416" t="e">
        <v>#N/A</v>
      </c>
      <c r="N416" t="s">
        <v>31</v>
      </c>
    </row>
    <row r="417" spans="1:14" hidden="1">
      <c r="A417" t="s">
        <v>1223</v>
      </c>
      <c r="B417" t="s">
        <v>2388</v>
      </c>
      <c r="C417" t="s">
        <v>1752</v>
      </c>
      <c r="D417">
        <v>2025</v>
      </c>
      <c r="E417" t="s">
        <v>1752</v>
      </c>
      <c r="H417" t="e">
        <v>#N/A</v>
      </c>
      <c r="I417" t="e">
        <v>#N/A</v>
      </c>
      <c r="N417" t="s">
        <v>31</v>
      </c>
    </row>
    <row r="418" spans="1:14" hidden="1">
      <c r="A418" t="s">
        <v>1224</v>
      </c>
      <c r="B418" t="s">
        <v>2389</v>
      </c>
      <c r="C418" t="s">
        <v>2390</v>
      </c>
      <c r="D418">
        <v>2024</v>
      </c>
      <c r="E418" t="s">
        <v>1752</v>
      </c>
      <c r="F418" t="s">
        <v>29</v>
      </c>
      <c r="H418" t="s">
        <v>31</v>
      </c>
      <c r="I418" t="s">
        <v>3733</v>
      </c>
      <c r="J418" t="s">
        <v>31</v>
      </c>
      <c r="N418" t="s">
        <v>31</v>
      </c>
    </row>
    <row r="419" spans="1:14" hidden="1">
      <c r="A419" t="s">
        <v>1225</v>
      </c>
      <c r="B419" t="s">
        <v>2391</v>
      </c>
      <c r="C419" t="s">
        <v>2392</v>
      </c>
      <c r="D419">
        <v>2023</v>
      </c>
      <c r="E419" t="s">
        <v>2770</v>
      </c>
      <c r="F419" t="s">
        <v>29</v>
      </c>
      <c r="H419" t="s">
        <v>30</v>
      </c>
      <c r="I419" t="s">
        <v>3733</v>
      </c>
      <c r="J419" t="s">
        <v>31</v>
      </c>
      <c r="N419" t="s">
        <v>31</v>
      </c>
    </row>
    <row r="420" spans="1:14" hidden="1">
      <c r="A420" t="s">
        <v>1226</v>
      </c>
      <c r="B420" t="s">
        <v>2393</v>
      </c>
      <c r="C420" t="s">
        <v>1752</v>
      </c>
      <c r="D420">
        <v>2023</v>
      </c>
      <c r="E420" t="s">
        <v>1752</v>
      </c>
      <c r="H420" t="e">
        <v>#N/A</v>
      </c>
      <c r="I420" t="e">
        <v>#N/A</v>
      </c>
      <c r="N420" t="s">
        <v>31</v>
      </c>
    </row>
    <row r="421" spans="1:14" hidden="1">
      <c r="A421" t="s">
        <v>1227</v>
      </c>
      <c r="B421" t="s">
        <v>2394</v>
      </c>
      <c r="C421" t="s">
        <v>1752</v>
      </c>
      <c r="D421">
        <v>2024</v>
      </c>
      <c r="E421" t="s">
        <v>1752</v>
      </c>
      <c r="H421" t="e">
        <v>#N/A</v>
      </c>
      <c r="I421" t="e">
        <v>#N/A</v>
      </c>
      <c r="N421" t="s">
        <v>31</v>
      </c>
    </row>
    <row r="422" spans="1:14" hidden="1">
      <c r="A422" t="s">
        <v>1228</v>
      </c>
      <c r="B422" t="s">
        <v>2395</v>
      </c>
      <c r="C422" t="s">
        <v>2396</v>
      </c>
      <c r="D422">
        <v>2025</v>
      </c>
      <c r="E422" t="s">
        <v>2590</v>
      </c>
      <c r="F422" t="s">
        <v>29</v>
      </c>
      <c r="H422" t="s">
        <v>30</v>
      </c>
      <c r="I422" t="s">
        <v>30</v>
      </c>
      <c r="J422" t="s">
        <v>30</v>
      </c>
      <c r="K422" t="s">
        <v>30</v>
      </c>
      <c r="L422" t="s">
        <v>12</v>
      </c>
      <c r="M422" s="22" t="s">
        <v>1752</v>
      </c>
      <c r="N422" t="s">
        <v>31</v>
      </c>
    </row>
    <row r="423" spans="1:14" hidden="1">
      <c r="A423" t="s">
        <v>1229</v>
      </c>
      <c r="B423" t="s">
        <v>2397</v>
      </c>
      <c r="C423" t="s">
        <v>1752</v>
      </c>
      <c r="D423">
        <v>2025</v>
      </c>
      <c r="E423" t="s">
        <v>1752</v>
      </c>
      <c r="H423" t="e">
        <v>#N/A</v>
      </c>
      <c r="I423" t="e">
        <v>#N/A</v>
      </c>
      <c r="N423" t="s">
        <v>31</v>
      </c>
    </row>
    <row r="424" spans="1:14" hidden="1">
      <c r="A424" t="s">
        <v>1230</v>
      </c>
      <c r="B424" t="s">
        <v>2398</v>
      </c>
      <c r="C424" t="s">
        <v>1752</v>
      </c>
      <c r="D424">
        <v>2024</v>
      </c>
      <c r="E424" t="s">
        <v>1752</v>
      </c>
      <c r="H424" t="e">
        <v>#N/A</v>
      </c>
      <c r="I424" t="e">
        <v>#N/A</v>
      </c>
      <c r="N424" t="s">
        <v>31</v>
      </c>
    </row>
    <row r="425" spans="1:14" hidden="1">
      <c r="A425" t="s">
        <v>1231</v>
      </c>
      <c r="B425" t="s">
        <v>2399</v>
      </c>
      <c r="C425" t="s">
        <v>2400</v>
      </c>
      <c r="D425">
        <v>2024</v>
      </c>
      <c r="E425" t="s">
        <v>2771</v>
      </c>
      <c r="F425" t="s">
        <v>29</v>
      </c>
      <c r="H425" t="s">
        <v>30</v>
      </c>
      <c r="I425" t="s">
        <v>30</v>
      </c>
      <c r="J425" t="s">
        <v>30</v>
      </c>
      <c r="K425" t="s">
        <v>30</v>
      </c>
      <c r="L425" t="s">
        <v>12</v>
      </c>
      <c r="M425" s="22" t="s">
        <v>1752</v>
      </c>
      <c r="N425" t="s">
        <v>31</v>
      </c>
    </row>
    <row r="426" spans="1:14" hidden="1">
      <c r="A426" t="s">
        <v>1232</v>
      </c>
      <c r="B426" t="s">
        <v>2401</v>
      </c>
      <c r="C426" t="s">
        <v>2402</v>
      </c>
      <c r="D426">
        <v>2024</v>
      </c>
      <c r="E426" t="s">
        <v>2772</v>
      </c>
      <c r="F426" t="s">
        <v>29</v>
      </c>
      <c r="H426" t="s">
        <v>30</v>
      </c>
      <c r="I426" t="s">
        <v>30</v>
      </c>
      <c r="J426" t="s">
        <v>30</v>
      </c>
      <c r="K426" t="s">
        <v>30</v>
      </c>
      <c r="L426" t="s">
        <v>12</v>
      </c>
      <c r="M426" s="22" t="s">
        <v>1752</v>
      </c>
      <c r="N426" t="s">
        <v>31</v>
      </c>
    </row>
    <row r="427" spans="1:14" hidden="1">
      <c r="A427" t="s">
        <v>1233</v>
      </c>
      <c r="B427" t="s">
        <v>2403</v>
      </c>
      <c r="C427" t="s">
        <v>2404</v>
      </c>
      <c r="D427">
        <v>2025</v>
      </c>
      <c r="E427" t="s">
        <v>2642</v>
      </c>
      <c r="F427" t="s">
        <v>29</v>
      </c>
      <c r="H427" t="s">
        <v>31</v>
      </c>
      <c r="I427" t="s">
        <v>30</v>
      </c>
      <c r="J427" t="s">
        <v>31</v>
      </c>
      <c r="N427" t="s">
        <v>31</v>
      </c>
    </row>
    <row r="428" spans="1:14" hidden="1">
      <c r="A428" t="s">
        <v>1234</v>
      </c>
      <c r="B428" t="s">
        <v>2405</v>
      </c>
      <c r="C428" t="s">
        <v>1752</v>
      </c>
      <c r="D428">
        <v>2024</v>
      </c>
      <c r="E428" t="s">
        <v>1752</v>
      </c>
      <c r="H428" t="e">
        <v>#N/A</v>
      </c>
      <c r="I428" t="e">
        <v>#N/A</v>
      </c>
      <c r="N428" t="s">
        <v>31</v>
      </c>
    </row>
    <row r="429" spans="1:14" hidden="1">
      <c r="A429" t="s">
        <v>1235</v>
      </c>
      <c r="B429" t="s">
        <v>2406</v>
      </c>
      <c r="C429" t="s">
        <v>1752</v>
      </c>
      <c r="D429">
        <v>2024</v>
      </c>
      <c r="E429" t="s">
        <v>1752</v>
      </c>
      <c r="H429" t="e">
        <v>#N/A</v>
      </c>
      <c r="I429" t="e">
        <v>#N/A</v>
      </c>
      <c r="N429" t="s">
        <v>31</v>
      </c>
    </row>
    <row r="430" spans="1:14" hidden="1">
      <c r="A430" t="s">
        <v>1236</v>
      </c>
      <c r="B430" t="s">
        <v>2407</v>
      </c>
      <c r="C430" t="s">
        <v>2408</v>
      </c>
      <c r="D430">
        <v>2024</v>
      </c>
      <c r="E430" t="s">
        <v>2773</v>
      </c>
      <c r="F430" t="s">
        <v>29</v>
      </c>
      <c r="H430" t="s">
        <v>30</v>
      </c>
      <c r="I430" t="s">
        <v>30</v>
      </c>
      <c r="J430" t="s">
        <v>30</v>
      </c>
      <c r="K430" t="s">
        <v>30</v>
      </c>
      <c r="L430" t="s">
        <v>12</v>
      </c>
      <c r="M430" s="22" t="s">
        <v>1752</v>
      </c>
      <c r="N430" t="s">
        <v>31</v>
      </c>
    </row>
    <row r="431" spans="1:14" hidden="1">
      <c r="A431" t="s">
        <v>1237</v>
      </c>
      <c r="B431" t="s">
        <v>2409</v>
      </c>
      <c r="C431" t="s">
        <v>2410</v>
      </c>
      <c r="D431">
        <v>2023</v>
      </c>
      <c r="E431" t="s">
        <v>2639</v>
      </c>
      <c r="F431" t="s">
        <v>29</v>
      </c>
      <c r="H431" t="s">
        <v>30</v>
      </c>
      <c r="I431" t="s">
        <v>30</v>
      </c>
      <c r="J431" t="s">
        <v>30</v>
      </c>
      <c r="K431" t="s">
        <v>30</v>
      </c>
      <c r="L431" t="s">
        <v>12</v>
      </c>
      <c r="M431" s="22" t="s">
        <v>1752</v>
      </c>
      <c r="N431" t="s">
        <v>31</v>
      </c>
    </row>
    <row r="432" spans="1:14" hidden="1">
      <c r="A432" t="s">
        <v>1238</v>
      </c>
      <c r="B432" t="s">
        <v>2411</v>
      </c>
      <c r="C432" t="s">
        <v>1752</v>
      </c>
      <c r="D432">
        <v>2024</v>
      </c>
      <c r="E432" t="s">
        <v>1752</v>
      </c>
      <c r="H432" t="e">
        <v>#N/A</v>
      </c>
      <c r="I432" t="e">
        <v>#N/A</v>
      </c>
      <c r="N432" t="s">
        <v>31</v>
      </c>
    </row>
    <row r="433" spans="1:14" hidden="1">
      <c r="A433" t="s">
        <v>1239</v>
      </c>
      <c r="B433" t="s">
        <v>2412</v>
      </c>
      <c r="C433" t="s">
        <v>2413</v>
      </c>
      <c r="D433">
        <v>2024</v>
      </c>
      <c r="E433" t="s">
        <v>2774</v>
      </c>
      <c r="F433" t="s">
        <v>29</v>
      </c>
      <c r="H433" t="s">
        <v>30</v>
      </c>
      <c r="I433" t="s">
        <v>30</v>
      </c>
      <c r="J433" t="s">
        <v>30</v>
      </c>
      <c r="K433" t="s">
        <v>30</v>
      </c>
      <c r="L433" t="s">
        <v>12</v>
      </c>
      <c r="M433" s="22" t="s">
        <v>1752</v>
      </c>
      <c r="N433" t="s">
        <v>31</v>
      </c>
    </row>
    <row r="434" spans="1:14" hidden="1">
      <c r="A434" t="s">
        <v>1240</v>
      </c>
      <c r="B434" t="s">
        <v>2414</v>
      </c>
      <c r="C434" t="s">
        <v>2415</v>
      </c>
      <c r="D434">
        <v>2025</v>
      </c>
      <c r="E434" t="s">
        <v>2775</v>
      </c>
      <c r="F434" t="s">
        <v>29</v>
      </c>
      <c r="H434" t="s">
        <v>30</v>
      </c>
      <c r="I434" t="s">
        <v>30</v>
      </c>
      <c r="J434" t="s">
        <v>30</v>
      </c>
      <c r="K434" t="s">
        <v>30</v>
      </c>
      <c r="L434" t="s">
        <v>12</v>
      </c>
      <c r="M434" s="22" t="s">
        <v>1752</v>
      </c>
      <c r="N434" t="s">
        <v>31</v>
      </c>
    </row>
    <row r="435" spans="1:14" hidden="1">
      <c r="A435" t="s">
        <v>1241</v>
      </c>
      <c r="B435" t="s">
        <v>2416</v>
      </c>
      <c r="C435" t="s">
        <v>1752</v>
      </c>
      <c r="D435">
        <v>2024</v>
      </c>
      <c r="E435" t="s">
        <v>1752</v>
      </c>
      <c r="H435" t="e">
        <v>#N/A</v>
      </c>
      <c r="I435" t="e">
        <v>#N/A</v>
      </c>
      <c r="N435" t="s">
        <v>31</v>
      </c>
    </row>
    <row r="436" spans="1:14" hidden="1">
      <c r="A436" t="s">
        <v>1242</v>
      </c>
      <c r="B436" t="s">
        <v>2417</v>
      </c>
      <c r="C436" t="s">
        <v>2418</v>
      </c>
      <c r="D436">
        <v>2024</v>
      </c>
      <c r="E436" t="s">
        <v>2776</v>
      </c>
      <c r="F436" t="s">
        <v>29</v>
      </c>
      <c r="H436" t="s">
        <v>30</v>
      </c>
      <c r="I436" t="s">
        <v>3733</v>
      </c>
      <c r="J436" t="s">
        <v>31</v>
      </c>
      <c r="N436" t="s">
        <v>31</v>
      </c>
    </row>
    <row r="437" spans="1:14" hidden="1">
      <c r="A437" t="s">
        <v>1243</v>
      </c>
      <c r="B437" t="s">
        <v>2419</v>
      </c>
      <c r="C437" t="s">
        <v>1752</v>
      </c>
      <c r="D437">
        <v>2025</v>
      </c>
      <c r="E437" t="s">
        <v>1752</v>
      </c>
      <c r="H437" t="e">
        <v>#N/A</v>
      </c>
      <c r="I437" t="e">
        <v>#N/A</v>
      </c>
      <c r="N437" t="s">
        <v>31</v>
      </c>
    </row>
    <row r="438" spans="1:14" hidden="1">
      <c r="A438" t="s">
        <v>1244</v>
      </c>
      <c r="B438" t="s">
        <v>2420</v>
      </c>
      <c r="C438" t="s">
        <v>2421</v>
      </c>
      <c r="D438">
        <v>2024</v>
      </c>
      <c r="E438" t="s">
        <v>2777</v>
      </c>
      <c r="F438" t="s">
        <v>29</v>
      </c>
      <c r="H438" t="s">
        <v>31</v>
      </c>
      <c r="I438" t="s">
        <v>30</v>
      </c>
      <c r="J438" t="s">
        <v>31</v>
      </c>
      <c r="N438" t="s">
        <v>31</v>
      </c>
    </row>
    <row r="439" spans="1:14" hidden="1">
      <c r="A439" t="s">
        <v>1245</v>
      </c>
      <c r="B439" t="s">
        <v>2422</v>
      </c>
      <c r="C439" t="s">
        <v>1752</v>
      </c>
      <c r="D439">
        <v>2024</v>
      </c>
      <c r="E439" t="s">
        <v>1752</v>
      </c>
      <c r="H439" t="e">
        <v>#N/A</v>
      </c>
      <c r="I439" t="e">
        <v>#N/A</v>
      </c>
      <c r="N439" t="s">
        <v>31</v>
      </c>
    </row>
    <row r="440" spans="1:14" hidden="1">
      <c r="A440" t="s">
        <v>1246</v>
      </c>
      <c r="B440" t="s">
        <v>2423</v>
      </c>
      <c r="C440" t="s">
        <v>2424</v>
      </c>
      <c r="D440">
        <v>2024</v>
      </c>
      <c r="E440" t="s">
        <v>2778</v>
      </c>
      <c r="F440" t="s">
        <v>29</v>
      </c>
      <c r="H440" t="s">
        <v>30</v>
      </c>
      <c r="I440" t="s">
        <v>30</v>
      </c>
      <c r="J440" t="s">
        <v>30</v>
      </c>
      <c r="K440" t="s">
        <v>30</v>
      </c>
      <c r="L440" t="s">
        <v>12</v>
      </c>
      <c r="M440" s="22" t="s">
        <v>1752</v>
      </c>
      <c r="N440" t="s">
        <v>31</v>
      </c>
    </row>
    <row r="441" spans="1:14" hidden="1">
      <c r="A441" t="s">
        <v>1247</v>
      </c>
      <c r="B441" t="s">
        <v>2425</v>
      </c>
      <c r="C441" t="s">
        <v>1752</v>
      </c>
      <c r="D441">
        <v>2023</v>
      </c>
      <c r="E441" t="s">
        <v>1752</v>
      </c>
      <c r="H441" t="e">
        <v>#N/A</v>
      </c>
      <c r="I441" t="e">
        <v>#N/A</v>
      </c>
      <c r="N441" t="s">
        <v>31</v>
      </c>
    </row>
    <row r="442" spans="1:14" hidden="1">
      <c r="A442" t="s">
        <v>1248</v>
      </c>
      <c r="B442" t="s">
        <v>2426</v>
      </c>
      <c r="C442" t="s">
        <v>1752</v>
      </c>
      <c r="D442">
        <v>2024</v>
      </c>
      <c r="E442" t="s">
        <v>1752</v>
      </c>
      <c r="H442" t="e">
        <v>#N/A</v>
      </c>
      <c r="I442" t="e">
        <v>#N/A</v>
      </c>
      <c r="N442" t="s">
        <v>31</v>
      </c>
    </row>
    <row r="443" spans="1:14" hidden="1">
      <c r="A443" t="s">
        <v>1249</v>
      </c>
      <c r="B443" t="s">
        <v>2427</v>
      </c>
      <c r="C443" t="s">
        <v>2428</v>
      </c>
      <c r="D443">
        <v>2023</v>
      </c>
      <c r="E443" t="s">
        <v>2779</v>
      </c>
      <c r="F443" t="s">
        <v>29</v>
      </c>
      <c r="H443" t="s">
        <v>30</v>
      </c>
      <c r="I443" t="s">
        <v>30</v>
      </c>
      <c r="J443" t="s">
        <v>30</v>
      </c>
      <c r="K443" t="s">
        <v>30</v>
      </c>
      <c r="L443" t="s">
        <v>12</v>
      </c>
      <c r="M443" s="22" t="s">
        <v>1752</v>
      </c>
      <c r="N443" t="s">
        <v>31</v>
      </c>
    </row>
    <row r="444" spans="1:14" hidden="1">
      <c r="A444" t="s">
        <v>1250</v>
      </c>
      <c r="B444" t="s">
        <v>2429</v>
      </c>
      <c r="C444" t="s">
        <v>2430</v>
      </c>
      <c r="D444">
        <v>2024</v>
      </c>
      <c r="E444" t="s">
        <v>2780</v>
      </c>
      <c r="F444" t="s">
        <v>29</v>
      </c>
      <c r="H444" t="s">
        <v>30</v>
      </c>
      <c r="I444" t="s">
        <v>30</v>
      </c>
      <c r="J444" t="s">
        <v>30</v>
      </c>
      <c r="K444" t="s">
        <v>30</v>
      </c>
      <c r="L444" t="s">
        <v>12</v>
      </c>
      <c r="M444" s="22" t="s">
        <v>1752</v>
      </c>
      <c r="N444" t="s">
        <v>31</v>
      </c>
    </row>
    <row r="445" spans="1:14" hidden="1">
      <c r="A445" t="s">
        <v>1251</v>
      </c>
      <c r="B445" t="s">
        <v>2431</v>
      </c>
      <c r="C445" t="s">
        <v>1752</v>
      </c>
      <c r="D445">
        <v>2024</v>
      </c>
      <c r="E445" t="s">
        <v>1752</v>
      </c>
      <c r="H445" t="e">
        <v>#N/A</v>
      </c>
      <c r="I445" t="e">
        <v>#N/A</v>
      </c>
      <c r="N445" t="s">
        <v>31</v>
      </c>
    </row>
    <row r="446" spans="1:14" hidden="1">
      <c r="A446" t="s">
        <v>1252</v>
      </c>
      <c r="B446" t="s">
        <v>2432</v>
      </c>
      <c r="C446" t="s">
        <v>1752</v>
      </c>
      <c r="D446">
        <v>2023</v>
      </c>
      <c r="E446" t="s">
        <v>1752</v>
      </c>
      <c r="H446" t="e">
        <v>#N/A</v>
      </c>
      <c r="I446" t="e">
        <v>#N/A</v>
      </c>
      <c r="N446" t="s">
        <v>31</v>
      </c>
    </row>
    <row r="447" spans="1:14" hidden="1">
      <c r="A447" t="s">
        <v>1253</v>
      </c>
      <c r="B447" t="s">
        <v>2433</v>
      </c>
      <c r="C447" t="s">
        <v>1752</v>
      </c>
      <c r="D447">
        <v>2023</v>
      </c>
      <c r="E447" t="s">
        <v>1752</v>
      </c>
      <c r="H447" t="e">
        <v>#N/A</v>
      </c>
      <c r="I447" t="e">
        <v>#N/A</v>
      </c>
      <c r="N447" t="s">
        <v>31</v>
      </c>
    </row>
    <row r="448" spans="1:14" hidden="1">
      <c r="A448" t="s">
        <v>1254</v>
      </c>
      <c r="B448" t="s">
        <v>2434</v>
      </c>
      <c r="C448" t="s">
        <v>1752</v>
      </c>
      <c r="D448">
        <v>2023</v>
      </c>
      <c r="E448" t="s">
        <v>1752</v>
      </c>
      <c r="H448" t="e">
        <v>#N/A</v>
      </c>
      <c r="I448" t="e">
        <v>#N/A</v>
      </c>
      <c r="N448" t="s">
        <v>31</v>
      </c>
    </row>
    <row r="449" spans="1:14" hidden="1">
      <c r="A449" t="s">
        <v>1255</v>
      </c>
      <c r="B449" t="s">
        <v>2435</v>
      </c>
      <c r="C449" t="s">
        <v>1752</v>
      </c>
      <c r="D449">
        <v>2024</v>
      </c>
      <c r="E449" t="s">
        <v>1752</v>
      </c>
      <c r="H449" t="e">
        <v>#N/A</v>
      </c>
      <c r="I449" t="e">
        <v>#N/A</v>
      </c>
      <c r="N449" t="s">
        <v>31</v>
      </c>
    </row>
    <row r="450" spans="1:14" hidden="1">
      <c r="A450" t="s">
        <v>1256</v>
      </c>
      <c r="B450" t="s">
        <v>2436</v>
      </c>
      <c r="C450" t="s">
        <v>1752</v>
      </c>
      <c r="D450">
        <v>2023</v>
      </c>
      <c r="E450" t="s">
        <v>1752</v>
      </c>
      <c r="H450" t="e">
        <v>#N/A</v>
      </c>
      <c r="I450" t="e">
        <v>#N/A</v>
      </c>
      <c r="N450" t="s">
        <v>31</v>
      </c>
    </row>
    <row r="451" spans="1:14" hidden="1">
      <c r="A451" t="s">
        <v>1257</v>
      </c>
      <c r="B451" t="s">
        <v>2437</v>
      </c>
      <c r="C451" t="s">
        <v>1752</v>
      </c>
      <c r="D451">
        <v>2024</v>
      </c>
      <c r="E451" t="s">
        <v>1752</v>
      </c>
      <c r="H451" t="e">
        <v>#N/A</v>
      </c>
      <c r="I451" t="e">
        <v>#N/A</v>
      </c>
      <c r="N451" t="s">
        <v>31</v>
      </c>
    </row>
    <row r="452" spans="1:14" hidden="1">
      <c r="A452" t="s">
        <v>1258</v>
      </c>
      <c r="B452" t="s">
        <v>2438</v>
      </c>
      <c r="C452" t="s">
        <v>2439</v>
      </c>
      <c r="D452">
        <v>2024</v>
      </c>
      <c r="E452" t="s">
        <v>2568</v>
      </c>
      <c r="F452" t="s">
        <v>29</v>
      </c>
      <c r="H452" t="s">
        <v>31</v>
      </c>
      <c r="I452" t="s">
        <v>30</v>
      </c>
      <c r="J452" t="s">
        <v>31</v>
      </c>
      <c r="N452" t="s">
        <v>31</v>
      </c>
    </row>
    <row r="453" spans="1:14" hidden="1">
      <c r="A453" t="s">
        <v>1259</v>
      </c>
      <c r="B453" t="s">
        <v>2440</v>
      </c>
      <c r="C453" t="s">
        <v>1752</v>
      </c>
      <c r="D453">
        <v>2025</v>
      </c>
      <c r="E453" t="s">
        <v>1752</v>
      </c>
      <c r="H453" t="e">
        <v>#N/A</v>
      </c>
      <c r="I453" t="e">
        <v>#N/A</v>
      </c>
      <c r="N453" t="s">
        <v>31</v>
      </c>
    </row>
    <row r="454" spans="1:14" hidden="1">
      <c r="A454" t="s">
        <v>1260</v>
      </c>
      <c r="B454" t="s">
        <v>2441</v>
      </c>
      <c r="C454" t="s">
        <v>1752</v>
      </c>
      <c r="D454">
        <v>2025</v>
      </c>
      <c r="E454" t="s">
        <v>1752</v>
      </c>
      <c r="H454" t="e">
        <v>#N/A</v>
      </c>
      <c r="I454" t="e">
        <v>#N/A</v>
      </c>
      <c r="N454" t="s">
        <v>31</v>
      </c>
    </row>
    <row r="455" spans="1:14" hidden="1">
      <c r="A455" t="s">
        <v>1261</v>
      </c>
      <c r="B455" t="s">
        <v>2442</v>
      </c>
      <c r="C455" t="s">
        <v>2443</v>
      </c>
      <c r="D455">
        <v>2023</v>
      </c>
      <c r="E455" t="s">
        <v>2754</v>
      </c>
      <c r="F455" t="s">
        <v>29</v>
      </c>
      <c r="H455" t="s">
        <v>30</v>
      </c>
      <c r="I455" t="s">
        <v>3733</v>
      </c>
      <c r="J455" t="s">
        <v>31</v>
      </c>
      <c r="N455" t="s">
        <v>31</v>
      </c>
    </row>
    <row r="456" spans="1:14" hidden="1">
      <c r="A456" t="s">
        <v>1262</v>
      </c>
      <c r="B456" t="s">
        <v>2444</v>
      </c>
      <c r="C456" t="s">
        <v>1752</v>
      </c>
      <c r="D456">
        <v>2023</v>
      </c>
      <c r="E456" t="s">
        <v>1752</v>
      </c>
      <c r="H456" t="e">
        <v>#N/A</v>
      </c>
      <c r="I456" t="e">
        <v>#N/A</v>
      </c>
      <c r="N456" t="s">
        <v>31</v>
      </c>
    </row>
    <row r="457" spans="1:14" hidden="1">
      <c r="A457" t="s">
        <v>1263</v>
      </c>
      <c r="B457" t="s">
        <v>2445</v>
      </c>
      <c r="C457" t="s">
        <v>1752</v>
      </c>
      <c r="D457">
        <v>2024</v>
      </c>
      <c r="E457" t="s">
        <v>1752</v>
      </c>
      <c r="H457" t="e">
        <v>#N/A</v>
      </c>
      <c r="I457" t="e">
        <v>#N/A</v>
      </c>
      <c r="N457" t="s">
        <v>31</v>
      </c>
    </row>
    <row r="458" spans="1:14" hidden="1">
      <c r="A458" t="s">
        <v>1264</v>
      </c>
      <c r="B458" t="s">
        <v>2446</v>
      </c>
      <c r="C458" t="s">
        <v>1752</v>
      </c>
      <c r="D458">
        <v>2024</v>
      </c>
      <c r="E458" t="s">
        <v>1752</v>
      </c>
      <c r="H458" t="e">
        <v>#N/A</v>
      </c>
      <c r="I458" t="e">
        <v>#N/A</v>
      </c>
      <c r="N458" t="s">
        <v>31</v>
      </c>
    </row>
    <row r="459" spans="1:14" hidden="1">
      <c r="A459" t="s">
        <v>1265</v>
      </c>
      <c r="B459" t="s">
        <v>2447</v>
      </c>
      <c r="C459" t="s">
        <v>1752</v>
      </c>
      <c r="D459">
        <v>2023</v>
      </c>
      <c r="E459" t="s">
        <v>1752</v>
      </c>
      <c r="H459" t="e">
        <v>#N/A</v>
      </c>
      <c r="I459" t="e">
        <v>#N/A</v>
      </c>
      <c r="N459" t="s">
        <v>31</v>
      </c>
    </row>
    <row r="460" spans="1:14" hidden="1">
      <c r="A460" t="s">
        <v>1266</v>
      </c>
      <c r="B460" t="s">
        <v>2448</v>
      </c>
      <c r="C460" t="s">
        <v>1752</v>
      </c>
      <c r="D460">
        <v>2024</v>
      </c>
      <c r="E460" t="s">
        <v>1752</v>
      </c>
      <c r="H460" t="e">
        <v>#N/A</v>
      </c>
      <c r="I460" t="e">
        <v>#N/A</v>
      </c>
      <c r="N460" t="s">
        <v>31</v>
      </c>
    </row>
    <row r="461" spans="1:14" hidden="1">
      <c r="A461" t="s">
        <v>1267</v>
      </c>
      <c r="B461" t="s">
        <v>2449</v>
      </c>
      <c r="C461" t="s">
        <v>1752</v>
      </c>
      <c r="D461">
        <v>2023</v>
      </c>
      <c r="E461" t="s">
        <v>1752</v>
      </c>
      <c r="H461" t="e">
        <v>#N/A</v>
      </c>
      <c r="I461" t="e">
        <v>#N/A</v>
      </c>
      <c r="N461" t="s">
        <v>31</v>
      </c>
    </row>
    <row r="462" spans="1:14" hidden="1">
      <c r="A462" t="s">
        <v>1268</v>
      </c>
      <c r="B462" t="s">
        <v>2450</v>
      </c>
      <c r="C462" t="s">
        <v>1752</v>
      </c>
      <c r="D462">
        <v>2025</v>
      </c>
      <c r="E462" t="s">
        <v>1752</v>
      </c>
      <c r="H462" t="e">
        <v>#N/A</v>
      </c>
      <c r="I462" t="e">
        <v>#N/A</v>
      </c>
      <c r="N462" t="s">
        <v>31</v>
      </c>
    </row>
    <row r="463" spans="1:14" hidden="1">
      <c r="A463" t="s">
        <v>1269</v>
      </c>
      <c r="B463" t="s">
        <v>2451</v>
      </c>
      <c r="C463" t="s">
        <v>1752</v>
      </c>
      <c r="D463">
        <v>2024</v>
      </c>
      <c r="E463" t="s">
        <v>1752</v>
      </c>
      <c r="H463" t="e">
        <v>#N/A</v>
      </c>
      <c r="I463" t="e">
        <v>#N/A</v>
      </c>
      <c r="N463" t="s">
        <v>31</v>
      </c>
    </row>
    <row r="464" spans="1:14" hidden="1">
      <c r="A464" t="s">
        <v>1270</v>
      </c>
      <c r="B464" t="s">
        <v>2452</v>
      </c>
      <c r="C464" t="s">
        <v>2453</v>
      </c>
      <c r="D464">
        <v>2024</v>
      </c>
      <c r="E464" t="s">
        <v>2716</v>
      </c>
      <c r="F464" t="s">
        <v>29</v>
      </c>
      <c r="H464" t="s">
        <v>30</v>
      </c>
      <c r="I464" t="s">
        <v>3733</v>
      </c>
      <c r="J464" t="s">
        <v>31</v>
      </c>
      <c r="N464" t="s">
        <v>31</v>
      </c>
    </row>
    <row r="465" spans="1:14" hidden="1">
      <c r="A465" t="s">
        <v>1271</v>
      </c>
      <c r="B465" t="s">
        <v>2454</v>
      </c>
      <c r="C465" t="s">
        <v>1752</v>
      </c>
      <c r="D465">
        <v>2025</v>
      </c>
      <c r="E465" t="s">
        <v>1752</v>
      </c>
      <c r="H465" t="e">
        <v>#N/A</v>
      </c>
      <c r="I465" t="e">
        <v>#N/A</v>
      </c>
      <c r="N465" t="s">
        <v>31</v>
      </c>
    </row>
    <row r="466" spans="1:14" hidden="1">
      <c r="A466" t="s">
        <v>1272</v>
      </c>
      <c r="B466" t="s">
        <v>2455</v>
      </c>
      <c r="C466" t="s">
        <v>2456</v>
      </c>
      <c r="D466">
        <v>2025</v>
      </c>
      <c r="E466" t="s">
        <v>2781</v>
      </c>
      <c r="F466" t="s">
        <v>29</v>
      </c>
      <c r="H466" t="s">
        <v>30</v>
      </c>
      <c r="I466" t="s">
        <v>30</v>
      </c>
      <c r="J466" t="s">
        <v>30</v>
      </c>
      <c r="K466" t="s">
        <v>30</v>
      </c>
      <c r="L466" t="s">
        <v>12</v>
      </c>
      <c r="M466" s="22" t="s">
        <v>1752</v>
      </c>
      <c r="N466" t="s">
        <v>31</v>
      </c>
    </row>
    <row r="467" spans="1:14" hidden="1">
      <c r="A467" t="s">
        <v>1273</v>
      </c>
      <c r="B467" t="s">
        <v>2457</v>
      </c>
      <c r="C467" t="s">
        <v>1752</v>
      </c>
      <c r="D467">
        <v>2024</v>
      </c>
      <c r="E467" t="s">
        <v>1752</v>
      </c>
      <c r="H467" t="e">
        <v>#N/A</v>
      </c>
      <c r="I467" t="e">
        <v>#N/A</v>
      </c>
      <c r="N467" t="s">
        <v>31</v>
      </c>
    </row>
    <row r="468" spans="1:14" hidden="1">
      <c r="A468" t="s">
        <v>1274</v>
      </c>
      <c r="B468" t="s">
        <v>2458</v>
      </c>
      <c r="C468" t="s">
        <v>1752</v>
      </c>
      <c r="D468">
        <v>2023</v>
      </c>
      <c r="E468" t="s">
        <v>1752</v>
      </c>
      <c r="H468" t="e">
        <v>#N/A</v>
      </c>
      <c r="I468" t="e">
        <v>#N/A</v>
      </c>
      <c r="N468" t="s">
        <v>31</v>
      </c>
    </row>
    <row r="469" spans="1:14" hidden="1">
      <c r="A469" t="s">
        <v>1275</v>
      </c>
      <c r="B469" t="s">
        <v>2459</v>
      </c>
      <c r="C469" t="s">
        <v>2460</v>
      </c>
      <c r="D469">
        <v>2024</v>
      </c>
      <c r="E469" t="s">
        <v>2674</v>
      </c>
      <c r="F469" t="s">
        <v>29</v>
      </c>
      <c r="H469" t="s">
        <v>30</v>
      </c>
      <c r="I469" t="s">
        <v>30</v>
      </c>
      <c r="J469" t="s">
        <v>30</v>
      </c>
      <c r="K469" t="s">
        <v>30</v>
      </c>
      <c r="L469" t="s">
        <v>12</v>
      </c>
      <c r="M469" s="22" t="s">
        <v>1752</v>
      </c>
      <c r="N469" t="s">
        <v>31</v>
      </c>
    </row>
    <row r="470" spans="1:14" hidden="1">
      <c r="A470" t="s">
        <v>1276</v>
      </c>
      <c r="B470" t="s">
        <v>2461</v>
      </c>
      <c r="C470" t="s">
        <v>2462</v>
      </c>
      <c r="D470">
        <v>2024</v>
      </c>
      <c r="E470" t="s">
        <v>2713</v>
      </c>
      <c r="F470" t="s">
        <v>29</v>
      </c>
      <c r="H470" t="s">
        <v>30</v>
      </c>
      <c r="I470" t="s">
        <v>3733</v>
      </c>
      <c r="J470" t="s">
        <v>31</v>
      </c>
      <c r="N470" t="s">
        <v>31</v>
      </c>
    </row>
    <row r="471" spans="1:14" hidden="1">
      <c r="A471" t="s">
        <v>1277</v>
      </c>
      <c r="B471" t="s">
        <v>2463</v>
      </c>
      <c r="C471" t="s">
        <v>2464</v>
      </c>
      <c r="D471">
        <v>2023</v>
      </c>
      <c r="E471" t="s">
        <v>2612</v>
      </c>
      <c r="F471" t="s">
        <v>29</v>
      </c>
      <c r="H471" t="s">
        <v>30</v>
      </c>
      <c r="I471" t="s">
        <v>30</v>
      </c>
      <c r="J471" t="s">
        <v>30</v>
      </c>
      <c r="K471" t="s">
        <v>30</v>
      </c>
      <c r="L471" t="s">
        <v>12</v>
      </c>
      <c r="M471" s="22" t="s">
        <v>1752</v>
      </c>
      <c r="N471" t="s">
        <v>31</v>
      </c>
    </row>
    <row r="472" spans="1:14" hidden="1">
      <c r="A472" t="s">
        <v>1278</v>
      </c>
      <c r="B472" t="s">
        <v>2465</v>
      </c>
      <c r="C472" t="s">
        <v>1752</v>
      </c>
      <c r="D472">
        <v>2024</v>
      </c>
      <c r="E472" t="s">
        <v>1752</v>
      </c>
      <c r="H472" t="e">
        <v>#N/A</v>
      </c>
      <c r="I472" t="e">
        <v>#N/A</v>
      </c>
      <c r="N472" t="s">
        <v>31</v>
      </c>
    </row>
    <row r="473" spans="1:14" hidden="1">
      <c r="A473" t="s">
        <v>1279</v>
      </c>
      <c r="B473" t="s">
        <v>2466</v>
      </c>
      <c r="C473" t="s">
        <v>1752</v>
      </c>
      <c r="D473">
        <v>2023</v>
      </c>
      <c r="E473" t="s">
        <v>1752</v>
      </c>
      <c r="H473" t="e">
        <v>#N/A</v>
      </c>
      <c r="I473" t="e">
        <v>#N/A</v>
      </c>
      <c r="N473" t="s">
        <v>31</v>
      </c>
    </row>
    <row r="474" spans="1:14" hidden="1">
      <c r="A474" t="s">
        <v>1280</v>
      </c>
      <c r="B474" t="s">
        <v>2467</v>
      </c>
      <c r="C474" t="s">
        <v>1752</v>
      </c>
      <c r="D474">
        <v>2023</v>
      </c>
      <c r="E474" t="s">
        <v>1752</v>
      </c>
      <c r="H474" t="e">
        <v>#N/A</v>
      </c>
      <c r="I474" t="e">
        <v>#N/A</v>
      </c>
      <c r="N474" t="s">
        <v>31</v>
      </c>
    </row>
    <row r="475" spans="1:14" hidden="1">
      <c r="A475" t="s">
        <v>1281</v>
      </c>
      <c r="B475" t="s">
        <v>2468</v>
      </c>
      <c r="C475" t="s">
        <v>1752</v>
      </c>
      <c r="D475">
        <v>2023</v>
      </c>
      <c r="E475" t="s">
        <v>1752</v>
      </c>
      <c r="H475" t="e">
        <v>#N/A</v>
      </c>
      <c r="I475" t="e">
        <v>#N/A</v>
      </c>
      <c r="N475" t="s">
        <v>31</v>
      </c>
    </row>
    <row r="476" spans="1:14" hidden="1">
      <c r="A476" t="s">
        <v>1282</v>
      </c>
      <c r="B476" t="s">
        <v>2469</v>
      </c>
      <c r="C476" t="s">
        <v>1752</v>
      </c>
      <c r="D476">
        <v>2023</v>
      </c>
      <c r="E476" t="s">
        <v>1752</v>
      </c>
      <c r="H476" t="e">
        <v>#N/A</v>
      </c>
      <c r="I476" t="e">
        <v>#N/A</v>
      </c>
      <c r="N476" t="s">
        <v>31</v>
      </c>
    </row>
    <row r="477" spans="1:14" hidden="1">
      <c r="A477" t="s">
        <v>1283</v>
      </c>
      <c r="B477" t="s">
        <v>2470</v>
      </c>
      <c r="C477" t="s">
        <v>1752</v>
      </c>
      <c r="D477">
        <v>2023</v>
      </c>
      <c r="E477" t="s">
        <v>1752</v>
      </c>
      <c r="H477" t="e">
        <v>#N/A</v>
      </c>
      <c r="I477" t="e">
        <v>#N/A</v>
      </c>
      <c r="N477" t="s">
        <v>31</v>
      </c>
    </row>
    <row r="478" spans="1:14" hidden="1">
      <c r="A478" t="s">
        <v>1284</v>
      </c>
      <c r="B478" t="s">
        <v>2471</v>
      </c>
      <c r="C478" t="s">
        <v>1752</v>
      </c>
      <c r="D478">
        <v>2023</v>
      </c>
      <c r="E478" t="s">
        <v>1752</v>
      </c>
      <c r="H478" t="e">
        <v>#N/A</v>
      </c>
      <c r="I478" t="e">
        <v>#N/A</v>
      </c>
      <c r="N478" t="s">
        <v>31</v>
      </c>
    </row>
    <row r="479" spans="1:14" hidden="1">
      <c r="A479" t="s">
        <v>1285</v>
      </c>
      <c r="B479" t="s">
        <v>2472</v>
      </c>
      <c r="C479" t="s">
        <v>1752</v>
      </c>
      <c r="D479">
        <v>2024</v>
      </c>
      <c r="E479" t="s">
        <v>1752</v>
      </c>
      <c r="H479" t="e">
        <v>#N/A</v>
      </c>
      <c r="I479" t="e">
        <v>#N/A</v>
      </c>
      <c r="N479" t="s">
        <v>31</v>
      </c>
    </row>
    <row r="480" spans="1:14" hidden="1">
      <c r="A480" t="s">
        <v>1286</v>
      </c>
      <c r="B480" t="s">
        <v>2473</v>
      </c>
      <c r="C480" t="s">
        <v>1752</v>
      </c>
      <c r="D480">
        <v>2024</v>
      </c>
      <c r="E480" t="s">
        <v>1752</v>
      </c>
      <c r="H480" t="e">
        <v>#N/A</v>
      </c>
      <c r="I480" t="e">
        <v>#N/A</v>
      </c>
      <c r="N480" t="s">
        <v>31</v>
      </c>
    </row>
    <row r="481" spans="1:14" hidden="1">
      <c r="A481" t="s">
        <v>1287</v>
      </c>
      <c r="B481" t="s">
        <v>2474</v>
      </c>
      <c r="C481" t="s">
        <v>2475</v>
      </c>
      <c r="D481">
        <v>2024</v>
      </c>
      <c r="E481" t="s">
        <v>2782</v>
      </c>
      <c r="F481" t="s">
        <v>29</v>
      </c>
      <c r="H481" t="s">
        <v>30</v>
      </c>
      <c r="I481" t="s">
        <v>30</v>
      </c>
      <c r="J481" t="s">
        <v>30</v>
      </c>
      <c r="K481" t="s">
        <v>30</v>
      </c>
      <c r="L481" t="s">
        <v>12</v>
      </c>
      <c r="M481" s="22" t="s">
        <v>1752</v>
      </c>
      <c r="N481" t="s">
        <v>31</v>
      </c>
    </row>
    <row r="482" spans="1:14" hidden="1">
      <c r="A482" t="s">
        <v>1288</v>
      </c>
      <c r="B482" t="s">
        <v>2476</v>
      </c>
      <c r="C482" t="s">
        <v>1752</v>
      </c>
      <c r="D482">
        <v>2024</v>
      </c>
      <c r="E482" t="s">
        <v>1752</v>
      </c>
      <c r="H482" t="e">
        <v>#N/A</v>
      </c>
      <c r="I482" t="e">
        <v>#N/A</v>
      </c>
      <c r="N482" t="s">
        <v>31</v>
      </c>
    </row>
    <row r="483" spans="1:14" hidden="1">
      <c r="A483" t="s">
        <v>1289</v>
      </c>
      <c r="B483" t="s">
        <v>2477</v>
      </c>
      <c r="C483" t="s">
        <v>1752</v>
      </c>
      <c r="D483">
        <v>2024</v>
      </c>
      <c r="E483" t="s">
        <v>1752</v>
      </c>
      <c r="H483" t="e">
        <v>#N/A</v>
      </c>
      <c r="I483" t="e">
        <v>#N/A</v>
      </c>
      <c r="N483" t="s">
        <v>31</v>
      </c>
    </row>
    <row r="484" spans="1:14" hidden="1">
      <c r="A484" t="s">
        <v>1290</v>
      </c>
      <c r="B484" t="s">
        <v>2478</v>
      </c>
      <c r="C484" t="s">
        <v>1752</v>
      </c>
      <c r="D484">
        <v>2023</v>
      </c>
      <c r="E484" t="s">
        <v>1752</v>
      </c>
      <c r="H484" t="e">
        <v>#N/A</v>
      </c>
      <c r="I484" t="e">
        <v>#N/A</v>
      </c>
      <c r="N484" t="s">
        <v>31</v>
      </c>
    </row>
    <row r="485" spans="1:14" hidden="1">
      <c r="A485" t="s">
        <v>1291</v>
      </c>
      <c r="B485" t="s">
        <v>2479</v>
      </c>
      <c r="C485" t="s">
        <v>2480</v>
      </c>
      <c r="D485">
        <v>2024</v>
      </c>
      <c r="E485" t="s">
        <v>2584</v>
      </c>
      <c r="F485" t="s">
        <v>29</v>
      </c>
      <c r="H485" t="s">
        <v>30</v>
      </c>
      <c r="I485" t="s">
        <v>30</v>
      </c>
      <c r="J485" t="s">
        <v>30</v>
      </c>
      <c r="K485" t="s">
        <v>30</v>
      </c>
      <c r="L485" t="s">
        <v>12</v>
      </c>
      <c r="M485" s="22" t="s">
        <v>1752</v>
      </c>
      <c r="N485" t="s">
        <v>31</v>
      </c>
    </row>
    <row r="486" spans="1:14" hidden="1">
      <c r="A486" t="s">
        <v>1292</v>
      </c>
      <c r="B486" t="s">
        <v>1332</v>
      </c>
      <c r="C486" t="s">
        <v>1752</v>
      </c>
      <c r="D486">
        <v>2024</v>
      </c>
      <c r="E486" t="s">
        <v>1752</v>
      </c>
      <c r="H486" t="e">
        <v>#N/A</v>
      </c>
      <c r="I486" t="e">
        <v>#N/A</v>
      </c>
      <c r="N486" t="s">
        <v>31</v>
      </c>
    </row>
    <row r="487" spans="1:14" hidden="1">
      <c r="A487" t="s">
        <v>1293</v>
      </c>
      <c r="B487" t="s">
        <v>2481</v>
      </c>
      <c r="C487" t="s">
        <v>2482</v>
      </c>
      <c r="D487">
        <v>2024</v>
      </c>
      <c r="E487" t="s">
        <v>2783</v>
      </c>
      <c r="F487" t="s">
        <v>29</v>
      </c>
      <c r="H487" t="s">
        <v>30</v>
      </c>
      <c r="I487" t="s">
        <v>3733</v>
      </c>
      <c r="J487" t="s">
        <v>31</v>
      </c>
      <c r="N487" t="s">
        <v>31</v>
      </c>
    </row>
    <row r="488" spans="1:14" hidden="1">
      <c r="A488" t="s">
        <v>1294</v>
      </c>
      <c r="B488" t="s">
        <v>2483</v>
      </c>
      <c r="C488" t="s">
        <v>1752</v>
      </c>
      <c r="D488">
        <v>2025</v>
      </c>
      <c r="E488" t="s">
        <v>1752</v>
      </c>
      <c r="H488" t="e">
        <v>#N/A</v>
      </c>
      <c r="I488" t="e">
        <v>#N/A</v>
      </c>
      <c r="N488" t="s">
        <v>31</v>
      </c>
    </row>
    <row r="489" spans="1:14" hidden="1">
      <c r="A489" t="s">
        <v>1295</v>
      </c>
      <c r="B489" t="s">
        <v>2484</v>
      </c>
      <c r="C489" t="s">
        <v>1752</v>
      </c>
      <c r="D489">
        <v>2023</v>
      </c>
      <c r="E489" t="s">
        <v>1752</v>
      </c>
      <c r="H489" t="e">
        <v>#N/A</v>
      </c>
      <c r="I489" t="e">
        <v>#N/A</v>
      </c>
      <c r="N489" t="s">
        <v>31</v>
      </c>
    </row>
    <row r="490" spans="1:14" hidden="1">
      <c r="A490" t="s">
        <v>1296</v>
      </c>
      <c r="B490" t="s">
        <v>2485</v>
      </c>
      <c r="C490" t="s">
        <v>2486</v>
      </c>
      <c r="D490">
        <v>2023</v>
      </c>
      <c r="E490" t="s">
        <v>2784</v>
      </c>
      <c r="F490" t="s">
        <v>29</v>
      </c>
      <c r="H490" t="s">
        <v>31</v>
      </c>
      <c r="I490" t="s">
        <v>30</v>
      </c>
      <c r="J490" t="s">
        <v>31</v>
      </c>
      <c r="N490" t="s">
        <v>31</v>
      </c>
    </row>
    <row r="491" spans="1:14" hidden="1">
      <c r="A491" t="s">
        <v>1297</v>
      </c>
      <c r="B491" t="s">
        <v>2487</v>
      </c>
      <c r="C491" t="s">
        <v>2488</v>
      </c>
      <c r="D491">
        <v>2025</v>
      </c>
      <c r="E491" t="s">
        <v>2707</v>
      </c>
      <c r="F491" t="s">
        <v>29</v>
      </c>
      <c r="H491" t="s">
        <v>30</v>
      </c>
      <c r="I491" t="s">
        <v>30</v>
      </c>
      <c r="J491" t="s">
        <v>30</v>
      </c>
      <c r="K491" t="s">
        <v>30</v>
      </c>
      <c r="L491" t="s">
        <v>12</v>
      </c>
      <c r="M491" s="22" t="s">
        <v>1752</v>
      </c>
      <c r="N491" t="s">
        <v>31</v>
      </c>
    </row>
    <row r="492" spans="1:14" hidden="1">
      <c r="A492" t="s">
        <v>1298</v>
      </c>
      <c r="B492" t="s">
        <v>2489</v>
      </c>
      <c r="C492" t="s">
        <v>1752</v>
      </c>
      <c r="D492">
        <v>2023</v>
      </c>
      <c r="E492" t="s">
        <v>1752</v>
      </c>
      <c r="H492" t="e">
        <v>#N/A</v>
      </c>
      <c r="I492" t="e">
        <v>#N/A</v>
      </c>
      <c r="N492" t="s">
        <v>31</v>
      </c>
    </row>
    <row r="493" spans="1:14" hidden="1">
      <c r="A493" t="s">
        <v>1299</v>
      </c>
      <c r="B493" t="s">
        <v>2490</v>
      </c>
      <c r="C493" t="s">
        <v>1752</v>
      </c>
      <c r="D493">
        <v>2024</v>
      </c>
      <c r="E493" t="s">
        <v>1752</v>
      </c>
      <c r="H493" t="e">
        <v>#N/A</v>
      </c>
      <c r="I493" t="e">
        <v>#N/A</v>
      </c>
      <c r="N493" t="s">
        <v>31</v>
      </c>
    </row>
    <row r="494" spans="1:14" hidden="1">
      <c r="A494" t="s">
        <v>1300</v>
      </c>
      <c r="B494" t="s">
        <v>2491</v>
      </c>
      <c r="C494" t="s">
        <v>1752</v>
      </c>
      <c r="D494">
        <v>2023</v>
      </c>
      <c r="E494" t="s">
        <v>1752</v>
      </c>
      <c r="H494" t="e">
        <v>#N/A</v>
      </c>
      <c r="I494" t="e">
        <v>#N/A</v>
      </c>
      <c r="N494" t="s">
        <v>31</v>
      </c>
    </row>
    <row r="495" spans="1:14" hidden="1">
      <c r="A495" t="s">
        <v>1301</v>
      </c>
      <c r="B495" t="s">
        <v>2492</v>
      </c>
      <c r="C495" t="s">
        <v>1752</v>
      </c>
      <c r="D495">
        <v>2022</v>
      </c>
      <c r="E495" t="s">
        <v>1752</v>
      </c>
      <c r="H495" t="e">
        <v>#N/A</v>
      </c>
      <c r="I495" t="e">
        <v>#N/A</v>
      </c>
      <c r="N495" t="s">
        <v>31</v>
      </c>
    </row>
    <row r="496" spans="1:14" hidden="1">
      <c r="A496" t="s">
        <v>1302</v>
      </c>
      <c r="B496" t="s">
        <v>2493</v>
      </c>
      <c r="C496" t="s">
        <v>1752</v>
      </c>
      <c r="D496">
        <v>2024</v>
      </c>
      <c r="E496" t="s">
        <v>1752</v>
      </c>
      <c r="H496" t="e">
        <v>#N/A</v>
      </c>
      <c r="I496" t="e">
        <v>#N/A</v>
      </c>
      <c r="N496" t="s">
        <v>31</v>
      </c>
    </row>
    <row r="497" spans="1:14" hidden="1">
      <c r="A497" t="s">
        <v>1303</v>
      </c>
      <c r="B497" t="s">
        <v>2494</v>
      </c>
      <c r="C497" t="s">
        <v>1752</v>
      </c>
      <c r="D497">
        <v>2024</v>
      </c>
      <c r="E497" t="s">
        <v>1752</v>
      </c>
      <c r="H497" t="e">
        <v>#N/A</v>
      </c>
      <c r="I497" t="e">
        <v>#N/A</v>
      </c>
      <c r="N497" t="s">
        <v>31</v>
      </c>
    </row>
    <row r="498" spans="1:14" hidden="1">
      <c r="A498" t="s">
        <v>1304</v>
      </c>
      <c r="B498" t="s">
        <v>2495</v>
      </c>
      <c r="C498" t="s">
        <v>2496</v>
      </c>
      <c r="D498">
        <v>2025</v>
      </c>
      <c r="E498" t="s">
        <v>2785</v>
      </c>
      <c r="F498" t="s">
        <v>29</v>
      </c>
      <c r="H498" t="s">
        <v>30</v>
      </c>
      <c r="I498" t="s">
        <v>30</v>
      </c>
      <c r="J498" t="s">
        <v>30</v>
      </c>
      <c r="K498" t="s">
        <v>30</v>
      </c>
      <c r="L498" t="s">
        <v>12</v>
      </c>
      <c r="M498" s="22" t="s">
        <v>1752</v>
      </c>
      <c r="N498" t="s">
        <v>31</v>
      </c>
    </row>
    <row r="499" spans="1:14" hidden="1">
      <c r="A499" t="s">
        <v>1305</v>
      </c>
      <c r="B499" t="s">
        <v>2497</v>
      </c>
      <c r="C499" t="s">
        <v>2498</v>
      </c>
      <c r="D499">
        <v>2023</v>
      </c>
      <c r="E499" t="s">
        <v>2747</v>
      </c>
      <c r="F499" t="s">
        <v>29</v>
      </c>
      <c r="H499" t="s">
        <v>31</v>
      </c>
      <c r="I499" t="s">
        <v>30</v>
      </c>
      <c r="J499" t="s">
        <v>31</v>
      </c>
      <c r="N499" t="s">
        <v>31</v>
      </c>
    </row>
    <row r="500" spans="1:14" hidden="1">
      <c r="A500" t="s">
        <v>1306</v>
      </c>
      <c r="B500" t="s">
        <v>2499</v>
      </c>
      <c r="C500" t="s">
        <v>1752</v>
      </c>
      <c r="D500">
        <v>2023</v>
      </c>
      <c r="E500" t="s">
        <v>1752</v>
      </c>
      <c r="H500" t="e">
        <v>#N/A</v>
      </c>
      <c r="I500" t="e">
        <v>#N/A</v>
      </c>
      <c r="N500" t="s">
        <v>31</v>
      </c>
    </row>
    <row r="501" spans="1:14" hidden="1">
      <c r="A501" t="s">
        <v>1307</v>
      </c>
      <c r="B501" t="s">
        <v>2500</v>
      </c>
      <c r="C501" t="s">
        <v>2501</v>
      </c>
      <c r="D501">
        <v>2023</v>
      </c>
      <c r="E501" t="s">
        <v>2576</v>
      </c>
      <c r="F501" t="s">
        <v>29</v>
      </c>
      <c r="H501" t="s">
        <v>31</v>
      </c>
      <c r="I501" t="s">
        <v>30</v>
      </c>
      <c r="J501" t="s">
        <v>31</v>
      </c>
      <c r="N501" t="s">
        <v>31</v>
      </c>
    </row>
    <row r="502" spans="1:14" hidden="1">
      <c r="A502" t="s">
        <v>1308</v>
      </c>
      <c r="B502" t="s">
        <v>2502</v>
      </c>
      <c r="C502" t="s">
        <v>2503</v>
      </c>
      <c r="D502">
        <v>2024</v>
      </c>
      <c r="E502" t="s">
        <v>2786</v>
      </c>
      <c r="F502" t="s">
        <v>29</v>
      </c>
      <c r="H502" t="s">
        <v>30</v>
      </c>
      <c r="I502" t="s">
        <v>30</v>
      </c>
      <c r="J502" t="s">
        <v>30</v>
      </c>
      <c r="K502" t="s">
        <v>30</v>
      </c>
      <c r="L502" t="s">
        <v>12</v>
      </c>
      <c r="M502" s="22" t="s">
        <v>1752</v>
      </c>
      <c r="N502" t="s">
        <v>31</v>
      </c>
    </row>
    <row r="503" spans="1:14" hidden="1">
      <c r="A503" t="s">
        <v>1309</v>
      </c>
      <c r="B503" t="s">
        <v>2504</v>
      </c>
      <c r="C503" t="s">
        <v>1752</v>
      </c>
      <c r="D503">
        <v>2024</v>
      </c>
      <c r="E503" t="s">
        <v>1752</v>
      </c>
      <c r="H503" t="e">
        <v>#N/A</v>
      </c>
      <c r="I503" t="e">
        <v>#N/A</v>
      </c>
      <c r="N503" t="s">
        <v>31</v>
      </c>
    </row>
    <row r="504" spans="1:14" hidden="1">
      <c r="A504" t="s">
        <v>1310</v>
      </c>
      <c r="B504" t="s">
        <v>2505</v>
      </c>
      <c r="C504" t="s">
        <v>2506</v>
      </c>
      <c r="D504">
        <v>2023</v>
      </c>
      <c r="E504" t="s">
        <v>2787</v>
      </c>
      <c r="F504" t="s">
        <v>29</v>
      </c>
      <c r="H504" t="s">
        <v>30</v>
      </c>
      <c r="I504" t="s">
        <v>30</v>
      </c>
      <c r="J504" t="s">
        <v>30</v>
      </c>
      <c r="K504" t="s">
        <v>30</v>
      </c>
      <c r="L504" t="s">
        <v>12</v>
      </c>
      <c r="M504" s="22" t="s">
        <v>1752</v>
      </c>
      <c r="N504" t="s">
        <v>31</v>
      </c>
    </row>
    <row r="505" spans="1:14" hidden="1">
      <c r="A505" t="s">
        <v>1311</v>
      </c>
      <c r="B505" t="s">
        <v>2507</v>
      </c>
      <c r="C505" t="s">
        <v>1752</v>
      </c>
      <c r="D505">
        <v>2023</v>
      </c>
      <c r="E505" t="s">
        <v>1752</v>
      </c>
      <c r="H505" t="e">
        <v>#N/A</v>
      </c>
      <c r="I505" t="e">
        <v>#N/A</v>
      </c>
      <c r="N505" t="s">
        <v>31</v>
      </c>
    </row>
    <row r="506" spans="1:14" hidden="1">
      <c r="A506" t="s">
        <v>1312</v>
      </c>
      <c r="B506" t="s">
        <v>2508</v>
      </c>
      <c r="C506" t="s">
        <v>2509</v>
      </c>
      <c r="D506">
        <v>2023</v>
      </c>
      <c r="E506" t="s">
        <v>2788</v>
      </c>
      <c r="F506" t="s">
        <v>29</v>
      </c>
      <c r="H506" t="s">
        <v>31</v>
      </c>
      <c r="I506" t="s">
        <v>30</v>
      </c>
      <c r="J506" t="s">
        <v>31</v>
      </c>
      <c r="N506" t="s">
        <v>31</v>
      </c>
    </row>
    <row r="507" spans="1:14" hidden="1">
      <c r="A507" t="s">
        <v>1313</v>
      </c>
      <c r="B507" t="s">
        <v>2510</v>
      </c>
      <c r="C507" t="s">
        <v>1752</v>
      </c>
      <c r="D507">
        <v>2025</v>
      </c>
      <c r="E507" t="s">
        <v>1752</v>
      </c>
      <c r="H507" t="e">
        <v>#N/A</v>
      </c>
      <c r="I507" t="e">
        <v>#N/A</v>
      </c>
      <c r="N507" t="s">
        <v>31</v>
      </c>
    </row>
    <row r="508" spans="1:14" hidden="1">
      <c r="A508" t="s">
        <v>1314</v>
      </c>
      <c r="B508" t="s">
        <v>2511</v>
      </c>
      <c r="C508" t="s">
        <v>1752</v>
      </c>
      <c r="D508">
        <v>2024</v>
      </c>
      <c r="E508" t="s">
        <v>1752</v>
      </c>
      <c r="H508" t="e">
        <v>#N/A</v>
      </c>
      <c r="I508" t="e">
        <v>#N/A</v>
      </c>
      <c r="N508" t="s">
        <v>31</v>
      </c>
    </row>
    <row r="509" spans="1:14" hidden="1">
      <c r="A509" t="s">
        <v>1315</v>
      </c>
      <c r="B509" t="s">
        <v>2512</v>
      </c>
      <c r="C509" t="s">
        <v>1752</v>
      </c>
      <c r="D509">
        <v>2023</v>
      </c>
      <c r="E509" t="s">
        <v>1752</v>
      </c>
      <c r="H509" t="e">
        <v>#N/A</v>
      </c>
      <c r="I509" t="e">
        <v>#N/A</v>
      </c>
      <c r="N509" t="s">
        <v>31</v>
      </c>
    </row>
    <row r="510" spans="1:14" hidden="1">
      <c r="A510" t="s">
        <v>1316</v>
      </c>
      <c r="B510" t="s">
        <v>2513</v>
      </c>
      <c r="C510" t="s">
        <v>1752</v>
      </c>
      <c r="D510">
        <v>2024</v>
      </c>
      <c r="E510" t="s">
        <v>1752</v>
      </c>
      <c r="H510" t="e">
        <v>#N/A</v>
      </c>
      <c r="I510" t="e">
        <v>#N/A</v>
      </c>
      <c r="N510" t="s">
        <v>31</v>
      </c>
    </row>
    <row r="511" spans="1:14" hidden="1">
      <c r="A511" t="s">
        <v>1317</v>
      </c>
      <c r="B511" t="s">
        <v>2514</v>
      </c>
      <c r="C511" t="s">
        <v>2515</v>
      </c>
      <c r="D511">
        <v>2024</v>
      </c>
      <c r="E511" t="s">
        <v>2789</v>
      </c>
      <c r="F511" t="s">
        <v>29</v>
      </c>
      <c r="H511" t="s">
        <v>30</v>
      </c>
      <c r="I511" t="s">
        <v>30</v>
      </c>
      <c r="J511" t="s">
        <v>30</v>
      </c>
      <c r="K511" t="s">
        <v>30</v>
      </c>
      <c r="L511" t="s">
        <v>12</v>
      </c>
      <c r="M511" s="22" t="s">
        <v>1752</v>
      </c>
      <c r="N511" t="s">
        <v>31</v>
      </c>
    </row>
    <row r="512" spans="1:14" hidden="1">
      <c r="A512" t="s">
        <v>1318</v>
      </c>
      <c r="B512" t="s">
        <v>2516</v>
      </c>
      <c r="C512" t="s">
        <v>1752</v>
      </c>
      <c r="D512">
        <v>2024</v>
      </c>
      <c r="E512" t="s">
        <v>1752</v>
      </c>
      <c r="H512" t="e">
        <v>#N/A</v>
      </c>
      <c r="I512" t="e">
        <v>#N/A</v>
      </c>
      <c r="N512" t="s">
        <v>31</v>
      </c>
    </row>
    <row r="513" spans="1:14" hidden="1">
      <c r="A513" t="s">
        <v>1319</v>
      </c>
      <c r="B513" t="s">
        <v>2517</v>
      </c>
      <c r="C513" t="s">
        <v>2518</v>
      </c>
      <c r="D513">
        <v>2023</v>
      </c>
      <c r="E513" t="s">
        <v>2728</v>
      </c>
      <c r="F513" t="s">
        <v>29</v>
      </c>
      <c r="H513" t="s">
        <v>30</v>
      </c>
      <c r="I513" t="s">
        <v>30</v>
      </c>
      <c r="J513" t="s">
        <v>30</v>
      </c>
      <c r="K513" t="s">
        <v>30</v>
      </c>
      <c r="L513" t="s">
        <v>12</v>
      </c>
      <c r="M513" s="22" t="s">
        <v>1752</v>
      </c>
      <c r="N513" t="s">
        <v>31</v>
      </c>
    </row>
    <row r="514" spans="1:14" hidden="1">
      <c r="A514" t="s">
        <v>1320</v>
      </c>
      <c r="B514" t="s">
        <v>2519</v>
      </c>
      <c r="C514" t="s">
        <v>2520</v>
      </c>
      <c r="D514">
        <v>2023</v>
      </c>
      <c r="E514" t="s">
        <v>2790</v>
      </c>
      <c r="F514" t="s">
        <v>29</v>
      </c>
      <c r="H514" t="s">
        <v>30</v>
      </c>
      <c r="I514" t="s">
        <v>30</v>
      </c>
      <c r="J514" t="s">
        <v>30</v>
      </c>
      <c r="K514" t="s">
        <v>31</v>
      </c>
      <c r="L514" t="s">
        <v>12</v>
      </c>
      <c r="M514" t="s">
        <v>1752</v>
      </c>
      <c r="N514" t="s">
        <v>31</v>
      </c>
    </row>
    <row r="515" spans="1:14" hidden="1">
      <c r="A515" t="s">
        <v>1321</v>
      </c>
      <c r="B515" t="s">
        <v>2521</v>
      </c>
      <c r="C515" t="s">
        <v>2522</v>
      </c>
      <c r="D515">
        <v>2023</v>
      </c>
      <c r="E515" t="s">
        <v>2791</v>
      </c>
      <c r="F515" t="s">
        <v>29</v>
      </c>
      <c r="H515" t="s">
        <v>30</v>
      </c>
      <c r="I515" t="s">
        <v>30</v>
      </c>
      <c r="J515" t="s">
        <v>30</v>
      </c>
      <c r="K515" t="s">
        <v>30</v>
      </c>
      <c r="L515" t="s">
        <v>12</v>
      </c>
      <c r="M515" s="22" t="s">
        <v>1752</v>
      </c>
      <c r="N515" t="s">
        <v>31</v>
      </c>
    </row>
    <row r="516" spans="1:14" hidden="1">
      <c r="A516" t="s">
        <v>1322</v>
      </c>
      <c r="B516" t="s">
        <v>2523</v>
      </c>
      <c r="C516" t="s">
        <v>2524</v>
      </c>
      <c r="D516">
        <v>2023</v>
      </c>
      <c r="E516" t="s">
        <v>2588</v>
      </c>
      <c r="F516" t="s">
        <v>29</v>
      </c>
      <c r="H516" t="s">
        <v>30</v>
      </c>
      <c r="I516" t="s">
        <v>30</v>
      </c>
      <c r="J516" t="s">
        <v>30</v>
      </c>
      <c r="K516" t="s">
        <v>30</v>
      </c>
      <c r="L516" t="s">
        <v>12</v>
      </c>
      <c r="M516" s="22" t="s">
        <v>1752</v>
      </c>
      <c r="N516" t="s">
        <v>31</v>
      </c>
    </row>
    <row r="517" spans="1:14" hidden="1">
      <c r="A517" t="s">
        <v>1323</v>
      </c>
      <c r="B517" t="s">
        <v>2525</v>
      </c>
      <c r="C517" t="s">
        <v>1752</v>
      </c>
      <c r="D517">
        <v>2023</v>
      </c>
      <c r="E517" t="s">
        <v>1752</v>
      </c>
      <c r="H517" t="e">
        <v>#N/A</v>
      </c>
      <c r="I517" t="e">
        <v>#N/A</v>
      </c>
      <c r="N517" t="s">
        <v>31</v>
      </c>
    </row>
    <row r="518" spans="1:14" hidden="1">
      <c r="A518" t="s">
        <v>1324</v>
      </c>
      <c r="B518" t="s">
        <v>2526</v>
      </c>
      <c r="C518" t="s">
        <v>1752</v>
      </c>
      <c r="D518">
        <v>2024</v>
      </c>
      <c r="E518" t="s">
        <v>1752</v>
      </c>
      <c r="H518" t="e">
        <v>#N/A</v>
      </c>
      <c r="I518" t="e">
        <v>#N/A</v>
      </c>
      <c r="N518" t="s">
        <v>31</v>
      </c>
    </row>
    <row r="519" spans="1:14" hidden="1">
      <c r="A519" t="s">
        <v>1325</v>
      </c>
      <c r="B519" t="s">
        <v>2527</v>
      </c>
      <c r="C519" t="s">
        <v>1752</v>
      </c>
      <c r="D519">
        <v>2023</v>
      </c>
      <c r="E519" t="s">
        <v>1752</v>
      </c>
      <c r="H519" t="e">
        <v>#N/A</v>
      </c>
      <c r="I519" t="e">
        <v>#N/A</v>
      </c>
      <c r="N519" t="s">
        <v>31</v>
      </c>
    </row>
    <row r="520" spans="1:14" hidden="1">
      <c r="A520" t="s">
        <v>1326</v>
      </c>
      <c r="B520" t="s">
        <v>2528</v>
      </c>
      <c r="C520" t="s">
        <v>1752</v>
      </c>
      <c r="D520">
        <v>2023</v>
      </c>
      <c r="E520" t="s">
        <v>1752</v>
      </c>
      <c r="H520" t="e">
        <v>#N/A</v>
      </c>
      <c r="I520" t="e">
        <v>#N/A</v>
      </c>
      <c r="N520" t="s">
        <v>31</v>
      </c>
    </row>
    <row r="521" spans="1:14" hidden="1">
      <c r="A521" t="s">
        <v>1327</v>
      </c>
      <c r="B521" t="s">
        <v>2529</v>
      </c>
      <c r="C521" t="s">
        <v>1752</v>
      </c>
      <c r="D521">
        <v>2023</v>
      </c>
      <c r="E521" t="s">
        <v>1752</v>
      </c>
      <c r="H521" t="e">
        <v>#N/A</v>
      </c>
      <c r="I521" t="e">
        <v>#N/A</v>
      </c>
      <c r="N521" t="s">
        <v>31</v>
      </c>
    </row>
    <row r="522" spans="1:14" hidden="1">
      <c r="A522" t="s">
        <v>1328</v>
      </c>
      <c r="B522" t="s">
        <v>2530</v>
      </c>
      <c r="C522" t="s">
        <v>1752</v>
      </c>
      <c r="D522">
        <v>2023</v>
      </c>
      <c r="E522" t="s">
        <v>1752</v>
      </c>
      <c r="H522" t="e">
        <v>#N/A</v>
      </c>
      <c r="I522" t="e">
        <v>#N/A</v>
      </c>
      <c r="N522" t="s">
        <v>31</v>
      </c>
    </row>
    <row r="523" spans="1:14" hidden="1">
      <c r="A523" t="s">
        <v>2795</v>
      </c>
      <c r="B523" t="s">
        <v>2531</v>
      </c>
      <c r="C523" t="s">
        <v>2532</v>
      </c>
      <c r="D523">
        <v>2023</v>
      </c>
      <c r="E523" t="s">
        <v>2744</v>
      </c>
      <c r="F523" t="s">
        <v>29</v>
      </c>
      <c r="H523" t="s">
        <v>30</v>
      </c>
      <c r="I523" t="s">
        <v>30</v>
      </c>
      <c r="J523" t="s">
        <v>30</v>
      </c>
      <c r="K523" t="s">
        <v>30</v>
      </c>
      <c r="L523" t="s">
        <v>12</v>
      </c>
      <c r="M523" s="22" t="s">
        <v>1752</v>
      </c>
      <c r="N523" t="s">
        <v>31</v>
      </c>
    </row>
    <row r="524" spans="1:14" hidden="1">
      <c r="A524" t="s">
        <v>2796</v>
      </c>
      <c r="B524" t="s">
        <v>2533</v>
      </c>
      <c r="C524" t="s">
        <v>2534</v>
      </c>
      <c r="D524">
        <v>2023</v>
      </c>
      <c r="E524" t="s">
        <v>2712</v>
      </c>
      <c r="F524" t="s">
        <v>29</v>
      </c>
      <c r="H524" t="s">
        <v>31</v>
      </c>
      <c r="I524" t="s">
        <v>30</v>
      </c>
      <c r="J524" t="s">
        <v>31</v>
      </c>
      <c r="N524" t="s">
        <v>31</v>
      </c>
    </row>
    <row r="525" spans="1:14" hidden="1">
      <c r="A525" t="s">
        <v>2797</v>
      </c>
      <c r="B525" t="s">
        <v>2535</v>
      </c>
      <c r="C525" t="s">
        <v>1752</v>
      </c>
      <c r="D525">
        <v>2024</v>
      </c>
      <c r="E525" t="s">
        <v>1752</v>
      </c>
      <c r="H525" t="e">
        <v>#N/A</v>
      </c>
      <c r="I525" t="e">
        <v>#N/A</v>
      </c>
      <c r="N525" t="s">
        <v>31</v>
      </c>
    </row>
    <row r="526" spans="1:14" hidden="1">
      <c r="A526" t="s">
        <v>2798</v>
      </c>
      <c r="B526" t="s">
        <v>2536</v>
      </c>
      <c r="C526" t="s">
        <v>1752</v>
      </c>
      <c r="D526">
        <v>2023</v>
      </c>
      <c r="E526" t="s">
        <v>1752</v>
      </c>
      <c r="H526" t="e">
        <v>#N/A</v>
      </c>
      <c r="I526" t="e">
        <v>#N/A</v>
      </c>
      <c r="N526" t="s">
        <v>31</v>
      </c>
    </row>
    <row r="527" spans="1:14" hidden="1">
      <c r="A527" t="s">
        <v>2799</v>
      </c>
      <c r="B527" t="s">
        <v>2537</v>
      </c>
      <c r="C527" t="s">
        <v>1752</v>
      </c>
      <c r="D527">
        <v>2024</v>
      </c>
      <c r="E527" t="s">
        <v>1752</v>
      </c>
      <c r="H527" t="e">
        <v>#N/A</v>
      </c>
      <c r="I527" t="e">
        <v>#N/A</v>
      </c>
      <c r="N527" t="s">
        <v>31</v>
      </c>
    </row>
    <row r="528" spans="1:14" hidden="1">
      <c r="A528" t="s">
        <v>2800</v>
      </c>
      <c r="B528" t="s">
        <v>2538</v>
      </c>
      <c r="C528" t="s">
        <v>1752</v>
      </c>
      <c r="D528">
        <v>2023</v>
      </c>
      <c r="E528" t="s">
        <v>1752</v>
      </c>
      <c r="H528" t="e">
        <v>#N/A</v>
      </c>
      <c r="I528" t="e">
        <v>#N/A</v>
      </c>
      <c r="N528" t="s">
        <v>31</v>
      </c>
    </row>
    <row r="529" spans="1:14" hidden="1">
      <c r="A529" t="s">
        <v>2801</v>
      </c>
      <c r="B529" t="s">
        <v>2539</v>
      </c>
      <c r="C529" t="s">
        <v>1752</v>
      </c>
      <c r="D529">
        <v>2023</v>
      </c>
      <c r="E529" t="s">
        <v>1752</v>
      </c>
      <c r="H529" t="e">
        <v>#N/A</v>
      </c>
      <c r="I529" t="e">
        <v>#N/A</v>
      </c>
      <c r="N529" t="s">
        <v>31</v>
      </c>
    </row>
    <row r="530" spans="1:14" hidden="1">
      <c r="A530" t="s">
        <v>2802</v>
      </c>
      <c r="B530" t="s">
        <v>2540</v>
      </c>
      <c r="C530" t="s">
        <v>1752</v>
      </c>
      <c r="D530">
        <v>2023</v>
      </c>
      <c r="E530" t="s">
        <v>1752</v>
      </c>
      <c r="H530" t="e">
        <v>#N/A</v>
      </c>
      <c r="I530" t="e">
        <v>#N/A</v>
      </c>
      <c r="N530" t="s">
        <v>31</v>
      </c>
    </row>
    <row r="531" spans="1:14" hidden="1">
      <c r="A531" t="s">
        <v>2803</v>
      </c>
      <c r="B531" t="s">
        <v>2541</v>
      </c>
      <c r="C531" t="s">
        <v>1752</v>
      </c>
      <c r="D531">
        <v>2022</v>
      </c>
      <c r="E531" t="s">
        <v>1752</v>
      </c>
      <c r="H531" t="e">
        <v>#N/A</v>
      </c>
      <c r="I531" t="e">
        <v>#N/A</v>
      </c>
      <c r="N531" t="s">
        <v>31</v>
      </c>
    </row>
    <row r="532" spans="1:14" hidden="1">
      <c r="A532" t="s">
        <v>2804</v>
      </c>
      <c r="B532" t="s">
        <v>2542</v>
      </c>
      <c r="C532" t="s">
        <v>1752</v>
      </c>
      <c r="D532">
        <v>2023</v>
      </c>
      <c r="E532" t="s">
        <v>1752</v>
      </c>
      <c r="H532" t="e">
        <v>#N/A</v>
      </c>
      <c r="I532" t="e">
        <v>#N/A</v>
      </c>
      <c r="N532" t="s">
        <v>31</v>
      </c>
    </row>
    <row r="533" spans="1:14" hidden="1">
      <c r="A533" t="s">
        <v>2805</v>
      </c>
      <c r="B533" t="s">
        <v>2543</v>
      </c>
      <c r="C533" t="s">
        <v>1752</v>
      </c>
      <c r="D533">
        <v>2024</v>
      </c>
      <c r="E533" t="s">
        <v>1752</v>
      </c>
      <c r="H533" t="e">
        <v>#N/A</v>
      </c>
      <c r="I533" t="e">
        <v>#N/A</v>
      </c>
      <c r="N533" t="s">
        <v>31</v>
      </c>
    </row>
    <row r="534" spans="1:14" hidden="1">
      <c r="A534" t="s">
        <v>2806</v>
      </c>
      <c r="B534" t="s">
        <v>2544</v>
      </c>
      <c r="C534" t="s">
        <v>2545</v>
      </c>
      <c r="D534">
        <v>2025</v>
      </c>
      <c r="E534" t="s">
        <v>2792</v>
      </c>
      <c r="F534" t="s">
        <v>29</v>
      </c>
      <c r="H534" t="s">
        <v>30</v>
      </c>
      <c r="I534" t="s">
        <v>30</v>
      </c>
      <c r="J534" t="s">
        <v>30</v>
      </c>
      <c r="K534" t="s">
        <v>30</v>
      </c>
      <c r="L534" t="s">
        <v>12</v>
      </c>
      <c r="M534" s="22" t="s">
        <v>1752</v>
      </c>
      <c r="N534" t="s">
        <v>31</v>
      </c>
    </row>
    <row r="535" spans="1:14" hidden="1">
      <c r="A535" t="s">
        <v>2807</v>
      </c>
      <c r="B535" t="s">
        <v>2546</v>
      </c>
      <c r="C535" t="s">
        <v>1752</v>
      </c>
      <c r="D535">
        <v>2023</v>
      </c>
      <c r="E535" t="s">
        <v>1752</v>
      </c>
      <c r="H535" t="e">
        <v>#N/A</v>
      </c>
      <c r="I535" t="e">
        <v>#N/A</v>
      </c>
      <c r="N535" t="s">
        <v>31</v>
      </c>
    </row>
    <row r="536" spans="1:14" hidden="1">
      <c r="A536" t="s">
        <v>2808</v>
      </c>
      <c r="B536" t="s">
        <v>2547</v>
      </c>
      <c r="C536" t="s">
        <v>1752</v>
      </c>
      <c r="D536">
        <v>2023</v>
      </c>
      <c r="E536" t="s">
        <v>1752</v>
      </c>
      <c r="H536" t="e">
        <v>#N/A</v>
      </c>
      <c r="I536" t="e">
        <v>#N/A</v>
      </c>
      <c r="N536" t="s">
        <v>31</v>
      </c>
    </row>
    <row r="537" spans="1:14" hidden="1">
      <c r="A537" t="s">
        <v>2809</v>
      </c>
      <c r="B537" t="s">
        <v>2548</v>
      </c>
      <c r="C537" t="s">
        <v>1752</v>
      </c>
      <c r="D537">
        <v>2022</v>
      </c>
      <c r="E537" t="s">
        <v>1752</v>
      </c>
      <c r="H537" t="e">
        <v>#N/A</v>
      </c>
      <c r="I537" t="e">
        <v>#N/A</v>
      </c>
      <c r="N537" t="s">
        <v>31</v>
      </c>
    </row>
    <row r="538" spans="1:14" hidden="1">
      <c r="A538" t="s">
        <v>2810</v>
      </c>
      <c r="B538" t="s">
        <v>2549</v>
      </c>
      <c r="C538" t="s">
        <v>1752</v>
      </c>
      <c r="D538">
        <v>2022</v>
      </c>
      <c r="E538" t="s">
        <v>1752</v>
      </c>
      <c r="H538" t="e">
        <v>#N/A</v>
      </c>
      <c r="I538" t="e">
        <v>#N/A</v>
      </c>
      <c r="N538" t="s">
        <v>31</v>
      </c>
    </row>
    <row r="539" spans="1:14" hidden="1">
      <c r="A539" t="s">
        <v>2811</v>
      </c>
      <c r="B539" t="s">
        <v>2550</v>
      </c>
      <c r="C539" t="s">
        <v>1752</v>
      </c>
      <c r="D539">
        <v>2025</v>
      </c>
      <c r="E539" t="s">
        <v>1752</v>
      </c>
      <c r="H539" t="e">
        <v>#N/A</v>
      </c>
      <c r="I539" t="e">
        <v>#N/A</v>
      </c>
      <c r="N539" t="s">
        <v>31</v>
      </c>
    </row>
    <row r="540" spans="1:14" hidden="1">
      <c r="A540" t="s">
        <v>2812</v>
      </c>
      <c r="B540" t="s">
        <v>2551</v>
      </c>
      <c r="C540" t="s">
        <v>1752</v>
      </c>
      <c r="D540">
        <v>2023</v>
      </c>
      <c r="E540" t="s">
        <v>1752</v>
      </c>
      <c r="H540" t="e">
        <v>#N/A</v>
      </c>
      <c r="I540" t="e">
        <v>#N/A</v>
      </c>
      <c r="N540" t="s">
        <v>31</v>
      </c>
    </row>
    <row r="541" spans="1:14" hidden="1">
      <c r="A541" t="s">
        <v>2813</v>
      </c>
      <c r="B541" t="s">
        <v>2552</v>
      </c>
      <c r="C541" t="s">
        <v>2553</v>
      </c>
      <c r="D541">
        <v>2023</v>
      </c>
      <c r="E541" t="s">
        <v>2576</v>
      </c>
      <c r="F541" t="s">
        <v>29</v>
      </c>
      <c r="H541" t="s">
        <v>31</v>
      </c>
      <c r="I541" t="s">
        <v>30</v>
      </c>
      <c r="J541" t="s">
        <v>31</v>
      </c>
      <c r="N541" t="s">
        <v>31</v>
      </c>
    </row>
    <row r="542" spans="1:14" hidden="1">
      <c r="A542" t="s">
        <v>2814</v>
      </c>
      <c r="B542" t="s">
        <v>2554</v>
      </c>
      <c r="C542" t="s">
        <v>2555</v>
      </c>
      <c r="D542">
        <v>2024</v>
      </c>
      <c r="E542" t="s">
        <v>2776</v>
      </c>
      <c r="F542" t="s">
        <v>29</v>
      </c>
      <c r="H542" t="s">
        <v>30</v>
      </c>
      <c r="I542" t="s">
        <v>3733</v>
      </c>
      <c r="J542" t="s">
        <v>31</v>
      </c>
      <c r="N542" t="s">
        <v>31</v>
      </c>
    </row>
    <row r="543" spans="1:14" hidden="1">
      <c r="A543" t="s">
        <v>2815</v>
      </c>
      <c r="B543" t="s">
        <v>2556</v>
      </c>
      <c r="C543" t="s">
        <v>1752</v>
      </c>
      <c r="D543">
        <v>2022</v>
      </c>
      <c r="E543" t="s">
        <v>1752</v>
      </c>
      <c r="H543" t="e">
        <v>#N/A</v>
      </c>
      <c r="I543" t="e">
        <v>#N/A</v>
      </c>
      <c r="N543" t="s">
        <v>31</v>
      </c>
    </row>
    <row r="544" spans="1:14" hidden="1">
      <c r="A544" t="s">
        <v>2816</v>
      </c>
      <c r="B544" t="s">
        <v>2557</v>
      </c>
      <c r="C544" t="s">
        <v>1752</v>
      </c>
      <c r="D544">
        <v>2023</v>
      </c>
      <c r="E544" t="s">
        <v>1752</v>
      </c>
      <c r="H544" t="e">
        <v>#N/A</v>
      </c>
      <c r="I544" t="e">
        <v>#N/A</v>
      </c>
      <c r="N544" t="s">
        <v>31</v>
      </c>
    </row>
    <row r="545" spans="1:14" hidden="1">
      <c r="A545" t="s">
        <v>2817</v>
      </c>
      <c r="B545" t="s">
        <v>2558</v>
      </c>
      <c r="C545" t="s">
        <v>1752</v>
      </c>
      <c r="D545">
        <v>2023</v>
      </c>
      <c r="E545" t="s">
        <v>1752</v>
      </c>
      <c r="H545" t="e">
        <v>#N/A</v>
      </c>
      <c r="I545" t="e">
        <v>#N/A</v>
      </c>
      <c r="N545" t="s">
        <v>31</v>
      </c>
    </row>
    <row r="546" spans="1:14" hidden="1">
      <c r="A546" t="s">
        <v>2818</v>
      </c>
      <c r="B546" t="s">
        <v>2559</v>
      </c>
      <c r="C546" t="s">
        <v>2560</v>
      </c>
      <c r="D546">
        <v>2023</v>
      </c>
      <c r="E546" t="s">
        <v>2793</v>
      </c>
      <c r="F546" t="s">
        <v>29</v>
      </c>
      <c r="H546" t="s">
        <v>30</v>
      </c>
      <c r="I546" t="s">
        <v>30</v>
      </c>
      <c r="J546" t="s">
        <v>30</v>
      </c>
      <c r="K546" t="s">
        <v>30</v>
      </c>
      <c r="L546" t="s">
        <v>12</v>
      </c>
      <c r="M546" s="22" t="s">
        <v>1752</v>
      </c>
      <c r="N546" t="s">
        <v>31</v>
      </c>
    </row>
    <row r="547" spans="1:14" hidden="1">
      <c r="A547" t="s">
        <v>2819</v>
      </c>
      <c r="B547" t="s">
        <v>2561</v>
      </c>
      <c r="C547" t="s">
        <v>2562</v>
      </c>
      <c r="D547">
        <v>2023</v>
      </c>
      <c r="E547" t="s">
        <v>2576</v>
      </c>
      <c r="F547" t="s">
        <v>29</v>
      </c>
      <c r="H547" t="s">
        <v>31</v>
      </c>
      <c r="I547" t="s">
        <v>30</v>
      </c>
      <c r="J547" t="s">
        <v>31</v>
      </c>
      <c r="N547" t="s">
        <v>31</v>
      </c>
    </row>
    <row r="548" spans="1:14" hidden="1">
      <c r="A548" t="s">
        <v>2820</v>
      </c>
      <c r="B548" t="s">
        <v>2563</v>
      </c>
      <c r="C548" t="s">
        <v>2564</v>
      </c>
      <c r="D548">
        <v>2023</v>
      </c>
      <c r="E548" t="s">
        <v>2576</v>
      </c>
      <c r="F548" t="s">
        <v>29</v>
      </c>
      <c r="H548" t="s">
        <v>31</v>
      </c>
      <c r="I548" t="s">
        <v>30</v>
      </c>
      <c r="J548" t="s">
        <v>31</v>
      </c>
      <c r="N548" t="s">
        <v>31</v>
      </c>
    </row>
    <row r="549" spans="1:14" hidden="1">
      <c r="A549" t="s">
        <v>2821</v>
      </c>
      <c r="B549" t="s">
        <v>2565</v>
      </c>
      <c r="C549" t="s">
        <v>1752</v>
      </c>
      <c r="D549">
        <v>2023</v>
      </c>
      <c r="E549" t="s">
        <v>1752</v>
      </c>
      <c r="H549" t="e">
        <v>#N/A</v>
      </c>
      <c r="I549" t="e">
        <v>#N/A</v>
      </c>
      <c r="N549" t="s">
        <v>31</v>
      </c>
    </row>
    <row r="550" spans="1:14" hidden="1">
      <c r="A550" t="s">
        <v>2822</v>
      </c>
      <c r="B550" t="s">
        <v>2566</v>
      </c>
      <c r="C550" t="s">
        <v>2567</v>
      </c>
      <c r="D550">
        <v>2024</v>
      </c>
      <c r="E550" t="s">
        <v>2794</v>
      </c>
      <c r="F550" t="s">
        <v>29</v>
      </c>
      <c r="H550" t="s">
        <v>31</v>
      </c>
      <c r="I550" t="s">
        <v>3733</v>
      </c>
      <c r="J550" t="s">
        <v>31</v>
      </c>
      <c r="N550" t="s">
        <v>31</v>
      </c>
    </row>
  </sheetData>
  <autoFilter ref="A1:O550" xr:uid="{CB8259C5-EC82-4B78-8F09-0F8DEFF55AD3}">
    <filterColumn colId="13">
      <filters>
        <filter val="Yes"/>
      </filters>
    </filterColumn>
  </autoFilter>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R283"/>
  <sheetViews>
    <sheetView zoomScale="55" zoomScaleNormal="55" workbookViewId="0">
      <pane ySplit="1" topLeftCell="A45" activePane="bottomLeft" state="frozen"/>
      <selection pane="bottomLeft" activeCell="A2" sqref="A2:A234"/>
    </sheetView>
  </sheetViews>
  <sheetFormatPr baseColWidth="10" defaultColWidth="8.88671875" defaultRowHeight="14.4"/>
  <cols>
    <col min="1" max="1" width="10.77734375" style="11" bestFit="1" customWidth="1"/>
    <col min="2" max="2" width="137.88671875" style="12" bestFit="1" customWidth="1"/>
    <col min="3" max="3" width="46.77734375" style="11" bestFit="1" customWidth="1"/>
    <col min="4" max="4" width="6.88671875" style="11" bestFit="1" customWidth="1"/>
    <col min="5" max="5" width="91.21875" style="11" bestFit="1" customWidth="1"/>
    <col min="6" max="6" width="12.77734375" style="11" bestFit="1" customWidth="1"/>
    <col min="7" max="7" width="21.77734375" style="11" bestFit="1" customWidth="1"/>
    <col min="8" max="8" width="16.77734375" style="11" bestFit="1" customWidth="1"/>
    <col min="9" max="9" width="17.77734375" style="11" bestFit="1" customWidth="1"/>
    <col min="10" max="10" width="27.88671875" style="11" bestFit="1" customWidth="1"/>
    <col min="11" max="11" width="16.88671875" style="11" hidden="1" customWidth="1"/>
    <col min="12" max="12" width="21" style="11" bestFit="1" customWidth="1"/>
    <col min="13" max="13" width="24.109375" style="11" bestFit="1" customWidth="1"/>
    <col min="14" max="14" width="46.77734375" style="11" bestFit="1" customWidth="1"/>
    <col min="15" max="15" width="21.88671875" style="11" bestFit="1" customWidth="1"/>
    <col min="16" max="16" width="195.77734375" style="11" bestFit="1" customWidth="1"/>
    <col min="17" max="16384" width="8.88671875" style="11"/>
  </cols>
  <sheetData>
    <row r="1" spans="1:16" s="10" customFormat="1">
      <c r="A1" s="8" t="s">
        <v>0</v>
      </c>
      <c r="B1" s="9" t="s">
        <v>1</v>
      </c>
      <c r="C1" s="8" t="s">
        <v>2</v>
      </c>
      <c r="D1" s="8" t="s">
        <v>3</v>
      </c>
      <c r="E1" s="8" t="s">
        <v>4</v>
      </c>
      <c r="F1" s="8" t="s">
        <v>5</v>
      </c>
      <c r="G1" s="8" t="s">
        <v>7</v>
      </c>
      <c r="H1" s="8" t="s">
        <v>35</v>
      </c>
      <c r="I1" s="8" t="s">
        <v>6</v>
      </c>
      <c r="J1" s="8" t="s">
        <v>8</v>
      </c>
      <c r="K1" s="8" t="s">
        <v>10</v>
      </c>
      <c r="L1" s="8" t="s">
        <v>37</v>
      </c>
      <c r="M1" s="8" t="s">
        <v>9</v>
      </c>
      <c r="N1" s="8" t="s">
        <v>36</v>
      </c>
      <c r="O1" s="8" t="s">
        <v>28</v>
      </c>
      <c r="P1" s="8" t="s">
        <v>11</v>
      </c>
    </row>
    <row r="2" spans="1:16" ht="82.8">
      <c r="A2" s="1" t="s">
        <v>49</v>
      </c>
      <c r="B2" s="2" t="s">
        <v>38</v>
      </c>
      <c r="C2" s="2" t="s">
        <v>374</v>
      </c>
      <c r="D2" s="1">
        <v>2023</v>
      </c>
      <c r="E2" s="1" t="s">
        <v>329</v>
      </c>
      <c r="F2" s="1" t="s">
        <v>29</v>
      </c>
      <c r="G2" s="1" t="s">
        <v>30</v>
      </c>
      <c r="H2" s="1" t="s">
        <v>30</v>
      </c>
      <c r="I2" s="1" t="s">
        <v>30</v>
      </c>
      <c r="J2" s="1" t="s">
        <v>30</v>
      </c>
      <c r="K2" s="1"/>
      <c r="L2" s="1" t="s">
        <v>30</v>
      </c>
      <c r="M2" s="1" t="s">
        <v>16</v>
      </c>
      <c r="N2" s="13" t="s">
        <v>40</v>
      </c>
      <c r="O2" s="1" t="s">
        <v>30</v>
      </c>
      <c r="P2" s="1"/>
    </row>
    <row r="3" spans="1:16" ht="220.8" hidden="1">
      <c r="A3" s="1" t="s">
        <v>50</v>
      </c>
      <c r="B3" s="2" t="s">
        <v>330</v>
      </c>
      <c r="C3" s="2" t="s">
        <v>331</v>
      </c>
      <c r="D3" s="1">
        <v>2023</v>
      </c>
      <c r="E3" s="1" t="s">
        <v>332</v>
      </c>
      <c r="F3" s="1" t="s">
        <v>29</v>
      </c>
      <c r="G3" s="1" t="s">
        <v>31</v>
      </c>
      <c r="H3" s="1" t="s">
        <v>30</v>
      </c>
      <c r="I3" s="1" t="s">
        <v>30</v>
      </c>
      <c r="J3" s="1" t="s">
        <v>31</v>
      </c>
      <c r="K3" s="1"/>
      <c r="L3" s="1" t="s">
        <v>30</v>
      </c>
      <c r="M3" s="1" t="s">
        <v>16</v>
      </c>
      <c r="N3" s="7" t="s">
        <v>333</v>
      </c>
      <c r="O3" s="1" t="s">
        <v>31</v>
      </c>
      <c r="P3" s="1"/>
    </row>
    <row r="4" spans="1:16" ht="57.6" hidden="1">
      <c r="A4" s="1" t="s">
        <v>51</v>
      </c>
      <c r="B4" s="2" t="s">
        <v>334</v>
      </c>
      <c r="C4" s="2" t="s">
        <v>335</v>
      </c>
      <c r="D4" s="1">
        <v>2024</v>
      </c>
      <c r="E4" s="1" t="s">
        <v>336</v>
      </c>
      <c r="F4" s="1" t="s">
        <v>29</v>
      </c>
      <c r="G4" s="1" t="s">
        <v>30</v>
      </c>
      <c r="H4" s="1" t="s">
        <v>30</v>
      </c>
      <c r="I4" s="1" t="s">
        <v>30</v>
      </c>
      <c r="J4" s="1" t="s">
        <v>30</v>
      </c>
      <c r="K4" s="1"/>
      <c r="L4" s="1" t="s">
        <v>30</v>
      </c>
      <c r="M4" s="1" t="s">
        <v>14</v>
      </c>
      <c r="N4" s="7" t="s">
        <v>337</v>
      </c>
      <c r="O4" s="1" t="s">
        <v>31</v>
      </c>
      <c r="P4" s="1" t="s">
        <v>338</v>
      </c>
    </row>
    <row r="5" spans="1:16" ht="54" customHeight="1">
      <c r="A5" s="1" t="s">
        <v>52</v>
      </c>
      <c r="B5" s="1" t="s">
        <v>339</v>
      </c>
      <c r="C5" s="1" t="s">
        <v>340</v>
      </c>
      <c r="D5" s="1">
        <v>2023</v>
      </c>
      <c r="E5" s="1" t="s">
        <v>341</v>
      </c>
      <c r="F5" s="1" t="s">
        <v>29</v>
      </c>
      <c r="G5" s="1" t="s">
        <v>30</v>
      </c>
      <c r="H5" s="1" t="s">
        <v>30</v>
      </c>
      <c r="I5" s="1" t="s">
        <v>30</v>
      </c>
      <c r="J5" s="1" t="s">
        <v>30</v>
      </c>
      <c r="K5" s="1"/>
      <c r="L5" s="1" t="s">
        <v>30</v>
      </c>
      <c r="M5" s="1" t="s">
        <v>15</v>
      </c>
      <c r="N5" s="14" t="s">
        <v>342</v>
      </c>
      <c r="O5" s="1" t="s">
        <v>30</v>
      </c>
      <c r="P5" s="1"/>
    </row>
    <row r="6" spans="1:16" ht="61.2" hidden="1" customHeight="1">
      <c r="A6" s="1" t="s">
        <v>53</v>
      </c>
      <c r="B6" s="2" t="s">
        <v>42</v>
      </c>
      <c r="C6" s="2" t="s">
        <v>374</v>
      </c>
      <c r="D6" s="1">
        <v>2022</v>
      </c>
      <c r="E6" s="2" t="s">
        <v>343</v>
      </c>
      <c r="F6" s="1" t="s">
        <v>29</v>
      </c>
      <c r="G6" s="1" t="s">
        <v>30</v>
      </c>
      <c r="H6" s="1" t="s">
        <v>31</v>
      </c>
      <c r="I6" s="2" t="s">
        <v>30</v>
      </c>
      <c r="J6" s="1" t="s">
        <v>31</v>
      </c>
      <c r="K6" s="1"/>
      <c r="L6" s="1"/>
      <c r="M6" s="1"/>
      <c r="N6" s="6"/>
      <c r="O6" s="1" t="s">
        <v>31</v>
      </c>
      <c r="P6" s="1"/>
    </row>
    <row r="7" spans="1:16" ht="85.2" hidden="1" customHeight="1">
      <c r="A7" s="1" t="s">
        <v>54</v>
      </c>
      <c r="B7" s="2" t="s">
        <v>346</v>
      </c>
      <c r="C7" s="2" t="s">
        <v>344</v>
      </c>
      <c r="D7" s="1">
        <v>2022</v>
      </c>
      <c r="E7" s="2" t="s">
        <v>345</v>
      </c>
      <c r="F7" s="1" t="s">
        <v>29</v>
      </c>
      <c r="G7" s="1" t="s">
        <v>30</v>
      </c>
      <c r="H7" s="1" t="s">
        <v>30</v>
      </c>
      <c r="I7" s="2" t="s">
        <v>30</v>
      </c>
      <c r="J7" s="1" t="s">
        <v>31</v>
      </c>
      <c r="K7" s="1"/>
      <c r="L7" s="1"/>
      <c r="M7" s="1"/>
      <c r="N7" s="6"/>
      <c r="O7" s="1" t="s">
        <v>31</v>
      </c>
      <c r="P7" s="1"/>
    </row>
    <row r="8" spans="1:16" ht="117.6" hidden="1" customHeight="1">
      <c r="A8" s="1" t="s">
        <v>55</v>
      </c>
      <c r="B8" s="2" t="s">
        <v>347</v>
      </c>
      <c r="C8" s="2" t="s">
        <v>348</v>
      </c>
      <c r="D8" s="1">
        <v>2021</v>
      </c>
      <c r="E8" s="2" t="s">
        <v>349</v>
      </c>
      <c r="F8" s="1" t="s">
        <v>29</v>
      </c>
      <c r="G8" s="1" t="s">
        <v>30</v>
      </c>
      <c r="H8" s="1" t="s">
        <v>30</v>
      </c>
      <c r="I8" s="2" t="s">
        <v>30</v>
      </c>
      <c r="J8" s="1" t="s">
        <v>31</v>
      </c>
      <c r="K8" s="1"/>
      <c r="L8" s="1"/>
      <c r="M8" s="1"/>
      <c r="N8" s="7"/>
      <c r="O8" s="1" t="s">
        <v>31</v>
      </c>
      <c r="P8" s="1"/>
    </row>
    <row r="9" spans="1:16" ht="43.2" hidden="1">
      <c r="A9" s="1" t="s">
        <v>56</v>
      </c>
      <c r="B9" s="12" t="s">
        <v>350</v>
      </c>
      <c r="C9" s="4" t="s">
        <v>351</v>
      </c>
      <c r="D9" s="3">
        <v>2024</v>
      </c>
      <c r="E9" s="5" t="s">
        <v>352</v>
      </c>
      <c r="F9" s="3" t="s">
        <v>29</v>
      </c>
      <c r="G9" s="3" t="s">
        <v>30</v>
      </c>
      <c r="H9" s="3" t="s">
        <v>31</v>
      </c>
      <c r="I9" s="4" t="s">
        <v>30</v>
      </c>
      <c r="J9" s="3" t="s">
        <v>31</v>
      </c>
      <c r="N9" s="13"/>
      <c r="O9" s="3" t="s">
        <v>31</v>
      </c>
      <c r="P9" s="3"/>
    </row>
    <row r="10" spans="1:16" s="1" customFormat="1" hidden="1">
      <c r="A10" s="1" t="s">
        <v>57</v>
      </c>
      <c r="B10" s="2" t="s">
        <v>353</v>
      </c>
      <c r="C10" s="1" t="s">
        <v>354</v>
      </c>
      <c r="D10" s="1">
        <v>2022</v>
      </c>
      <c r="E10" s="1" t="s">
        <v>355</v>
      </c>
      <c r="F10" s="1" t="s">
        <v>29</v>
      </c>
      <c r="G10" s="1" t="s">
        <v>31</v>
      </c>
      <c r="J10" s="1" t="s">
        <v>31</v>
      </c>
      <c r="N10" s="6"/>
      <c r="O10" s="1" t="s">
        <v>31</v>
      </c>
    </row>
    <row r="11" spans="1:16" s="1" customFormat="1" ht="69" hidden="1">
      <c r="A11" s="1" t="s">
        <v>58</v>
      </c>
      <c r="B11" s="2" t="s">
        <v>356</v>
      </c>
      <c r="C11" s="2" t="s">
        <v>357</v>
      </c>
      <c r="D11" s="1">
        <v>2024</v>
      </c>
      <c r="E11" s="2" t="s">
        <v>358</v>
      </c>
      <c r="F11" s="1" t="s">
        <v>29</v>
      </c>
      <c r="G11" s="1" t="s">
        <v>31</v>
      </c>
      <c r="H11" s="1" t="s">
        <v>30</v>
      </c>
      <c r="I11" s="2" t="s">
        <v>30</v>
      </c>
      <c r="J11" s="1" t="s">
        <v>31</v>
      </c>
      <c r="M11" s="1" t="s">
        <v>15</v>
      </c>
      <c r="N11" s="14" t="s">
        <v>375</v>
      </c>
      <c r="O11" s="1" t="s">
        <v>31</v>
      </c>
    </row>
    <row r="12" spans="1:16" s="1" customFormat="1" ht="28.8" hidden="1">
      <c r="A12" s="1" t="s">
        <v>59</v>
      </c>
      <c r="B12" s="2" t="s">
        <v>359</v>
      </c>
      <c r="C12" s="1" t="s">
        <v>360</v>
      </c>
      <c r="D12" s="1">
        <v>2022</v>
      </c>
      <c r="E12" s="1" t="s">
        <v>361</v>
      </c>
      <c r="F12" s="1" t="s">
        <v>29</v>
      </c>
      <c r="G12" s="1" t="s">
        <v>30</v>
      </c>
      <c r="H12" s="1" t="s">
        <v>30</v>
      </c>
      <c r="I12" s="1" t="s">
        <v>30</v>
      </c>
      <c r="J12" s="1" t="s">
        <v>31</v>
      </c>
      <c r="N12" s="6"/>
      <c r="O12" s="1" t="s">
        <v>31</v>
      </c>
    </row>
    <row r="13" spans="1:16" s="1" customFormat="1" ht="28.8" hidden="1">
      <c r="A13" s="1" t="s">
        <v>60</v>
      </c>
      <c r="B13" s="2" t="s">
        <v>362</v>
      </c>
      <c r="C13" s="2" t="s">
        <v>34</v>
      </c>
      <c r="D13" s="1">
        <v>2021</v>
      </c>
      <c r="E13" s="1" t="s">
        <v>363</v>
      </c>
      <c r="F13" s="1" t="s">
        <v>29</v>
      </c>
      <c r="G13" s="1" t="s">
        <v>30</v>
      </c>
      <c r="H13" s="1" t="s">
        <v>30</v>
      </c>
      <c r="I13" s="1" t="s">
        <v>30</v>
      </c>
      <c r="J13" s="1" t="s">
        <v>31</v>
      </c>
      <c r="N13" s="7"/>
      <c r="O13" s="1" t="s">
        <v>31</v>
      </c>
    </row>
    <row r="14" spans="1:16" s="1" customFormat="1" ht="55.2">
      <c r="A14" s="1" t="s">
        <v>61</v>
      </c>
      <c r="B14" s="2" t="s">
        <v>32</v>
      </c>
      <c r="C14" s="2" t="s">
        <v>374</v>
      </c>
      <c r="D14" s="1">
        <v>2023</v>
      </c>
      <c r="E14" s="1" t="s">
        <v>329</v>
      </c>
      <c r="F14" s="1" t="s">
        <v>29</v>
      </c>
      <c r="G14" s="1" t="s">
        <v>30</v>
      </c>
      <c r="H14" s="1" t="s">
        <v>30</v>
      </c>
      <c r="I14" s="1" t="s">
        <v>30</v>
      </c>
      <c r="J14" s="1" t="s">
        <v>30</v>
      </c>
      <c r="L14" s="1" t="s">
        <v>30</v>
      </c>
      <c r="M14" s="1" t="s">
        <v>15</v>
      </c>
      <c r="N14" s="7" t="s">
        <v>39</v>
      </c>
      <c r="O14" s="1" t="s">
        <v>30</v>
      </c>
    </row>
    <row r="15" spans="1:16" s="1" customFormat="1" ht="28.8" hidden="1">
      <c r="A15" s="1" t="s">
        <v>62</v>
      </c>
      <c r="B15" s="2" t="s">
        <v>364</v>
      </c>
      <c r="C15" s="2" t="s">
        <v>365</v>
      </c>
      <c r="D15" s="1">
        <v>2020</v>
      </c>
      <c r="E15" s="1" t="s">
        <v>366</v>
      </c>
      <c r="F15" s="1" t="s">
        <v>29</v>
      </c>
      <c r="G15" s="1" t="s">
        <v>30</v>
      </c>
      <c r="H15" s="1" t="s">
        <v>30</v>
      </c>
      <c r="I15" s="1" t="s">
        <v>30</v>
      </c>
      <c r="J15" s="1" t="s">
        <v>31</v>
      </c>
      <c r="N15" s="7"/>
      <c r="O15" s="1" t="s">
        <v>31</v>
      </c>
    </row>
    <row r="16" spans="1:16" s="1" customFormat="1" ht="96.6" hidden="1">
      <c r="A16" s="1" t="s">
        <v>63</v>
      </c>
      <c r="B16" s="2" t="s">
        <v>367</v>
      </c>
      <c r="C16" s="2" t="s">
        <v>368</v>
      </c>
      <c r="D16" s="1">
        <v>2023</v>
      </c>
      <c r="E16" s="1" t="s">
        <v>369</v>
      </c>
      <c r="F16" s="1" t="s">
        <v>29</v>
      </c>
      <c r="G16" s="1" t="s">
        <v>30</v>
      </c>
      <c r="H16" s="1" t="s">
        <v>30</v>
      </c>
      <c r="I16" s="1" t="s">
        <v>30</v>
      </c>
      <c r="J16" s="1" t="s">
        <v>30</v>
      </c>
      <c r="L16" s="1" t="s">
        <v>30</v>
      </c>
      <c r="M16" s="1" t="s">
        <v>14</v>
      </c>
      <c r="N16" s="7" t="s">
        <v>370</v>
      </c>
      <c r="O16" s="1" t="s">
        <v>31</v>
      </c>
    </row>
    <row r="17" spans="1:15" s="1" customFormat="1" ht="28.8" hidden="1">
      <c r="A17" s="1" t="s">
        <v>64</v>
      </c>
      <c r="B17" s="2" t="s">
        <v>373</v>
      </c>
      <c r="C17" s="2" t="s">
        <v>376</v>
      </c>
      <c r="D17" s="1">
        <v>2023</v>
      </c>
      <c r="E17" s="1" t="s">
        <v>377</v>
      </c>
      <c r="F17" s="1" t="s">
        <v>29</v>
      </c>
      <c r="G17" s="1" t="s">
        <v>30</v>
      </c>
      <c r="H17" s="1" t="s">
        <v>30</v>
      </c>
      <c r="I17" s="1" t="s">
        <v>30</v>
      </c>
      <c r="J17" s="1" t="s">
        <v>30</v>
      </c>
      <c r="L17" s="1" t="s">
        <v>31</v>
      </c>
      <c r="M17" s="1" t="s">
        <v>13</v>
      </c>
      <c r="O17" s="1" t="s">
        <v>31</v>
      </c>
    </row>
    <row r="18" spans="1:15" s="1" customFormat="1" ht="57.6" hidden="1">
      <c r="A18" s="1" t="s">
        <v>65</v>
      </c>
      <c r="B18" s="2" t="s">
        <v>378</v>
      </c>
      <c r="C18" s="2" t="s">
        <v>379</v>
      </c>
      <c r="D18" s="1">
        <v>2023</v>
      </c>
      <c r="E18" s="2" t="s">
        <v>380</v>
      </c>
      <c r="F18" s="1" t="s">
        <v>29</v>
      </c>
      <c r="G18" s="1" t="s">
        <v>30</v>
      </c>
      <c r="H18" s="1" t="s">
        <v>30</v>
      </c>
      <c r="I18" s="1" t="s">
        <v>30</v>
      </c>
      <c r="J18" s="1" t="s">
        <v>30</v>
      </c>
      <c r="L18" s="1" t="s">
        <v>31</v>
      </c>
      <c r="M18" s="1" t="s">
        <v>13</v>
      </c>
      <c r="O18" s="1" t="s">
        <v>31</v>
      </c>
    </row>
    <row r="19" spans="1:15" s="1" customFormat="1" ht="86.4" hidden="1">
      <c r="A19" s="1" t="s">
        <v>66</v>
      </c>
      <c r="B19" s="2" t="s">
        <v>381</v>
      </c>
      <c r="C19" s="2" t="s">
        <v>382</v>
      </c>
      <c r="D19" s="1">
        <v>2024</v>
      </c>
      <c r="E19" s="2" t="s">
        <v>383</v>
      </c>
      <c r="F19" s="1" t="s">
        <v>29</v>
      </c>
      <c r="G19" s="1" t="s">
        <v>30</v>
      </c>
      <c r="H19" s="1" t="s">
        <v>30</v>
      </c>
      <c r="I19" s="1" t="s">
        <v>30</v>
      </c>
      <c r="J19" s="1" t="s">
        <v>30</v>
      </c>
      <c r="L19" s="1" t="s">
        <v>30</v>
      </c>
      <c r="M19" s="1" t="s">
        <v>13</v>
      </c>
      <c r="N19" s="7"/>
      <c r="O19" s="1" t="s">
        <v>31</v>
      </c>
    </row>
    <row r="20" spans="1:15" s="1" customFormat="1" ht="86.4" hidden="1">
      <c r="A20" s="1" t="s">
        <v>67</v>
      </c>
      <c r="B20" s="2" t="s">
        <v>384</v>
      </c>
      <c r="C20" s="2" t="s">
        <v>385</v>
      </c>
      <c r="D20" s="1">
        <v>2023</v>
      </c>
      <c r="E20" s="1" t="s">
        <v>386</v>
      </c>
      <c r="F20" s="1" t="s">
        <v>29</v>
      </c>
      <c r="G20" s="1" t="s">
        <v>30</v>
      </c>
      <c r="H20" s="1" t="s">
        <v>30</v>
      </c>
      <c r="I20" s="1" t="s">
        <v>30</v>
      </c>
      <c r="J20" s="1" t="s">
        <v>30</v>
      </c>
      <c r="L20" s="1" t="s">
        <v>30</v>
      </c>
      <c r="M20" s="1" t="s">
        <v>13</v>
      </c>
      <c r="O20" s="1" t="s">
        <v>31</v>
      </c>
    </row>
    <row r="21" spans="1:15" s="1" customFormat="1" ht="28.8" hidden="1">
      <c r="A21" s="1" t="s">
        <v>68</v>
      </c>
      <c r="B21" s="2" t="s">
        <v>387</v>
      </c>
      <c r="C21" s="2" t="s">
        <v>388</v>
      </c>
      <c r="D21" s="1">
        <v>2024</v>
      </c>
      <c r="E21" s="1" t="s">
        <v>389</v>
      </c>
      <c r="F21" s="1" t="s">
        <v>29</v>
      </c>
      <c r="G21" s="1" t="s">
        <v>30</v>
      </c>
      <c r="H21" s="1" t="s">
        <v>30</v>
      </c>
      <c r="I21" s="1" t="s">
        <v>30</v>
      </c>
      <c r="J21" s="1" t="s">
        <v>30</v>
      </c>
      <c r="L21" s="1" t="s">
        <v>31</v>
      </c>
      <c r="M21" s="1" t="s">
        <v>13</v>
      </c>
      <c r="O21" s="1" t="s">
        <v>31</v>
      </c>
    </row>
    <row r="22" spans="1:15" s="1" customFormat="1" ht="28.8" hidden="1">
      <c r="A22" s="1" t="s">
        <v>69</v>
      </c>
      <c r="B22" s="2" t="s">
        <v>390</v>
      </c>
      <c r="C22" s="2" t="s">
        <v>391</v>
      </c>
      <c r="D22" s="1">
        <v>2023</v>
      </c>
      <c r="E22" s="1" t="s">
        <v>392</v>
      </c>
      <c r="F22" s="1" t="s">
        <v>29</v>
      </c>
      <c r="G22" s="1" t="s">
        <v>31</v>
      </c>
      <c r="J22" s="1" t="s">
        <v>31</v>
      </c>
      <c r="O22" s="1" t="s">
        <v>31</v>
      </c>
    </row>
    <row r="23" spans="1:15" s="1" customFormat="1" ht="165.6" hidden="1">
      <c r="A23" s="1" t="s">
        <v>70</v>
      </c>
      <c r="B23" s="2" t="s">
        <v>41</v>
      </c>
      <c r="C23" s="2" t="s">
        <v>393</v>
      </c>
      <c r="D23" s="1">
        <v>2020</v>
      </c>
      <c r="E23" s="2" t="s">
        <v>394</v>
      </c>
      <c r="F23" s="1" t="s">
        <v>29</v>
      </c>
      <c r="G23" s="1" t="s">
        <v>31</v>
      </c>
      <c r="H23" s="1" t="s">
        <v>30</v>
      </c>
      <c r="I23" s="1" t="s">
        <v>30</v>
      </c>
      <c r="J23" s="1" t="s">
        <v>31</v>
      </c>
      <c r="L23" s="1" t="s">
        <v>30</v>
      </c>
      <c r="M23" s="1" t="s">
        <v>15</v>
      </c>
      <c r="N23" s="7" t="s">
        <v>401</v>
      </c>
      <c r="O23" s="1" t="s">
        <v>31</v>
      </c>
    </row>
    <row r="24" spans="1:15" s="1" customFormat="1" hidden="1">
      <c r="A24" s="1" t="s">
        <v>71</v>
      </c>
      <c r="B24" s="2" t="s">
        <v>395</v>
      </c>
      <c r="C24" s="2" t="s">
        <v>396</v>
      </c>
      <c r="D24" s="1">
        <v>2023</v>
      </c>
      <c r="E24" s="1" t="s">
        <v>397</v>
      </c>
      <c r="F24" s="1" t="s">
        <v>29</v>
      </c>
      <c r="G24" s="1" t="s">
        <v>31</v>
      </c>
      <c r="J24" s="1" t="s">
        <v>31</v>
      </c>
      <c r="N24" s="7"/>
      <c r="O24" s="1" t="s">
        <v>31</v>
      </c>
    </row>
    <row r="25" spans="1:15" s="1" customFormat="1" ht="165.6" hidden="1">
      <c r="A25" s="1" t="s">
        <v>72</v>
      </c>
      <c r="B25" s="2" t="s">
        <v>398</v>
      </c>
      <c r="C25" s="2" t="s">
        <v>399</v>
      </c>
      <c r="D25" s="1">
        <v>2023</v>
      </c>
      <c r="E25" s="1" t="s">
        <v>400</v>
      </c>
      <c r="F25" s="1" t="s">
        <v>29</v>
      </c>
      <c r="G25" s="1" t="s">
        <v>31</v>
      </c>
      <c r="H25" s="1" t="s">
        <v>30</v>
      </c>
      <c r="I25" s="1" t="s">
        <v>30</v>
      </c>
      <c r="J25" s="1" t="s">
        <v>31</v>
      </c>
      <c r="L25" s="1" t="s">
        <v>30</v>
      </c>
      <c r="M25" s="1" t="s">
        <v>16</v>
      </c>
      <c r="N25" s="14" t="s">
        <v>402</v>
      </c>
      <c r="O25" s="1" t="s">
        <v>31</v>
      </c>
    </row>
    <row r="26" spans="1:15" s="1" customFormat="1" ht="179.4" hidden="1">
      <c r="A26" s="1" t="s">
        <v>73</v>
      </c>
      <c r="B26" s="1" t="s">
        <v>403</v>
      </c>
      <c r="C26" s="1" t="s">
        <v>404</v>
      </c>
      <c r="D26" s="1">
        <v>2024</v>
      </c>
      <c r="E26" s="1" t="s">
        <v>405</v>
      </c>
      <c r="F26" s="1" t="s">
        <v>29</v>
      </c>
      <c r="G26" s="1" t="s">
        <v>31</v>
      </c>
      <c r="H26" s="1" t="s">
        <v>30</v>
      </c>
      <c r="I26" s="1" t="s">
        <v>30</v>
      </c>
      <c r="J26" s="1" t="s">
        <v>31</v>
      </c>
      <c r="L26" s="1" t="s">
        <v>30</v>
      </c>
      <c r="M26" s="1" t="s">
        <v>15</v>
      </c>
      <c r="N26" s="7" t="s">
        <v>406</v>
      </c>
      <c r="O26" s="1" t="s">
        <v>31</v>
      </c>
    </row>
    <row r="27" spans="1:15" s="1" customFormat="1" ht="28.8" hidden="1">
      <c r="A27" s="1" t="s">
        <v>74</v>
      </c>
      <c r="B27" s="2" t="s">
        <v>407</v>
      </c>
      <c r="C27" s="2" t="s">
        <v>408</v>
      </c>
      <c r="D27" s="1">
        <v>2022</v>
      </c>
      <c r="E27" s="2" t="s">
        <v>409</v>
      </c>
      <c r="F27" s="1" t="s">
        <v>29</v>
      </c>
      <c r="G27" s="1" t="s">
        <v>30</v>
      </c>
      <c r="H27" s="1" t="s">
        <v>30</v>
      </c>
      <c r="I27" s="1" t="s">
        <v>30</v>
      </c>
      <c r="J27" s="1" t="s">
        <v>31</v>
      </c>
      <c r="O27" s="1" t="s">
        <v>31</v>
      </c>
    </row>
    <row r="28" spans="1:15" s="1" customFormat="1" ht="43.2" hidden="1">
      <c r="A28" s="1" t="s">
        <v>75</v>
      </c>
      <c r="B28" s="2" t="s">
        <v>410</v>
      </c>
      <c r="C28" s="2"/>
      <c r="E28" s="2"/>
      <c r="J28" s="1" t="s">
        <v>31</v>
      </c>
      <c r="O28" s="1" t="s">
        <v>31</v>
      </c>
    </row>
    <row r="29" spans="1:15" s="1" customFormat="1" ht="57.6" hidden="1">
      <c r="A29" s="1" t="s">
        <v>76</v>
      </c>
      <c r="B29" s="2" t="s">
        <v>411</v>
      </c>
      <c r="C29" s="2" t="s">
        <v>412</v>
      </c>
      <c r="D29" s="1">
        <v>2024</v>
      </c>
      <c r="E29" s="1" t="s">
        <v>413</v>
      </c>
      <c r="F29" s="1" t="s">
        <v>29</v>
      </c>
      <c r="G29" s="1" t="s">
        <v>30</v>
      </c>
      <c r="H29" s="1" t="s">
        <v>30</v>
      </c>
      <c r="I29" s="1" t="s">
        <v>30</v>
      </c>
      <c r="J29" s="1" t="s">
        <v>30</v>
      </c>
      <c r="L29" s="1" t="s">
        <v>30</v>
      </c>
      <c r="M29" s="1" t="s">
        <v>414</v>
      </c>
      <c r="O29" s="1" t="s">
        <v>31</v>
      </c>
    </row>
    <row r="30" spans="1:15" s="1" customFormat="1" ht="28.8" hidden="1">
      <c r="A30" s="1" t="s">
        <v>77</v>
      </c>
      <c r="B30" s="2" t="s">
        <v>415</v>
      </c>
      <c r="C30" s="2" t="s">
        <v>416</v>
      </c>
      <c r="D30" s="1">
        <v>2021</v>
      </c>
      <c r="E30" s="1" t="s">
        <v>417</v>
      </c>
      <c r="F30" s="1" t="s">
        <v>29</v>
      </c>
      <c r="G30" s="1" t="s">
        <v>30</v>
      </c>
      <c r="H30" s="1" t="s">
        <v>30</v>
      </c>
      <c r="I30" s="1" t="s">
        <v>30</v>
      </c>
      <c r="J30" s="1" t="s">
        <v>31</v>
      </c>
      <c r="O30" s="1" t="s">
        <v>31</v>
      </c>
    </row>
    <row r="31" spans="1:15" s="1" customFormat="1" ht="220.8" hidden="1">
      <c r="A31" s="1" t="s">
        <v>78</v>
      </c>
      <c r="B31" s="2" t="s">
        <v>419</v>
      </c>
      <c r="C31" s="2" t="s">
        <v>418</v>
      </c>
      <c r="D31" s="1">
        <v>2024</v>
      </c>
      <c r="E31" s="1" t="s">
        <v>420</v>
      </c>
      <c r="F31" s="1" t="s">
        <v>29</v>
      </c>
      <c r="G31" s="1" t="s">
        <v>30</v>
      </c>
      <c r="H31" s="1" t="s">
        <v>30</v>
      </c>
      <c r="I31" s="1" t="s">
        <v>30</v>
      </c>
      <c r="J31" s="1" t="s">
        <v>30</v>
      </c>
      <c r="L31" s="1" t="s">
        <v>30</v>
      </c>
      <c r="M31" s="1" t="s">
        <v>421</v>
      </c>
      <c r="N31" s="7" t="s">
        <v>422</v>
      </c>
      <c r="O31" s="1" t="s">
        <v>31</v>
      </c>
    </row>
    <row r="32" spans="1:15" s="1" customFormat="1" ht="43.2" hidden="1">
      <c r="A32" s="1" t="s">
        <v>79</v>
      </c>
      <c r="B32" s="2" t="s">
        <v>423</v>
      </c>
      <c r="C32" s="2" t="s">
        <v>424</v>
      </c>
      <c r="D32" s="1">
        <v>2023</v>
      </c>
      <c r="E32" s="1" t="s">
        <v>425</v>
      </c>
      <c r="F32" s="1" t="s">
        <v>29</v>
      </c>
      <c r="G32" s="1" t="s">
        <v>30</v>
      </c>
      <c r="H32" s="1" t="s">
        <v>30</v>
      </c>
      <c r="I32" s="1" t="s">
        <v>30</v>
      </c>
      <c r="J32" s="1" t="s">
        <v>30</v>
      </c>
      <c r="L32" s="2" t="s">
        <v>31</v>
      </c>
      <c r="N32" s="7"/>
      <c r="O32" s="1" t="s">
        <v>31</v>
      </c>
    </row>
    <row r="33" spans="1:15" s="1" customFormat="1" ht="262.2" hidden="1">
      <c r="A33" s="1" t="s">
        <v>80</v>
      </c>
      <c r="B33" s="2" t="s">
        <v>426</v>
      </c>
      <c r="C33" s="2" t="s">
        <v>427</v>
      </c>
      <c r="D33" s="1">
        <v>2023</v>
      </c>
      <c r="E33" s="1" t="s">
        <v>400</v>
      </c>
      <c r="F33" s="1" t="s">
        <v>29</v>
      </c>
      <c r="G33" s="1" t="s">
        <v>30</v>
      </c>
      <c r="H33" s="1" t="s">
        <v>30</v>
      </c>
      <c r="I33" s="1" t="s">
        <v>30</v>
      </c>
      <c r="J33" s="1" t="s">
        <v>30</v>
      </c>
      <c r="L33" s="1" t="s">
        <v>30</v>
      </c>
      <c r="M33" s="1" t="s">
        <v>14</v>
      </c>
      <c r="N33" s="7" t="s">
        <v>428</v>
      </c>
      <c r="O33" s="1" t="s">
        <v>31</v>
      </c>
    </row>
    <row r="34" spans="1:15" s="1" customFormat="1" ht="110.4">
      <c r="A34" s="1" t="s">
        <v>81</v>
      </c>
      <c r="B34" s="2" t="s">
        <v>429</v>
      </c>
      <c r="C34" s="2" t="s">
        <v>430</v>
      </c>
      <c r="D34" s="1">
        <v>2023</v>
      </c>
      <c r="E34" s="1" t="s">
        <v>431</v>
      </c>
      <c r="F34" s="1" t="s">
        <v>29</v>
      </c>
      <c r="G34" s="1" t="s">
        <v>30</v>
      </c>
      <c r="H34" s="1" t="s">
        <v>30</v>
      </c>
      <c r="I34" s="1" t="s">
        <v>30</v>
      </c>
      <c r="J34" s="1" t="s">
        <v>30</v>
      </c>
      <c r="L34" s="1" t="s">
        <v>30</v>
      </c>
      <c r="M34" s="1" t="s">
        <v>16</v>
      </c>
      <c r="N34" s="7" t="s">
        <v>432</v>
      </c>
      <c r="O34" s="1" t="s">
        <v>30</v>
      </c>
    </row>
    <row r="35" spans="1:15" s="1" customFormat="1" ht="151.80000000000001">
      <c r="A35" s="1" t="s">
        <v>82</v>
      </c>
      <c r="B35" s="2" t="s">
        <v>433</v>
      </c>
      <c r="C35" s="1" t="s">
        <v>434</v>
      </c>
      <c r="D35" s="1">
        <v>2023</v>
      </c>
      <c r="E35" s="1" t="s">
        <v>435</v>
      </c>
      <c r="F35" s="1" t="s">
        <v>29</v>
      </c>
      <c r="G35" s="1" t="s">
        <v>30</v>
      </c>
      <c r="H35" s="1" t="s">
        <v>30</v>
      </c>
      <c r="I35" s="1" t="s">
        <v>30</v>
      </c>
      <c r="J35" s="1" t="s">
        <v>30</v>
      </c>
      <c r="L35" s="1" t="s">
        <v>30</v>
      </c>
      <c r="M35" s="1" t="s">
        <v>16</v>
      </c>
      <c r="N35" s="14" t="s">
        <v>436</v>
      </c>
      <c r="O35" s="1" t="s">
        <v>30</v>
      </c>
    </row>
    <row r="36" spans="1:15" s="1" customFormat="1" ht="56.4" hidden="1" customHeight="1">
      <c r="A36" s="1" t="s">
        <v>83</v>
      </c>
      <c r="B36" s="2" t="s">
        <v>437</v>
      </c>
      <c r="C36" s="2" t="s">
        <v>438</v>
      </c>
      <c r="D36" s="1">
        <v>2023</v>
      </c>
      <c r="E36" s="1" t="s">
        <v>439</v>
      </c>
      <c r="F36" s="1" t="s">
        <v>29</v>
      </c>
      <c r="G36" s="1" t="s">
        <v>30</v>
      </c>
      <c r="H36" s="1" t="s">
        <v>30</v>
      </c>
      <c r="I36" s="1" t="s">
        <v>30</v>
      </c>
      <c r="J36" s="1" t="s">
        <v>30</v>
      </c>
      <c r="L36" s="1" t="s">
        <v>31</v>
      </c>
      <c r="O36" s="1" t="s">
        <v>31</v>
      </c>
    </row>
    <row r="37" spans="1:15" s="1" customFormat="1" ht="49.8" hidden="1" customHeight="1">
      <c r="A37" s="1" t="s">
        <v>84</v>
      </c>
      <c r="B37" s="2" t="s">
        <v>440</v>
      </c>
      <c r="C37" s="2" t="s">
        <v>441</v>
      </c>
      <c r="D37" s="1">
        <v>2025</v>
      </c>
      <c r="E37" s="1" t="s">
        <v>442</v>
      </c>
      <c r="F37" s="1" t="s">
        <v>29</v>
      </c>
      <c r="G37" s="1" t="s">
        <v>30</v>
      </c>
      <c r="H37" s="1" t="s">
        <v>30</v>
      </c>
      <c r="I37" s="1" t="s">
        <v>31</v>
      </c>
      <c r="J37" s="1" t="s">
        <v>31</v>
      </c>
      <c r="L37" s="1" t="s">
        <v>31</v>
      </c>
      <c r="O37" s="1" t="s">
        <v>31</v>
      </c>
    </row>
    <row r="38" spans="1:15" s="1" customFormat="1" hidden="1">
      <c r="A38" s="1" t="s">
        <v>85</v>
      </c>
      <c r="B38" s="2" t="s">
        <v>443</v>
      </c>
      <c r="J38" s="1" t="s">
        <v>31</v>
      </c>
      <c r="O38" s="1" t="s">
        <v>31</v>
      </c>
    </row>
    <row r="39" spans="1:15" s="1" customFormat="1" ht="28.8" hidden="1">
      <c r="A39" s="1" t="s">
        <v>86</v>
      </c>
      <c r="B39" s="2" t="s">
        <v>444</v>
      </c>
      <c r="C39" s="2" t="s">
        <v>445</v>
      </c>
      <c r="D39" s="1">
        <v>2020</v>
      </c>
      <c r="E39" s="1" t="s">
        <v>446</v>
      </c>
      <c r="F39" s="1" t="s">
        <v>29</v>
      </c>
      <c r="G39" s="1" t="s">
        <v>30</v>
      </c>
      <c r="H39" s="1" t="s">
        <v>30</v>
      </c>
      <c r="I39" s="1" t="s">
        <v>30</v>
      </c>
      <c r="J39" s="1" t="s">
        <v>31</v>
      </c>
      <c r="O39" s="1" t="s">
        <v>31</v>
      </c>
    </row>
    <row r="40" spans="1:15" s="1" customFormat="1" ht="43.2" hidden="1">
      <c r="A40" s="1" t="s">
        <v>87</v>
      </c>
      <c r="B40" s="2" t="s">
        <v>447</v>
      </c>
      <c r="C40" s="2" t="s">
        <v>448</v>
      </c>
      <c r="D40" s="1">
        <v>2024</v>
      </c>
      <c r="E40" s="1" t="s">
        <v>449</v>
      </c>
      <c r="F40" s="1" t="s">
        <v>29</v>
      </c>
      <c r="G40" s="1" t="s">
        <v>30</v>
      </c>
      <c r="H40" s="1" t="s">
        <v>30</v>
      </c>
      <c r="I40" s="1" t="s">
        <v>30</v>
      </c>
      <c r="J40" s="1" t="s">
        <v>30</v>
      </c>
      <c r="L40" s="1" t="s">
        <v>31</v>
      </c>
      <c r="O40" s="1" t="s">
        <v>31</v>
      </c>
    </row>
    <row r="41" spans="1:15" s="1" customFormat="1" hidden="1">
      <c r="A41" s="1" t="s">
        <v>88</v>
      </c>
      <c r="B41" s="2" t="s">
        <v>450</v>
      </c>
      <c r="C41" s="2" t="s">
        <v>451</v>
      </c>
      <c r="D41" s="1">
        <v>2022</v>
      </c>
      <c r="E41" s="2" t="s">
        <v>452</v>
      </c>
      <c r="F41" s="1" t="s">
        <v>29</v>
      </c>
      <c r="G41" s="1" t="s">
        <v>30</v>
      </c>
      <c r="H41" s="1" t="s">
        <v>31</v>
      </c>
      <c r="J41" s="1" t="s">
        <v>31</v>
      </c>
      <c r="O41" s="1" t="s">
        <v>31</v>
      </c>
    </row>
    <row r="42" spans="1:15" s="1" customFormat="1" ht="43.2" hidden="1">
      <c r="A42" s="1" t="s">
        <v>89</v>
      </c>
      <c r="B42" s="2" t="s">
        <v>453</v>
      </c>
      <c r="C42" s="2" t="s">
        <v>454</v>
      </c>
      <c r="D42" s="1">
        <v>2022</v>
      </c>
      <c r="E42" s="1" t="s">
        <v>455</v>
      </c>
      <c r="F42" s="1" t="s">
        <v>29</v>
      </c>
      <c r="G42" s="1" t="s">
        <v>30</v>
      </c>
      <c r="H42" s="1" t="s">
        <v>30</v>
      </c>
      <c r="I42" s="1" t="s">
        <v>30</v>
      </c>
      <c r="J42" s="1" t="s">
        <v>31</v>
      </c>
      <c r="O42" s="1" t="s">
        <v>31</v>
      </c>
    </row>
    <row r="43" spans="1:15" s="1" customFormat="1" ht="28.8" hidden="1">
      <c r="A43" s="1" t="s">
        <v>90</v>
      </c>
      <c r="B43" s="2" t="s">
        <v>456</v>
      </c>
      <c r="C43" s="2" t="s">
        <v>457</v>
      </c>
      <c r="D43" s="1">
        <v>2021</v>
      </c>
      <c r="E43" s="1" t="s">
        <v>417</v>
      </c>
      <c r="F43" s="1" t="s">
        <v>29</v>
      </c>
      <c r="G43" s="1" t="s">
        <v>30</v>
      </c>
      <c r="H43" s="1" t="s">
        <v>30</v>
      </c>
      <c r="I43" s="1" t="s">
        <v>30</v>
      </c>
      <c r="J43" s="1" t="s">
        <v>31</v>
      </c>
      <c r="O43" s="1" t="s">
        <v>31</v>
      </c>
    </row>
    <row r="44" spans="1:15" s="1" customFormat="1" ht="43.2" hidden="1">
      <c r="A44" s="1" t="s">
        <v>91</v>
      </c>
      <c r="B44" s="2" t="s">
        <v>458</v>
      </c>
      <c r="C44" s="1" t="s">
        <v>459</v>
      </c>
      <c r="D44" s="1">
        <v>2023</v>
      </c>
      <c r="E44" s="1" t="s">
        <v>460</v>
      </c>
      <c r="F44" s="1" t="s">
        <v>29</v>
      </c>
      <c r="G44" s="1" t="s">
        <v>30</v>
      </c>
      <c r="H44" s="1" t="s">
        <v>31</v>
      </c>
      <c r="I44" s="1" t="s">
        <v>30</v>
      </c>
      <c r="J44" s="1" t="s">
        <v>31</v>
      </c>
      <c r="O44" s="1" t="s">
        <v>31</v>
      </c>
    </row>
    <row r="45" spans="1:15" s="1" customFormat="1" ht="165.6">
      <c r="A45" s="1" t="s">
        <v>92</v>
      </c>
      <c r="B45" s="2" t="s">
        <v>461</v>
      </c>
      <c r="C45" s="1" t="s">
        <v>462</v>
      </c>
      <c r="D45" s="1">
        <v>2024</v>
      </c>
      <c r="E45" s="1" t="s">
        <v>463</v>
      </c>
      <c r="F45" s="1" t="s">
        <v>29</v>
      </c>
      <c r="G45" s="1" t="s">
        <v>30</v>
      </c>
      <c r="H45" s="1" t="s">
        <v>30</v>
      </c>
      <c r="I45" s="1" t="s">
        <v>30</v>
      </c>
      <c r="J45" s="1" t="s">
        <v>30</v>
      </c>
      <c r="L45" s="1" t="s">
        <v>30</v>
      </c>
      <c r="M45" s="1" t="s">
        <v>15</v>
      </c>
      <c r="N45" s="7" t="s">
        <v>464</v>
      </c>
      <c r="O45" s="1" t="s">
        <v>30</v>
      </c>
    </row>
    <row r="46" spans="1:15" hidden="1">
      <c r="A46" s="1" t="s">
        <v>93</v>
      </c>
      <c r="B46" s="12" t="s">
        <v>465</v>
      </c>
      <c r="J46" s="11" t="s">
        <v>31</v>
      </c>
      <c r="O46" s="11" t="s">
        <v>31</v>
      </c>
    </row>
    <row r="47" spans="1:15" hidden="1">
      <c r="A47" s="1" t="s">
        <v>94</v>
      </c>
      <c r="B47" s="12" t="s">
        <v>465</v>
      </c>
      <c r="C47" s="11" t="s">
        <v>466</v>
      </c>
      <c r="D47" s="11">
        <v>2025</v>
      </c>
      <c r="E47" s="11" t="s">
        <v>467</v>
      </c>
      <c r="F47" s="11" t="s">
        <v>29</v>
      </c>
      <c r="G47" s="11" t="s">
        <v>30</v>
      </c>
      <c r="H47" s="11" t="s">
        <v>31</v>
      </c>
      <c r="I47" s="11" t="s">
        <v>30</v>
      </c>
      <c r="J47" s="11" t="s">
        <v>31</v>
      </c>
      <c r="O47" s="11" t="s">
        <v>31</v>
      </c>
    </row>
    <row r="48" spans="1:15" hidden="1">
      <c r="A48" s="1" t="s">
        <v>95</v>
      </c>
      <c r="B48" s="12" t="s">
        <v>468</v>
      </c>
      <c r="C48" s="11" t="s">
        <v>469</v>
      </c>
      <c r="D48" s="11">
        <v>2024</v>
      </c>
      <c r="E48" s="11" t="s">
        <v>470</v>
      </c>
      <c r="F48" s="11" t="s">
        <v>29</v>
      </c>
      <c r="G48" s="11" t="s">
        <v>30</v>
      </c>
      <c r="H48" s="11" t="s">
        <v>31</v>
      </c>
      <c r="I48" s="11" t="s">
        <v>30</v>
      </c>
      <c r="J48" s="11" t="s">
        <v>31</v>
      </c>
      <c r="O48" s="11" t="s">
        <v>31</v>
      </c>
    </row>
    <row r="49" spans="1:16" ht="82.8" hidden="1">
      <c r="A49" s="1" t="s">
        <v>96</v>
      </c>
      <c r="B49" s="12" t="s">
        <v>471</v>
      </c>
      <c r="C49" s="11" t="s">
        <v>472</v>
      </c>
      <c r="D49" s="11">
        <v>2023</v>
      </c>
      <c r="E49" s="11" t="s">
        <v>473</v>
      </c>
      <c r="F49" s="11" t="s">
        <v>29</v>
      </c>
      <c r="G49" s="11" t="s">
        <v>31</v>
      </c>
      <c r="H49" s="11" t="s">
        <v>30</v>
      </c>
      <c r="I49" s="11" t="s">
        <v>30</v>
      </c>
      <c r="J49" s="11" t="s">
        <v>31</v>
      </c>
      <c r="L49" s="11" t="s">
        <v>30</v>
      </c>
      <c r="M49" s="11" t="s">
        <v>15</v>
      </c>
      <c r="N49" s="13" t="s">
        <v>474</v>
      </c>
      <c r="O49" s="11" t="s">
        <v>31</v>
      </c>
    </row>
    <row r="50" spans="1:16" ht="28.8" hidden="1">
      <c r="A50" s="1" t="s">
        <v>97</v>
      </c>
      <c r="B50" s="12" t="s">
        <v>475</v>
      </c>
      <c r="C50" s="11" t="s">
        <v>476</v>
      </c>
      <c r="D50" s="11">
        <v>2022</v>
      </c>
      <c r="E50" s="11" t="s">
        <v>477</v>
      </c>
      <c r="F50" s="11" t="s">
        <v>29</v>
      </c>
      <c r="G50" s="11" t="s">
        <v>30</v>
      </c>
      <c r="H50" s="11" t="s">
        <v>30</v>
      </c>
      <c r="I50" s="11" t="s">
        <v>30</v>
      </c>
      <c r="J50" s="11" t="s">
        <v>31</v>
      </c>
      <c r="O50" s="11" t="s">
        <v>31</v>
      </c>
    </row>
    <row r="51" spans="1:16" ht="193.2">
      <c r="A51" s="1" t="s">
        <v>98</v>
      </c>
      <c r="B51" s="1" t="s">
        <v>478</v>
      </c>
      <c r="C51" s="1" t="s">
        <v>479</v>
      </c>
      <c r="D51" s="1">
        <v>2024</v>
      </c>
      <c r="E51" s="1" t="s">
        <v>480</v>
      </c>
      <c r="F51" s="1" t="s">
        <v>29</v>
      </c>
      <c r="G51" s="1" t="s">
        <v>30</v>
      </c>
      <c r="H51" s="1" t="s">
        <v>30</v>
      </c>
      <c r="I51" s="1" t="s">
        <v>30</v>
      </c>
      <c r="J51" s="1" t="s">
        <v>30</v>
      </c>
      <c r="K51" s="1"/>
      <c r="L51" s="1" t="s">
        <v>30</v>
      </c>
      <c r="M51" s="1" t="s">
        <v>15</v>
      </c>
      <c r="N51" s="2" t="s">
        <v>481</v>
      </c>
      <c r="O51" s="1" t="s">
        <v>30</v>
      </c>
      <c r="P51" s="1"/>
    </row>
    <row r="52" spans="1:16" ht="72" hidden="1">
      <c r="A52" s="1" t="s">
        <v>99</v>
      </c>
      <c r="B52" t="s">
        <v>482</v>
      </c>
      <c r="C52" s="12" t="s">
        <v>483</v>
      </c>
      <c r="D52" s="11">
        <v>2025</v>
      </c>
      <c r="E52" s="11" t="s">
        <v>484</v>
      </c>
      <c r="F52" s="11" t="s">
        <v>29</v>
      </c>
      <c r="G52" s="11" t="s">
        <v>30</v>
      </c>
      <c r="H52" s="11" t="s">
        <v>30</v>
      </c>
      <c r="I52" s="11" t="s">
        <v>30</v>
      </c>
      <c r="J52" s="11" t="s">
        <v>30</v>
      </c>
      <c r="L52" s="11" t="s">
        <v>31</v>
      </c>
      <c r="O52" s="11" t="s">
        <v>31</v>
      </c>
    </row>
    <row r="53" spans="1:16" hidden="1">
      <c r="A53" s="1" t="s">
        <v>100</v>
      </c>
      <c r="B53" t="s">
        <v>485</v>
      </c>
      <c r="C53" s="11" t="s">
        <v>486</v>
      </c>
      <c r="D53" s="11">
        <v>2021</v>
      </c>
      <c r="E53" s="11" t="s">
        <v>417</v>
      </c>
      <c r="F53" s="11" t="s">
        <v>29</v>
      </c>
      <c r="G53" s="11" t="s">
        <v>30</v>
      </c>
      <c r="H53" s="11" t="s">
        <v>30</v>
      </c>
      <c r="I53" s="11" t="s">
        <v>30</v>
      </c>
      <c r="J53" s="11" t="s">
        <v>31</v>
      </c>
      <c r="O53" s="11" t="s">
        <v>31</v>
      </c>
    </row>
    <row r="54" spans="1:16" hidden="1">
      <c r="A54" s="1" t="s">
        <v>101</v>
      </c>
      <c r="B54" t="s">
        <v>487</v>
      </c>
      <c r="C54" s="11" t="s">
        <v>488</v>
      </c>
      <c r="D54" s="11">
        <v>2021</v>
      </c>
      <c r="E54" s="11" t="s">
        <v>397</v>
      </c>
      <c r="F54" s="11" t="s">
        <v>29</v>
      </c>
      <c r="G54" s="11" t="s">
        <v>31</v>
      </c>
      <c r="J54" s="11" t="s">
        <v>31</v>
      </c>
      <c r="O54" s="11" t="s">
        <v>31</v>
      </c>
    </row>
    <row r="55" spans="1:16" hidden="1">
      <c r="A55" s="1" t="s">
        <v>102</v>
      </c>
      <c r="B55" s="11" t="s">
        <v>489</v>
      </c>
      <c r="C55" s="11" t="s">
        <v>490</v>
      </c>
      <c r="D55" s="11">
        <v>2022</v>
      </c>
      <c r="E55" s="11" t="s">
        <v>491</v>
      </c>
      <c r="F55" s="11" t="s">
        <v>29</v>
      </c>
      <c r="G55" s="11" t="s">
        <v>30</v>
      </c>
      <c r="H55" s="11" t="s">
        <v>30</v>
      </c>
      <c r="I55" s="11" t="s">
        <v>30</v>
      </c>
      <c r="J55" s="11" t="s">
        <v>31</v>
      </c>
      <c r="O55" s="11" t="s">
        <v>31</v>
      </c>
    </row>
    <row r="56" spans="1:16" hidden="1">
      <c r="A56" s="1" t="s">
        <v>103</v>
      </c>
      <c r="B56" s="11" t="s">
        <v>492</v>
      </c>
      <c r="C56" s="11" t="s">
        <v>493</v>
      </c>
      <c r="D56" s="11">
        <v>2024</v>
      </c>
      <c r="E56" s="11" t="s">
        <v>494</v>
      </c>
      <c r="F56" s="11" t="s">
        <v>29</v>
      </c>
      <c r="G56" s="11" t="s">
        <v>30</v>
      </c>
      <c r="H56" s="11" t="s">
        <v>31</v>
      </c>
      <c r="I56" s="11" t="s">
        <v>30</v>
      </c>
      <c r="J56" s="11" t="s">
        <v>31</v>
      </c>
      <c r="O56" s="11" t="s">
        <v>495</v>
      </c>
    </row>
    <row r="57" spans="1:16" ht="28.8" hidden="1">
      <c r="A57" s="1" t="s">
        <v>104</v>
      </c>
      <c r="B57" s="12" t="s">
        <v>496</v>
      </c>
      <c r="C57" s="11" t="s">
        <v>497</v>
      </c>
      <c r="D57" s="11">
        <v>2025</v>
      </c>
      <c r="E57" s="11" t="s">
        <v>498</v>
      </c>
      <c r="F57" s="11" t="s">
        <v>29</v>
      </c>
      <c r="G57" s="11" t="s">
        <v>30</v>
      </c>
      <c r="H57" s="11" t="s">
        <v>30</v>
      </c>
      <c r="I57" s="11" t="s">
        <v>30</v>
      </c>
      <c r="J57" s="11" t="s">
        <v>30</v>
      </c>
      <c r="L57" s="11" t="s">
        <v>31</v>
      </c>
      <c r="O57" s="11" t="s">
        <v>31</v>
      </c>
    </row>
    <row r="58" spans="1:16" hidden="1">
      <c r="A58" s="1" t="s">
        <v>105</v>
      </c>
      <c r="B58" s="11" t="s">
        <v>499</v>
      </c>
      <c r="C58" s="11" t="s">
        <v>500</v>
      </c>
      <c r="D58" s="11">
        <v>2025</v>
      </c>
      <c r="E58" s="11" t="s">
        <v>33</v>
      </c>
      <c r="F58" s="11" t="s">
        <v>29</v>
      </c>
      <c r="G58" s="11" t="s">
        <v>30</v>
      </c>
      <c r="H58" s="11" t="s">
        <v>30</v>
      </c>
      <c r="I58" s="11" t="s">
        <v>30</v>
      </c>
      <c r="J58" s="11" t="s">
        <v>30</v>
      </c>
      <c r="L58" s="11" t="s">
        <v>31</v>
      </c>
      <c r="O58" s="11" t="s">
        <v>31</v>
      </c>
    </row>
    <row r="59" spans="1:16" hidden="1">
      <c r="A59" s="1" t="s">
        <v>106</v>
      </c>
      <c r="B59" s="11" t="s">
        <v>501</v>
      </c>
      <c r="C59" s="11" t="s">
        <v>502</v>
      </c>
      <c r="D59" s="11">
        <v>2025</v>
      </c>
      <c r="E59" s="11" t="s">
        <v>503</v>
      </c>
      <c r="F59" s="11" t="s">
        <v>29</v>
      </c>
      <c r="G59" s="11" t="s">
        <v>30</v>
      </c>
      <c r="H59" s="11" t="s">
        <v>30</v>
      </c>
      <c r="I59" s="11" t="s">
        <v>30</v>
      </c>
      <c r="J59" s="11" t="s">
        <v>30</v>
      </c>
      <c r="L59" s="11" t="s">
        <v>31</v>
      </c>
      <c r="O59" s="11" t="s">
        <v>495</v>
      </c>
    </row>
    <row r="60" spans="1:16" hidden="1">
      <c r="A60" s="1" t="s">
        <v>107</v>
      </c>
      <c r="B60" s="11" t="s">
        <v>504</v>
      </c>
      <c r="C60" s="11" t="s">
        <v>505</v>
      </c>
      <c r="D60" s="11">
        <v>2025</v>
      </c>
      <c r="E60" s="11" t="s">
        <v>506</v>
      </c>
      <c r="F60" s="11" t="s">
        <v>29</v>
      </c>
      <c r="G60" s="11" t="s">
        <v>30</v>
      </c>
      <c r="H60" s="11" t="s">
        <v>31</v>
      </c>
      <c r="I60" s="11" t="s">
        <v>30</v>
      </c>
      <c r="J60" s="11" t="s">
        <v>31</v>
      </c>
      <c r="O60" s="11" t="s">
        <v>495</v>
      </c>
    </row>
    <row r="61" spans="1:16" hidden="1">
      <c r="A61" s="1" t="s">
        <v>108</v>
      </c>
      <c r="B61" s="11" t="s">
        <v>507</v>
      </c>
      <c r="C61" s="11" t="s">
        <v>508</v>
      </c>
      <c r="D61" s="11">
        <v>2023</v>
      </c>
      <c r="E61" s="11" t="s">
        <v>509</v>
      </c>
      <c r="F61" s="11" t="s">
        <v>29</v>
      </c>
      <c r="G61" s="11" t="s">
        <v>30</v>
      </c>
      <c r="H61" s="11" t="s">
        <v>31</v>
      </c>
      <c r="I61" s="11" t="s">
        <v>30</v>
      </c>
      <c r="J61" s="11" t="s">
        <v>31</v>
      </c>
      <c r="O61" s="11" t="s">
        <v>31</v>
      </c>
    </row>
    <row r="62" spans="1:16" hidden="1">
      <c r="A62" s="1" t="s">
        <v>109</v>
      </c>
      <c r="B62" s="11" t="s">
        <v>510</v>
      </c>
      <c r="C62" s="11" t="s">
        <v>511</v>
      </c>
      <c r="D62" s="11">
        <v>2024</v>
      </c>
      <c r="E62" s="11" t="s">
        <v>512</v>
      </c>
      <c r="F62" s="11" t="s">
        <v>29</v>
      </c>
      <c r="G62" s="11" t="s">
        <v>30</v>
      </c>
      <c r="H62" s="11" t="s">
        <v>30</v>
      </c>
      <c r="I62" s="11" t="s">
        <v>30</v>
      </c>
      <c r="J62" s="11" t="s">
        <v>30</v>
      </c>
      <c r="L62" s="11" t="s">
        <v>31</v>
      </c>
      <c r="O62" s="11" t="s">
        <v>31</v>
      </c>
    </row>
    <row r="63" spans="1:16" hidden="1">
      <c r="A63" s="1" t="s">
        <v>110</v>
      </c>
      <c r="B63" s="11" t="s">
        <v>513</v>
      </c>
      <c r="C63" s="11" t="s">
        <v>514</v>
      </c>
      <c r="D63" s="11">
        <v>2024</v>
      </c>
      <c r="E63" s="11" t="s">
        <v>33</v>
      </c>
      <c r="F63" s="11" t="s">
        <v>29</v>
      </c>
      <c r="G63" s="11" t="s">
        <v>30</v>
      </c>
      <c r="H63" s="11" t="s">
        <v>31</v>
      </c>
      <c r="I63" s="11" t="s">
        <v>30</v>
      </c>
      <c r="J63" s="11" t="s">
        <v>31</v>
      </c>
      <c r="O63" s="11" t="s">
        <v>31</v>
      </c>
    </row>
    <row r="64" spans="1:16" hidden="1">
      <c r="A64" s="1" t="s">
        <v>111</v>
      </c>
      <c r="B64" s="12" t="s">
        <v>515</v>
      </c>
      <c r="C64" s="12" t="s">
        <v>516</v>
      </c>
      <c r="D64" s="11">
        <v>2025</v>
      </c>
      <c r="E64" s="11" t="s">
        <v>517</v>
      </c>
      <c r="F64" s="11" t="s">
        <v>29</v>
      </c>
      <c r="G64" s="11" t="s">
        <v>30</v>
      </c>
      <c r="H64" s="11" t="s">
        <v>30</v>
      </c>
      <c r="I64" s="11" t="s">
        <v>30</v>
      </c>
      <c r="J64" s="11" t="s">
        <v>30</v>
      </c>
      <c r="L64" s="11" t="s">
        <v>31</v>
      </c>
      <c r="O64" s="11" t="s">
        <v>31</v>
      </c>
    </row>
    <row r="65" spans="1:15" hidden="1">
      <c r="A65" s="1" t="s">
        <v>112</v>
      </c>
      <c r="B65" s="12" t="s">
        <v>518</v>
      </c>
      <c r="C65" s="11" t="s">
        <v>519</v>
      </c>
      <c r="D65" s="11">
        <v>2022</v>
      </c>
      <c r="E65" s="11" t="s">
        <v>397</v>
      </c>
      <c r="F65" s="11" t="s">
        <v>29</v>
      </c>
      <c r="G65" s="11" t="s">
        <v>31</v>
      </c>
      <c r="J65" s="11" t="s">
        <v>31</v>
      </c>
      <c r="O65" s="11" t="s">
        <v>31</v>
      </c>
    </row>
    <row r="66" spans="1:15" hidden="1">
      <c r="A66" s="1" t="s">
        <v>113</v>
      </c>
      <c r="B66" s="12" t="s">
        <v>520</v>
      </c>
      <c r="C66" s="11" t="s">
        <v>521</v>
      </c>
      <c r="D66" s="11">
        <v>2022</v>
      </c>
      <c r="E66" s="11" t="s">
        <v>522</v>
      </c>
      <c r="F66" s="11" t="s">
        <v>29</v>
      </c>
      <c r="G66" s="11" t="s">
        <v>30</v>
      </c>
      <c r="H66" s="11" t="s">
        <v>30</v>
      </c>
      <c r="I66" s="11" t="s">
        <v>30</v>
      </c>
      <c r="J66" s="11" t="s">
        <v>31</v>
      </c>
      <c r="O66" s="11" t="s">
        <v>31</v>
      </c>
    </row>
    <row r="67" spans="1:15" hidden="1">
      <c r="A67" s="1" t="s">
        <v>114</v>
      </c>
      <c r="B67" s="12" t="s">
        <v>523</v>
      </c>
      <c r="C67" s="11" t="s">
        <v>524</v>
      </c>
      <c r="D67" s="11">
        <v>2024</v>
      </c>
      <c r="E67" s="11" t="s">
        <v>525</v>
      </c>
      <c r="F67" s="11" t="s">
        <v>29</v>
      </c>
      <c r="G67" s="11" t="s">
        <v>30</v>
      </c>
      <c r="H67" s="11" t="s">
        <v>30</v>
      </c>
      <c r="I67" s="11" t="s">
        <v>30</v>
      </c>
      <c r="J67" s="11" t="s">
        <v>30</v>
      </c>
      <c r="L67" s="11" t="s">
        <v>31</v>
      </c>
      <c r="O67" s="11" t="s">
        <v>31</v>
      </c>
    </row>
    <row r="68" spans="1:15" hidden="1">
      <c r="A68" s="1" t="s">
        <v>115</v>
      </c>
      <c r="B68" s="12" t="s">
        <v>526</v>
      </c>
      <c r="C68" s="11" t="s">
        <v>527</v>
      </c>
      <c r="D68" s="11">
        <v>2024</v>
      </c>
      <c r="E68" s="11" t="s">
        <v>33</v>
      </c>
      <c r="F68" s="11" t="s">
        <v>29</v>
      </c>
      <c r="G68" s="11" t="s">
        <v>30</v>
      </c>
      <c r="H68" s="11" t="s">
        <v>30</v>
      </c>
      <c r="I68" s="11" t="s">
        <v>30</v>
      </c>
      <c r="J68" s="11" t="s">
        <v>30</v>
      </c>
      <c r="L68" s="11" t="s">
        <v>30</v>
      </c>
      <c r="M68" s="11" t="s">
        <v>12</v>
      </c>
      <c r="O68" s="11" t="s">
        <v>31</v>
      </c>
    </row>
    <row r="69" spans="1:15" hidden="1">
      <c r="A69" s="1" t="s">
        <v>116</v>
      </c>
      <c r="B69" s="12" t="s">
        <v>528</v>
      </c>
      <c r="C69" s="11" t="s">
        <v>529</v>
      </c>
      <c r="D69" s="11">
        <v>2022</v>
      </c>
      <c r="E69" s="11" t="s">
        <v>530</v>
      </c>
      <c r="F69" s="11" t="s">
        <v>29</v>
      </c>
      <c r="G69" s="11" t="s">
        <v>30</v>
      </c>
      <c r="H69" s="11" t="s">
        <v>31</v>
      </c>
      <c r="I69" s="11" t="s">
        <v>30</v>
      </c>
      <c r="J69" s="11" t="s">
        <v>31</v>
      </c>
      <c r="O69" s="11" t="s">
        <v>31</v>
      </c>
    </row>
    <row r="70" spans="1:15" hidden="1">
      <c r="A70" s="1" t="s">
        <v>117</v>
      </c>
      <c r="B70" s="12" t="s">
        <v>531</v>
      </c>
      <c r="C70" s="11" t="s">
        <v>532</v>
      </c>
      <c r="D70" s="11">
        <v>2024</v>
      </c>
      <c r="E70" s="11" t="s">
        <v>533</v>
      </c>
      <c r="F70" s="11" t="s">
        <v>29</v>
      </c>
      <c r="G70" s="11" t="s">
        <v>30</v>
      </c>
      <c r="H70" s="11" t="s">
        <v>30</v>
      </c>
      <c r="I70" s="11" t="s">
        <v>30</v>
      </c>
      <c r="J70" s="11" t="s">
        <v>30</v>
      </c>
      <c r="L70" s="11" t="s">
        <v>31</v>
      </c>
      <c r="O70" s="11" t="s">
        <v>31</v>
      </c>
    </row>
    <row r="71" spans="1:15" hidden="1">
      <c r="A71" s="1" t="s">
        <v>118</v>
      </c>
      <c r="B71" s="11" t="s">
        <v>534</v>
      </c>
      <c r="C71" s="11" t="s">
        <v>535</v>
      </c>
      <c r="D71" s="11">
        <v>2022</v>
      </c>
      <c r="E71" s="11" t="s">
        <v>536</v>
      </c>
      <c r="F71" s="11" t="s">
        <v>29</v>
      </c>
      <c r="G71" s="11" t="s">
        <v>30</v>
      </c>
      <c r="H71" s="11" t="s">
        <v>30</v>
      </c>
      <c r="I71" s="11" t="s">
        <v>30</v>
      </c>
      <c r="J71" s="11" t="s">
        <v>30</v>
      </c>
      <c r="L71" s="11" t="s">
        <v>31</v>
      </c>
      <c r="O71" s="11" t="s">
        <v>31</v>
      </c>
    </row>
    <row r="72" spans="1:15" hidden="1">
      <c r="A72" s="1" t="s">
        <v>119</v>
      </c>
      <c r="B72" s="12" t="s">
        <v>537</v>
      </c>
      <c r="C72" s="11" t="s">
        <v>538</v>
      </c>
      <c r="D72" s="11">
        <v>2020</v>
      </c>
      <c r="E72" s="11" t="s">
        <v>539</v>
      </c>
      <c r="F72" s="11" t="s">
        <v>29</v>
      </c>
      <c r="G72" s="11" t="s">
        <v>30</v>
      </c>
      <c r="H72" s="11" t="s">
        <v>31</v>
      </c>
      <c r="I72" s="11" t="s">
        <v>31</v>
      </c>
      <c r="J72" s="11" t="s">
        <v>31</v>
      </c>
      <c r="O72" s="11" t="s">
        <v>31</v>
      </c>
    </row>
    <row r="73" spans="1:15" ht="303.60000000000002" hidden="1">
      <c r="A73" s="1" t="s">
        <v>120</v>
      </c>
      <c r="B73" s="12" t="s">
        <v>540</v>
      </c>
      <c r="C73" s="11" t="s">
        <v>541</v>
      </c>
      <c r="D73" s="11">
        <v>2023</v>
      </c>
      <c r="E73" s="11" t="s">
        <v>417</v>
      </c>
      <c r="F73" s="11" t="s">
        <v>29</v>
      </c>
      <c r="G73" s="11" t="s">
        <v>31</v>
      </c>
      <c r="H73" s="11" t="s">
        <v>30</v>
      </c>
      <c r="I73" s="11" t="s">
        <v>30</v>
      </c>
      <c r="J73" s="11" t="s">
        <v>31</v>
      </c>
      <c r="L73" s="11" t="s">
        <v>30</v>
      </c>
      <c r="M73" s="11" t="s">
        <v>15</v>
      </c>
      <c r="N73" s="13" t="s">
        <v>545</v>
      </c>
      <c r="O73" s="11" t="s">
        <v>31</v>
      </c>
    </row>
    <row r="74" spans="1:15" hidden="1">
      <c r="A74" s="1" t="s">
        <v>121</v>
      </c>
      <c r="B74" s="12" t="s">
        <v>542</v>
      </c>
      <c r="C74" s="11" t="s">
        <v>543</v>
      </c>
      <c r="D74" s="11">
        <v>2023</v>
      </c>
      <c r="E74" s="11" t="s">
        <v>544</v>
      </c>
      <c r="F74" s="11" t="s">
        <v>29</v>
      </c>
      <c r="G74" s="11" t="s">
        <v>30</v>
      </c>
      <c r="H74" s="11" t="s">
        <v>30</v>
      </c>
      <c r="I74" s="11" t="s">
        <v>30</v>
      </c>
      <c r="J74" s="11" t="s">
        <v>30</v>
      </c>
      <c r="L74" s="11" t="s">
        <v>30</v>
      </c>
      <c r="M74" s="11" t="s">
        <v>12</v>
      </c>
      <c r="O74" s="11" t="s">
        <v>31</v>
      </c>
    </row>
    <row r="75" spans="1:15" hidden="1">
      <c r="A75" s="1" t="s">
        <v>122</v>
      </c>
      <c r="B75" s="12" t="s">
        <v>546</v>
      </c>
      <c r="C75" s="11" t="s">
        <v>547</v>
      </c>
      <c r="D75" s="11">
        <v>2022</v>
      </c>
      <c r="E75" s="11" t="s">
        <v>548</v>
      </c>
      <c r="F75" s="11" t="s">
        <v>29</v>
      </c>
      <c r="G75" s="11" t="s">
        <v>30</v>
      </c>
      <c r="H75" s="11" t="s">
        <v>31</v>
      </c>
      <c r="I75" s="11" t="s">
        <v>30</v>
      </c>
      <c r="J75" s="11" t="s">
        <v>31</v>
      </c>
      <c r="O75" s="11" t="s">
        <v>31</v>
      </c>
    </row>
    <row r="76" spans="1:15" hidden="1">
      <c r="A76" s="1" t="s">
        <v>123</v>
      </c>
      <c r="B76" s="12" t="s">
        <v>549</v>
      </c>
      <c r="C76" s="11" t="s">
        <v>550</v>
      </c>
      <c r="D76" s="11">
        <v>2023</v>
      </c>
      <c r="E76" s="11" t="s">
        <v>551</v>
      </c>
      <c r="F76" s="11" t="s">
        <v>29</v>
      </c>
      <c r="G76" s="11" t="s">
        <v>30</v>
      </c>
      <c r="H76" s="11" t="s">
        <v>30</v>
      </c>
      <c r="I76" s="11" t="s">
        <v>30</v>
      </c>
      <c r="J76" s="11" t="s">
        <v>30</v>
      </c>
      <c r="L76" s="11" t="s">
        <v>31</v>
      </c>
      <c r="O76" s="11" t="s">
        <v>495</v>
      </c>
    </row>
    <row r="77" spans="1:15" hidden="1">
      <c r="A77" s="1" t="s">
        <v>124</v>
      </c>
      <c r="B77" s="12" t="s">
        <v>552</v>
      </c>
      <c r="C77" s="11" t="s">
        <v>553</v>
      </c>
      <c r="D77" s="11">
        <v>2022</v>
      </c>
      <c r="E77" s="11" t="s">
        <v>554</v>
      </c>
      <c r="F77" s="11" t="s">
        <v>29</v>
      </c>
      <c r="G77" s="11" t="s">
        <v>30</v>
      </c>
      <c r="J77" s="11" t="s">
        <v>31</v>
      </c>
      <c r="O77" s="11" t="s">
        <v>31</v>
      </c>
    </row>
    <row r="78" spans="1:15" hidden="1">
      <c r="A78" s="1" t="s">
        <v>125</v>
      </c>
      <c r="B78" s="12" t="s">
        <v>555</v>
      </c>
      <c r="C78" s="11" t="s">
        <v>556</v>
      </c>
      <c r="D78" s="11">
        <v>2021</v>
      </c>
      <c r="J78" s="11" t="s">
        <v>31</v>
      </c>
      <c r="O78" s="11" t="s">
        <v>31</v>
      </c>
    </row>
    <row r="79" spans="1:15" hidden="1">
      <c r="A79" s="1" t="s">
        <v>126</v>
      </c>
      <c r="B79" s="12" t="s">
        <v>557</v>
      </c>
      <c r="C79" s="11" t="s">
        <v>558</v>
      </c>
      <c r="D79" s="11">
        <v>2024</v>
      </c>
      <c r="E79" s="11" t="s">
        <v>525</v>
      </c>
      <c r="F79" s="11" t="s">
        <v>29</v>
      </c>
      <c r="G79" s="11" t="s">
        <v>30</v>
      </c>
      <c r="H79" s="11" t="s">
        <v>30</v>
      </c>
      <c r="I79" s="11" t="s">
        <v>30</v>
      </c>
      <c r="J79" s="11" t="s">
        <v>30</v>
      </c>
      <c r="L79" s="11" t="s">
        <v>30</v>
      </c>
      <c r="M79" s="11" t="s">
        <v>12</v>
      </c>
      <c r="O79" s="11" t="s">
        <v>31</v>
      </c>
    </row>
    <row r="80" spans="1:15" hidden="1">
      <c r="A80" s="1" t="s">
        <v>127</v>
      </c>
      <c r="B80" s="12" t="s">
        <v>559</v>
      </c>
      <c r="C80" s="11" t="s">
        <v>560</v>
      </c>
      <c r="D80" s="11">
        <v>2023</v>
      </c>
      <c r="E80" s="11" t="s">
        <v>561</v>
      </c>
      <c r="F80" s="11" t="s">
        <v>29</v>
      </c>
      <c r="G80" s="11" t="s">
        <v>30</v>
      </c>
      <c r="H80" s="11" t="s">
        <v>30</v>
      </c>
      <c r="I80" s="11" t="s">
        <v>30</v>
      </c>
      <c r="J80" s="11" t="s">
        <v>30</v>
      </c>
      <c r="L80" s="11" t="s">
        <v>30</v>
      </c>
      <c r="M80" s="11" t="s">
        <v>12</v>
      </c>
      <c r="O80" s="11" t="s">
        <v>31</v>
      </c>
    </row>
    <row r="81" spans="1:15" hidden="1">
      <c r="A81" s="1" t="s">
        <v>128</v>
      </c>
      <c r="B81" s="12" t="s">
        <v>562</v>
      </c>
      <c r="C81" s="11" t="s">
        <v>563</v>
      </c>
      <c r="D81" s="11">
        <v>2022</v>
      </c>
      <c r="J81" s="11" t="s">
        <v>31</v>
      </c>
      <c r="O81" s="11" t="s">
        <v>31</v>
      </c>
    </row>
    <row r="82" spans="1:15" hidden="1">
      <c r="A82" s="1" t="s">
        <v>129</v>
      </c>
      <c r="B82" s="12" t="s">
        <v>564</v>
      </c>
      <c r="C82" s="11" t="s">
        <v>565</v>
      </c>
      <c r="D82" s="11">
        <v>2022</v>
      </c>
      <c r="J82" s="11" t="s">
        <v>31</v>
      </c>
      <c r="O82" s="11" t="s">
        <v>31</v>
      </c>
    </row>
    <row r="83" spans="1:15" hidden="1">
      <c r="A83" s="1" t="s">
        <v>130</v>
      </c>
      <c r="B83" s="12" t="s">
        <v>566</v>
      </c>
      <c r="C83" s="11" t="s">
        <v>567</v>
      </c>
      <c r="D83" s="11">
        <v>2020</v>
      </c>
      <c r="J83" s="11" t="s">
        <v>31</v>
      </c>
      <c r="O83" s="11" t="s">
        <v>31</v>
      </c>
    </row>
    <row r="84" spans="1:15" hidden="1">
      <c r="A84" s="1" t="s">
        <v>131</v>
      </c>
      <c r="B84" s="12" t="s">
        <v>568</v>
      </c>
      <c r="C84" s="11" t="s">
        <v>569</v>
      </c>
      <c r="D84" s="11">
        <v>2022</v>
      </c>
      <c r="J84" s="11" t="s">
        <v>31</v>
      </c>
      <c r="O84" s="11" t="s">
        <v>31</v>
      </c>
    </row>
    <row r="85" spans="1:15" hidden="1">
      <c r="A85" s="1" t="s">
        <v>132</v>
      </c>
      <c r="B85" s="12" t="s">
        <v>570</v>
      </c>
      <c r="C85" s="11" t="s">
        <v>571</v>
      </c>
      <c r="D85" s="11">
        <v>2022</v>
      </c>
      <c r="J85" s="11" t="s">
        <v>31</v>
      </c>
      <c r="O85" s="11" t="s">
        <v>31</v>
      </c>
    </row>
    <row r="86" spans="1:15" hidden="1">
      <c r="A86" s="1" t="s">
        <v>133</v>
      </c>
      <c r="B86" s="12" t="s">
        <v>572</v>
      </c>
      <c r="C86" s="11" t="s">
        <v>573</v>
      </c>
      <c r="D86" s="11">
        <v>2023</v>
      </c>
      <c r="E86" s="11" t="s">
        <v>574</v>
      </c>
      <c r="F86" s="11" t="s">
        <v>29</v>
      </c>
      <c r="G86" s="11" t="s">
        <v>30</v>
      </c>
      <c r="H86" s="11" t="s">
        <v>30</v>
      </c>
      <c r="I86" s="11" t="s">
        <v>30</v>
      </c>
      <c r="J86" s="11" t="s">
        <v>30</v>
      </c>
      <c r="L86" s="11" t="s">
        <v>31</v>
      </c>
      <c r="M86" s="11" t="s">
        <v>12</v>
      </c>
      <c r="O86" s="11" t="s">
        <v>495</v>
      </c>
    </row>
    <row r="87" spans="1:15" hidden="1">
      <c r="A87" s="1" t="s">
        <v>134</v>
      </c>
      <c r="B87" s="12" t="s">
        <v>575</v>
      </c>
      <c r="C87" s="12" t="s">
        <v>576</v>
      </c>
      <c r="D87" s="11">
        <v>2023</v>
      </c>
      <c r="E87" s="11" t="s">
        <v>577</v>
      </c>
      <c r="F87" s="11" t="s">
        <v>29</v>
      </c>
      <c r="G87" s="11" t="s">
        <v>30</v>
      </c>
      <c r="H87" s="11" t="s">
        <v>31</v>
      </c>
      <c r="I87" s="11" t="s">
        <v>30</v>
      </c>
      <c r="J87" s="11" t="s">
        <v>31</v>
      </c>
      <c r="O87" s="11" t="s">
        <v>31</v>
      </c>
    </row>
    <row r="88" spans="1:15" hidden="1">
      <c r="A88" s="1" t="s">
        <v>135</v>
      </c>
      <c r="B88" s="12" t="s">
        <v>578</v>
      </c>
      <c r="C88" s="11" t="s">
        <v>579</v>
      </c>
      <c r="D88" s="11">
        <v>2025</v>
      </c>
      <c r="E88" s="11" t="s">
        <v>580</v>
      </c>
      <c r="F88" s="11" t="s">
        <v>29</v>
      </c>
      <c r="G88" s="11" t="s">
        <v>30</v>
      </c>
      <c r="H88" s="11" t="s">
        <v>31</v>
      </c>
      <c r="I88" s="11" t="s">
        <v>30</v>
      </c>
      <c r="J88" s="11" t="s">
        <v>495</v>
      </c>
      <c r="O88" s="11" t="s">
        <v>495</v>
      </c>
    </row>
    <row r="89" spans="1:15" hidden="1">
      <c r="A89" s="1" t="s">
        <v>136</v>
      </c>
      <c r="B89" s="12" t="s">
        <v>581</v>
      </c>
      <c r="C89" s="11" t="s">
        <v>582</v>
      </c>
      <c r="D89" s="11">
        <v>2023</v>
      </c>
      <c r="E89" s="11" t="s">
        <v>530</v>
      </c>
      <c r="F89" s="11" t="s">
        <v>29</v>
      </c>
      <c r="G89" s="11" t="s">
        <v>30</v>
      </c>
      <c r="H89" s="11" t="s">
        <v>30</v>
      </c>
      <c r="I89" s="11" t="s">
        <v>30</v>
      </c>
      <c r="J89" s="11" t="s">
        <v>30</v>
      </c>
      <c r="L89" s="11" t="s">
        <v>31</v>
      </c>
      <c r="O89" s="11" t="s">
        <v>31</v>
      </c>
    </row>
    <row r="90" spans="1:15" hidden="1">
      <c r="A90" s="1" t="s">
        <v>137</v>
      </c>
      <c r="B90" s="12" t="s">
        <v>583</v>
      </c>
      <c r="C90" s="11" t="s">
        <v>584</v>
      </c>
      <c r="D90" s="11">
        <v>2021</v>
      </c>
      <c r="J90" s="11" t="s">
        <v>31</v>
      </c>
      <c r="O90" s="11" t="s">
        <v>31</v>
      </c>
    </row>
    <row r="91" spans="1:15" ht="179.4" hidden="1">
      <c r="A91" s="1" t="s">
        <v>138</v>
      </c>
      <c r="B91" s="12" t="s">
        <v>585</v>
      </c>
      <c r="C91" s="11" t="s">
        <v>586</v>
      </c>
      <c r="D91" s="11">
        <v>2024</v>
      </c>
      <c r="E91" s="11" t="s">
        <v>587</v>
      </c>
      <c r="F91" s="11" t="s">
        <v>29</v>
      </c>
      <c r="G91" s="11" t="s">
        <v>31</v>
      </c>
      <c r="H91" s="11" t="s">
        <v>30</v>
      </c>
      <c r="I91" s="11" t="s">
        <v>30</v>
      </c>
      <c r="J91" s="11" t="s">
        <v>31</v>
      </c>
      <c r="L91" s="11" t="s">
        <v>30</v>
      </c>
      <c r="M91" s="11" t="s">
        <v>15</v>
      </c>
      <c r="N91" s="13" t="s">
        <v>588</v>
      </c>
      <c r="O91" s="11" t="s">
        <v>31</v>
      </c>
    </row>
    <row r="92" spans="1:15" hidden="1">
      <c r="A92" s="1" t="s">
        <v>139</v>
      </c>
      <c r="B92" s="12" t="s">
        <v>589</v>
      </c>
      <c r="C92" s="11" t="s">
        <v>590</v>
      </c>
      <c r="D92" s="11">
        <v>2023</v>
      </c>
      <c r="E92" s="11" t="s">
        <v>417</v>
      </c>
      <c r="F92" s="11" t="s">
        <v>29</v>
      </c>
      <c r="G92" s="11" t="s">
        <v>31</v>
      </c>
      <c r="H92" s="11" t="s">
        <v>30</v>
      </c>
      <c r="I92" s="11" t="s">
        <v>30</v>
      </c>
      <c r="J92" s="11" t="s">
        <v>31</v>
      </c>
      <c r="L92" s="11" t="s">
        <v>30</v>
      </c>
      <c r="M92" s="11" t="s">
        <v>15</v>
      </c>
      <c r="N92" s="16" t="s">
        <v>591</v>
      </c>
      <c r="O92" s="11" t="s">
        <v>31</v>
      </c>
    </row>
    <row r="93" spans="1:15" hidden="1">
      <c r="A93" s="1" t="s">
        <v>140</v>
      </c>
      <c r="B93" s="12" t="s">
        <v>592</v>
      </c>
      <c r="C93" s="11" t="s">
        <v>593</v>
      </c>
      <c r="D93" s="11">
        <v>2022</v>
      </c>
      <c r="E93" s="11" t="s">
        <v>594</v>
      </c>
      <c r="F93" s="11" t="s">
        <v>29</v>
      </c>
      <c r="G93" s="11" t="s">
        <v>30</v>
      </c>
      <c r="H93" s="11" t="s">
        <v>30</v>
      </c>
      <c r="I93" s="11" t="s">
        <v>30</v>
      </c>
      <c r="J93" s="11" t="s">
        <v>30</v>
      </c>
      <c r="L93" s="11" t="s">
        <v>30</v>
      </c>
      <c r="O93" s="11" t="s">
        <v>31</v>
      </c>
    </row>
    <row r="94" spans="1:15" hidden="1">
      <c r="A94" s="1" t="s">
        <v>141</v>
      </c>
      <c r="B94" s="12" t="s">
        <v>595</v>
      </c>
      <c r="C94" s="11" t="s">
        <v>596</v>
      </c>
      <c r="D94" s="11">
        <v>2024</v>
      </c>
      <c r="E94" s="11" t="s">
        <v>597</v>
      </c>
      <c r="F94" s="11" t="s">
        <v>29</v>
      </c>
      <c r="G94" s="11" t="s">
        <v>30</v>
      </c>
      <c r="H94" s="11" t="s">
        <v>30</v>
      </c>
      <c r="I94" s="11" t="s">
        <v>30</v>
      </c>
      <c r="J94" s="11" t="s">
        <v>30</v>
      </c>
      <c r="L94" s="11" t="s">
        <v>31</v>
      </c>
      <c r="M94" s="11" t="s">
        <v>12</v>
      </c>
      <c r="O94" s="11" t="s">
        <v>31</v>
      </c>
    </row>
    <row r="95" spans="1:15" hidden="1">
      <c r="A95" s="1" t="s">
        <v>142</v>
      </c>
      <c r="B95" s="12" t="s">
        <v>598</v>
      </c>
      <c r="C95" s="11" t="s">
        <v>599</v>
      </c>
      <c r="D95" s="11">
        <v>2025</v>
      </c>
      <c r="E95" s="11" t="s">
        <v>600</v>
      </c>
      <c r="F95" s="11" t="s">
        <v>29</v>
      </c>
      <c r="G95" s="11" t="s">
        <v>30</v>
      </c>
      <c r="H95" s="11" t="s">
        <v>30</v>
      </c>
      <c r="I95" s="11" t="s">
        <v>30</v>
      </c>
      <c r="J95" s="11" t="s">
        <v>30</v>
      </c>
      <c r="L95" s="11" t="s">
        <v>31</v>
      </c>
      <c r="M95" s="11" t="s">
        <v>12</v>
      </c>
      <c r="O95" s="11" t="s">
        <v>31</v>
      </c>
    </row>
    <row r="96" spans="1:15" hidden="1">
      <c r="A96" s="1" t="s">
        <v>143</v>
      </c>
      <c r="B96" s="12" t="s">
        <v>601</v>
      </c>
      <c r="C96" s="11" t="s">
        <v>602</v>
      </c>
      <c r="D96" s="11">
        <v>2025</v>
      </c>
      <c r="E96" s="11" t="s">
        <v>603</v>
      </c>
      <c r="F96" s="11" t="s">
        <v>29</v>
      </c>
      <c r="G96" s="11" t="s">
        <v>30</v>
      </c>
      <c r="H96" s="11" t="s">
        <v>30</v>
      </c>
      <c r="I96" s="11" t="s">
        <v>30</v>
      </c>
      <c r="J96" s="11" t="s">
        <v>30</v>
      </c>
      <c r="M96" s="11" t="s">
        <v>12</v>
      </c>
      <c r="O96" s="11" t="s">
        <v>31</v>
      </c>
    </row>
    <row r="97" spans="1:15" hidden="1">
      <c r="A97" s="1" t="s">
        <v>144</v>
      </c>
      <c r="B97" s="12" t="s">
        <v>604</v>
      </c>
      <c r="C97" s="11" t="s">
        <v>602</v>
      </c>
      <c r="D97" s="11">
        <v>2025</v>
      </c>
      <c r="E97" s="11" t="s">
        <v>605</v>
      </c>
      <c r="F97" s="11" t="s">
        <v>29</v>
      </c>
      <c r="G97" s="11" t="s">
        <v>30</v>
      </c>
      <c r="H97" s="11" t="s">
        <v>30</v>
      </c>
      <c r="I97" s="11" t="s">
        <v>30</v>
      </c>
      <c r="J97" s="11" t="s">
        <v>30</v>
      </c>
      <c r="L97" s="11" t="s">
        <v>31</v>
      </c>
      <c r="O97" s="11" t="s">
        <v>495</v>
      </c>
    </row>
    <row r="98" spans="1:15" hidden="1">
      <c r="A98" s="1" t="s">
        <v>145</v>
      </c>
      <c r="B98" s="12" t="s">
        <v>606</v>
      </c>
      <c r="C98" s="11" t="s">
        <v>607</v>
      </c>
      <c r="D98" s="11">
        <v>2021</v>
      </c>
      <c r="J98" s="11" t="s">
        <v>31</v>
      </c>
      <c r="O98" s="11" t="s">
        <v>31</v>
      </c>
    </row>
    <row r="99" spans="1:15" hidden="1">
      <c r="A99" s="1" t="s">
        <v>146</v>
      </c>
      <c r="B99" s="12" t="s">
        <v>608</v>
      </c>
      <c r="C99" s="11" t="s">
        <v>609</v>
      </c>
      <c r="D99" s="11">
        <v>2025</v>
      </c>
      <c r="E99" s="11" t="s">
        <v>33</v>
      </c>
      <c r="F99" s="11" t="s">
        <v>29</v>
      </c>
      <c r="G99" s="11" t="s">
        <v>30</v>
      </c>
      <c r="H99" s="11" t="s">
        <v>30</v>
      </c>
      <c r="I99" s="11" t="s">
        <v>30</v>
      </c>
      <c r="J99" s="11" t="s">
        <v>30</v>
      </c>
      <c r="L99" s="11" t="s">
        <v>30</v>
      </c>
      <c r="M99" s="11" t="s">
        <v>12</v>
      </c>
      <c r="O99" s="11" t="s">
        <v>31</v>
      </c>
    </row>
    <row r="100" spans="1:15" hidden="1">
      <c r="A100" s="1" t="s">
        <v>147</v>
      </c>
      <c r="B100" s="12" t="s">
        <v>610</v>
      </c>
      <c r="C100" s="11" t="s">
        <v>611</v>
      </c>
      <c r="D100" s="11">
        <v>2024</v>
      </c>
      <c r="E100" s="11" t="s">
        <v>612</v>
      </c>
      <c r="F100" s="11" t="s">
        <v>29</v>
      </c>
      <c r="G100" s="11" t="s">
        <v>30</v>
      </c>
      <c r="H100" s="11" t="s">
        <v>30</v>
      </c>
      <c r="I100" s="11" t="s">
        <v>30</v>
      </c>
      <c r="J100" s="11" t="s">
        <v>30</v>
      </c>
      <c r="L100" s="11" t="s">
        <v>31</v>
      </c>
      <c r="M100" s="11" t="s">
        <v>12</v>
      </c>
      <c r="O100" s="11" t="s">
        <v>31</v>
      </c>
    </row>
    <row r="101" spans="1:15" hidden="1">
      <c r="A101" s="1" t="s">
        <v>148</v>
      </c>
      <c r="B101" s="12" t="s">
        <v>613</v>
      </c>
      <c r="C101" s="11" t="s">
        <v>614</v>
      </c>
      <c r="D101" s="11">
        <v>2022</v>
      </c>
      <c r="J101" s="11" t="s">
        <v>31</v>
      </c>
      <c r="O101" s="11" t="s">
        <v>31</v>
      </c>
    </row>
    <row r="102" spans="1:15" hidden="1">
      <c r="A102" s="1" t="s">
        <v>149</v>
      </c>
      <c r="B102" s="12" t="s">
        <v>615</v>
      </c>
      <c r="C102" s="11" t="s">
        <v>616</v>
      </c>
      <c r="D102" s="11">
        <v>2022</v>
      </c>
      <c r="J102" s="11" t="s">
        <v>31</v>
      </c>
      <c r="O102" s="11" t="s">
        <v>31</v>
      </c>
    </row>
    <row r="103" spans="1:15" hidden="1">
      <c r="A103" s="1" t="s">
        <v>150</v>
      </c>
      <c r="B103" s="12" t="s">
        <v>617</v>
      </c>
      <c r="C103" s="11" t="s">
        <v>618</v>
      </c>
      <c r="D103" s="11">
        <v>2024</v>
      </c>
      <c r="E103" s="11" t="s">
        <v>619</v>
      </c>
      <c r="F103" s="11" t="s">
        <v>29</v>
      </c>
      <c r="G103" s="11" t="s">
        <v>31</v>
      </c>
      <c r="J103" s="11" t="s">
        <v>31</v>
      </c>
      <c r="O103" s="11" t="s">
        <v>495</v>
      </c>
    </row>
    <row r="104" spans="1:15" hidden="1">
      <c r="A104" s="1" t="s">
        <v>151</v>
      </c>
      <c r="B104" s="12" t="s">
        <v>620</v>
      </c>
      <c r="C104" s="11" t="s">
        <v>621</v>
      </c>
      <c r="D104" s="11">
        <v>2020</v>
      </c>
      <c r="F104" s="11" t="s">
        <v>29</v>
      </c>
      <c r="J104" s="11" t="s">
        <v>31</v>
      </c>
      <c r="O104" s="11" t="s">
        <v>31</v>
      </c>
    </row>
    <row r="105" spans="1:15" hidden="1">
      <c r="A105" s="1" t="s">
        <v>152</v>
      </c>
      <c r="B105" s="12" t="s">
        <v>622</v>
      </c>
      <c r="C105" s="11" t="s">
        <v>623</v>
      </c>
      <c r="D105" s="11">
        <v>2021</v>
      </c>
      <c r="J105" s="11" t="s">
        <v>31</v>
      </c>
      <c r="O105" s="11" t="s">
        <v>31</v>
      </c>
    </row>
    <row r="106" spans="1:15" hidden="1">
      <c r="A106" s="1" t="s">
        <v>153</v>
      </c>
      <c r="B106" s="12" t="s">
        <v>624</v>
      </c>
      <c r="C106" s="11" t="s">
        <v>625</v>
      </c>
      <c r="D106" s="11">
        <v>2023</v>
      </c>
      <c r="E106" s="11" t="s">
        <v>626</v>
      </c>
      <c r="F106" s="11" t="s">
        <v>29</v>
      </c>
      <c r="G106" s="11" t="s">
        <v>30</v>
      </c>
      <c r="H106" s="11" t="s">
        <v>30</v>
      </c>
      <c r="I106" s="11" t="s">
        <v>30</v>
      </c>
      <c r="J106" s="11" t="s">
        <v>30</v>
      </c>
      <c r="L106" s="11" t="s">
        <v>31</v>
      </c>
      <c r="O106" s="11" t="s">
        <v>31</v>
      </c>
    </row>
    <row r="107" spans="1:15" hidden="1">
      <c r="A107" s="1" t="s">
        <v>154</v>
      </c>
      <c r="B107" s="12" t="s">
        <v>627</v>
      </c>
      <c r="C107" s="11" t="s">
        <v>628</v>
      </c>
      <c r="D107" s="11">
        <v>2025</v>
      </c>
      <c r="E107" s="11" t="s">
        <v>629</v>
      </c>
      <c r="F107" s="11" t="s">
        <v>29</v>
      </c>
      <c r="G107" s="11" t="s">
        <v>30</v>
      </c>
      <c r="H107" s="11" t="s">
        <v>30</v>
      </c>
      <c r="I107" s="11" t="s">
        <v>30</v>
      </c>
      <c r="J107" s="11" t="s">
        <v>30</v>
      </c>
      <c r="L107" s="11" t="s">
        <v>31</v>
      </c>
      <c r="O107" s="11" t="s">
        <v>31</v>
      </c>
    </row>
    <row r="108" spans="1:15" hidden="1">
      <c r="A108" s="1" t="s">
        <v>155</v>
      </c>
      <c r="B108" s="12" t="s">
        <v>630</v>
      </c>
      <c r="C108" s="11" t="s">
        <v>631</v>
      </c>
      <c r="D108" s="11">
        <v>2024</v>
      </c>
      <c r="E108" s="11" t="s">
        <v>442</v>
      </c>
      <c r="F108" s="11" t="s">
        <v>29</v>
      </c>
      <c r="G108" s="11" t="s">
        <v>30</v>
      </c>
      <c r="H108" s="11" t="s">
        <v>30</v>
      </c>
      <c r="I108" s="11" t="s">
        <v>30</v>
      </c>
      <c r="J108" s="11" t="s">
        <v>30</v>
      </c>
      <c r="L108" s="11" t="s">
        <v>31</v>
      </c>
      <c r="O108" s="11" t="s">
        <v>31</v>
      </c>
    </row>
    <row r="109" spans="1:15" hidden="1">
      <c r="A109" s="1" t="s">
        <v>156</v>
      </c>
      <c r="B109" s="12" t="s">
        <v>632</v>
      </c>
      <c r="C109" s="11" t="s">
        <v>633</v>
      </c>
      <c r="D109" s="11">
        <v>2021</v>
      </c>
      <c r="J109" s="11" t="s">
        <v>31</v>
      </c>
      <c r="O109" s="11" t="s">
        <v>31</v>
      </c>
    </row>
    <row r="110" spans="1:15" hidden="1">
      <c r="A110" s="1" t="s">
        <v>157</v>
      </c>
      <c r="B110" s="12" t="s">
        <v>634</v>
      </c>
      <c r="C110" s="11" t="s">
        <v>635</v>
      </c>
      <c r="D110" s="11">
        <v>2021</v>
      </c>
      <c r="J110" s="11" t="s">
        <v>31</v>
      </c>
      <c r="O110" s="11" t="s">
        <v>31</v>
      </c>
    </row>
    <row r="111" spans="1:15" ht="276">
      <c r="A111" s="1" t="s">
        <v>158</v>
      </c>
      <c r="B111" s="12" t="s">
        <v>636</v>
      </c>
      <c r="C111" s="11" t="s">
        <v>637</v>
      </c>
      <c r="D111" s="11">
        <v>2024</v>
      </c>
      <c r="E111" s="11" t="s">
        <v>530</v>
      </c>
      <c r="F111" s="11" t="s">
        <v>29</v>
      </c>
      <c r="G111" s="11" t="s">
        <v>30</v>
      </c>
      <c r="H111" s="11" t="s">
        <v>30</v>
      </c>
      <c r="I111" s="11" t="s">
        <v>30</v>
      </c>
      <c r="J111" s="11" t="s">
        <v>30</v>
      </c>
      <c r="L111" s="11" t="s">
        <v>30</v>
      </c>
      <c r="M111" s="11" t="s">
        <v>15</v>
      </c>
      <c r="N111" s="13" t="s">
        <v>638</v>
      </c>
      <c r="O111" s="11" t="s">
        <v>30</v>
      </c>
    </row>
    <row r="112" spans="1:15" hidden="1">
      <c r="A112" s="1" t="s">
        <v>159</v>
      </c>
      <c r="B112" s="12" t="s">
        <v>639</v>
      </c>
      <c r="C112" s="11" t="s">
        <v>640</v>
      </c>
      <c r="D112" s="11">
        <v>2023</v>
      </c>
      <c r="E112" s="11" t="s">
        <v>641</v>
      </c>
      <c r="F112" s="11" t="s">
        <v>29</v>
      </c>
      <c r="G112" s="11" t="s">
        <v>30</v>
      </c>
      <c r="H112" s="11" t="s">
        <v>30</v>
      </c>
      <c r="I112" s="11" t="s">
        <v>30</v>
      </c>
      <c r="J112" s="11" t="s">
        <v>30</v>
      </c>
      <c r="L112" s="11" t="s">
        <v>31</v>
      </c>
      <c r="O112" s="11" t="s">
        <v>31</v>
      </c>
    </row>
    <row r="113" spans="1:15" hidden="1">
      <c r="A113" s="1" t="s">
        <v>160</v>
      </c>
      <c r="B113" s="12" t="s">
        <v>642</v>
      </c>
      <c r="C113" s="11" t="s">
        <v>643</v>
      </c>
      <c r="D113" s="11">
        <v>2023</v>
      </c>
      <c r="E113" s="11" t="s">
        <v>644</v>
      </c>
      <c r="F113" s="11" t="s">
        <v>29</v>
      </c>
      <c r="G113" s="11" t="s">
        <v>30</v>
      </c>
      <c r="H113" s="11" t="s">
        <v>30</v>
      </c>
      <c r="I113" s="11" t="s">
        <v>30</v>
      </c>
      <c r="J113" s="11" t="s">
        <v>30</v>
      </c>
      <c r="L113" s="11" t="s">
        <v>30</v>
      </c>
      <c r="M113" s="11" t="s">
        <v>12</v>
      </c>
      <c r="O113" s="11" t="s">
        <v>31</v>
      </c>
    </row>
    <row r="114" spans="1:15" hidden="1">
      <c r="A114" s="1" t="s">
        <v>161</v>
      </c>
      <c r="B114" s="12" t="s">
        <v>645</v>
      </c>
      <c r="C114" s="11" t="s">
        <v>646</v>
      </c>
      <c r="D114" s="11">
        <v>2023</v>
      </c>
      <c r="E114" s="11" t="s">
        <v>641</v>
      </c>
      <c r="F114" s="11" t="s">
        <v>29</v>
      </c>
      <c r="G114" s="11" t="s">
        <v>30</v>
      </c>
      <c r="H114" s="11" t="s">
        <v>30</v>
      </c>
      <c r="I114" s="11" t="s">
        <v>30</v>
      </c>
      <c r="J114" s="11" t="s">
        <v>30</v>
      </c>
      <c r="L114" s="11" t="s">
        <v>31</v>
      </c>
      <c r="O114" s="11" t="s">
        <v>31</v>
      </c>
    </row>
    <row r="115" spans="1:15" hidden="1">
      <c r="A115" s="1" t="s">
        <v>162</v>
      </c>
      <c r="B115" s="12" t="s">
        <v>647</v>
      </c>
      <c r="C115" s="11" t="s">
        <v>648</v>
      </c>
      <c r="D115" s="11">
        <v>2024</v>
      </c>
      <c r="E115" s="11" t="s">
        <v>649</v>
      </c>
      <c r="F115" s="11" t="s">
        <v>29</v>
      </c>
      <c r="G115" s="11" t="s">
        <v>30</v>
      </c>
      <c r="H115" s="11" t="s">
        <v>30</v>
      </c>
      <c r="I115" s="11" t="s">
        <v>30</v>
      </c>
      <c r="J115" s="11" t="s">
        <v>30</v>
      </c>
      <c r="L115" s="11" t="s">
        <v>30</v>
      </c>
      <c r="M115" s="11" t="s">
        <v>12</v>
      </c>
      <c r="O115" s="11" t="s">
        <v>31</v>
      </c>
    </row>
    <row r="116" spans="1:15" hidden="1">
      <c r="A116" s="1" t="s">
        <v>163</v>
      </c>
      <c r="B116" s="12" t="s">
        <v>650</v>
      </c>
      <c r="C116" s="11" t="s">
        <v>651</v>
      </c>
      <c r="D116" s="11">
        <v>2024</v>
      </c>
      <c r="E116" s="11" t="s">
        <v>652</v>
      </c>
      <c r="F116" s="11" t="s">
        <v>29</v>
      </c>
      <c r="G116" s="11" t="s">
        <v>30</v>
      </c>
      <c r="H116" s="11" t="s">
        <v>30</v>
      </c>
      <c r="I116" s="11" t="s">
        <v>30</v>
      </c>
      <c r="J116" s="11" t="s">
        <v>30</v>
      </c>
      <c r="L116" s="11" t="s">
        <v>31</v>
      </c>
      <c r="M116" s="11" t="s">
        <v>12</v>
      </c>
      <c r="O116" s="11" t="s">
        <v>31</v>
      </c>
    </row>
    <row r="117" spans="1:15" hidden="1">
      <c r="A117" s="1" t="s">
        <v>164</v>
      </c>
      <c r="B117" s="12" t="s">
        <v>653</v>
      </c>
      <c r="C117" s="11" t="s">
        <v>654</v>
      </c>
      <c r="D117" s="11">
        <v>2025</v>
      </c>
      <c r="E117" s="11" t="s">
        <v>655</v>
      </c>
      <c r="F117" s="11" t="s">
        <v>29</v>
      </c>
      <c r="G117" s="11" t="s">
        <v>30</v>
      </c>
      <c r="H117" s="11" t="s">
        <v>30</v>
      </c>
      <c r="I117" s="11" t="s">
        <v>30</v>
      </c>
      <c r="J117" s="11" t="s">
        <v>30</v>
      </c>
      <c r="L117" s="11" t="s">
        <v>31</v>
      </c>
      <c r="O117" s="11" t="s">
        <v>495</v>
      </c>
    </row>
    <row r="118" spans="1:15" hidden="1">
      <c r="A118" s="1" t="s">
        <v>165</v>
      </c>
      <c r="B118" s="12" t="s">
        <v>656</v>
      </c>
      <c r="C118" s="11" t="s">
        <v>657</v>
      </c>
      <c r="D118" s="11">
        <v>2024</v>
      </c>
      <c r="E118" s="11" t="s">
        <v>658</v>
      </c>
      <c r="F118" s="11" t="s">
        <v>29</v>
      </c>
      <c r="G118" s="11" t="s">
        <v>30</v>
      </c>
      <c r="H118" s="11" t="s">
        <v>30</v>
      </c>
      <c r="I118" s="11" t="s">
        <v>30</v>
      </c>
      <c r="J118" s="11" t="s">
        <v>30</v>
      </c>
      <c r="L118" s="11" t="s">
        <v>31</v>
      </c>
      <c r="O118" s="11" t="s">
        <v>31</v>
      </c>
    </row>
    <row r="119" spans="1:15" hidden="1">
      <c r="A119" s="1" t="s">
        <v>166</v>
      </c>
      <c r="B119" s="12" t="s">
        <v>659</v>
      </c>
      <c r="C119" s="11" t="s">
        <v>660</v>
      </c>
      <c r="D119" s="11">
        <v>2024</v>
      </c>
      <c r="E119" s="11" t="s">
        <v>661</v>
      </c>
      <c r="F119" s="11" t="s">
        <v>29</v>
      </c>
      <c r="G119" s="11" t="s">
        <v>30</v>
      </c>
      <c r="H119" s="11" t="s">
        <v>31</v>
      </c>
      <c r="I119" s="11" t="s">
        <v>30</v>
      </c>
      <c r="J119" s="11" t="s">
        <v>31</v>
      </c>
      <c r="O119" s="11" t="s">
        <v>31</v>
      </c>
    </row>
    <row r="120" spans="1:15" hidden="1">
      <c r="A120" s="1" t="s">
        <v>167</v>
      </c>
      <c r="B120" s="12" t="s">
        <v>662</v>
      </c>
      <c r="C120" s="11" t="s">
        <v>663</v>
      </c>
      <c r="D120" s="11">
        <v>2025</v>
      </c>
      <c r="E120" s="11" t="s">
        <v>580</v>
      </c>
      <c r="F120" s="11" t="s">
        <v>29</v>
      </c>
      <c r="G120" s="11" t="s">
        <v>30</v>
      </c>
      <c r="H120" s="11" t="s">
        <v>30</v>
      </c>
      <c r="I120" s="11" t="s">
        <v>30</v>
      </c>
      <c r="J120" s="11" t="s">
        <v>30</v>
      </c>
      <c r="L120" s="11" t="s">
        <v>31</v>
      </c>
      <c r="O120" s="11" t="s">
        <v>495</v>
      </c>
    </row>
    <row r="121" spans="1:15" hidden="1">
      <c r="A121" s="1" t="s">
        <v>168</v>
      </c>
      <c r="B121" s="12" t="s">
        <v>664</v>
      </c>
      <c r="C121" s="11" t="s">
        <v>665</v>
      </c>
      <c r="D121" s="11">
        <v>2021</v>
      </c>
      <c r="J121" s="11" t="s">
        <v>31</v>
      </c>
      <c r="O121" s="11" t="s">
        <v>31</v>
      </c>
    </row>
    <row r="122" spans="1:15" hidden="1">
      <c r="A122" s="1" t="s">
        <v>169</v>
      </c>
      <c r="B122" s="12" t="s">
        <v>666</v>
      </c>
      <c r="C122" s="11" t="s">
        <v>667</v>
      </c>
      <c r="D122" s="11">
        <v>2025</v>
      </c>
      <c r="E122" s="11" t="s">
        <v>668</v>
      </c>
      <c r="F122" s="11" t="s">
        <v>29</v>
      </c>
      <c r="G122" s="11" t="s">
        <v>30</v>
      </c>
      <c r="H122" s="11" t="s">
        <v>30</v>
      </c>
      <c r="I122" s="11" t="s">
        <v>30</v>
      </c>
      <c r="J122" s="11" t="s">
        <v>30</v>
      </c>
      <c r="L122" s="11" t="s">
        <v>30</v>
      </c>
      <c r="M122" s="11" t="s">
        <v>12</v>
      </c>
      <c r="O122" s="11" t="s">
        <v>31</v>
      </c>
    </row>
    <row r="123" spans="1:15" hidden="1">
      <c r="A123" s="1" t="s">
        <v>170</v>
      </c>
      <c r="B123" s="12" t="s">
        <v>669</v>
      </c>
      <c r="C123" s="11" t="s">
        <v>670</v>
      </c>
      <c r="D123" s="11">
        <v>2024</v>
      </c>
      <c r="E123" s="11" t="s">
        <v>671</v>
      </c>
      <c r="F123" s="11" t="s">
        <v>29</v>
      </c>
      <c r="G123" s="11" t="s">
        <v>30</v>
      </c>
      <c r="H123" s="11" t="s">
        <v>30</v>
      </c>
      <c r="I123" s="11" t="s">
        <v>30</v>
      </c>
      <c r="J123" s="11" t="s">
        <v>30</v>
      </c>
      <c r="L123" s="11" t="s">
        <v>31</v>
      </c>
      <c r="O123" s="11" t="s">
        <v>495</v>
      </c>
    </row>
    <row r="124" spans="1:15" hidden="1">
      <c r="A124" s="1" t="s">
        <v>171</v>
      </c>
      <c r="B124" s="12" t="s">
        <v>672</v>
      </c>
      <c r="C124" s="11" t="s">
        <v>673</v>
      </c>
      <c r="D124" s="11">
        <v>2022</v>
      </c>
      <c r="J124" s="11" t="s">
        <v>31</v>
      </c>
      <c r="O124" s="11" t="s">
        <v>31</v>
      </c>
    </row>
    <row r="125" spans="1:15" hidden="1">
      <c r="A125" s="1" t="s">
        <v>172</v>
      </c>
      <c r="B125" s="12" t="s">
        <v>674</v>
      </c>
      <c r="C125" s="11" t="s">
        <v>675</v>
      </c>
      <c r="D125" s="11">
        <v>2022</v>
      </c>
      <c r="J125" s="11" t="s">
        <v>31</v>
      </c>
      <c r="O125" s="11" t="s">
        <v>31</v>
      </c>
    </row>
    <row r="126" spans="1:15" hidden="1">
      <c r="A126" s="1" t="s">
        <v>173</v>
      </c>
      <c r="B126" s="12" t="s">
        <v>676</v>
      </c>
      <c r="C126" s="11" t="s">
        <v>677</v>
      </c>
      <c r="D126" s="11">
        <v>2024</v>
      </c>
      <c r="E126" s="11" t="s">
        <v>397</v>
      </c>
      <c r="F126" s="11" t="s">
        <v>29</v>
      </c>
      <c r="G126" s="11" t="s">
        <v>31</v>
      </c>
      <c r="J126" s="11" t="s">
        <v>31</v>
      </c>
      <c r="O126" s="11" t="s">
        <v>31</v>
      </c>
    </row>
    <row r="127" spans="1:15" hidden="1">
      <c r="A127" s="1" t="s">
        <v>174</v>
      </c>
      <c r="B127" s="12" t="s">
        <v>678</v>
      </c>
      <c r="C127" s="11" t="s">
        <v>679</v>
      </c>
      <c r="D127" s="11">
        <v>2021</v>
      </c>
      <c r="J127" s="11" t="s">
        <v>31</v>
      </c>
      <c r="O127" s="11" t="s">
        <v>31</v>
      </c>
    </row>
    <row r="128" spans="1:15" hidden="1">
      <c r="A128" s="1" t="s">
        <v>175</v>
      </c>
      <c r="B128" s="12" t="s">
        <v>680</v>
      </c>
      <c r="C128" s="11" t="s">
        <v>681</v>
      </c>
      <c r="D128" s="11">
        <v>2022</v>
      </c>
      <c r="J128" s="11" t="s">
        <v>31</v>
      </c>
      <c r="O128" s="11" t="s">
        <v>31</v>
      </c>
    </row>
    <row r="129" spans="1:15" hidden="1">
      <c r="A129" s="1" t="s">
        <v>176</v>
      </c>
      <c r="B129" s="12" t="s">
        <v>682</v>
      </c>
      <c r="C129" s="11" t="s">
        <v>683</v>
      </c>
      <c r="D129" s="11">
        <v>2025</v>
      </c>
      <c r="E129" s="11" t="s">
        <v>684</v>
      </c>
      <c r="F129" s="11" t="s">
        <v>29</v>
      </c>
      <c r="G129" s="11" t="s">
        <v>30</v>
      </c>
      <c r="H129" s="11" t="s">
        <v>30</v>
      </c>
      <c r="I129" s="11" t="s">
        <v>30</v>
      </c>
      <c r="J129" s="11" t="s">
        <v>30</v>
      </c>
      <c r="L129" s="11" t="s">
        <v>31</v>
      </c>
      <c r="O129" s="11" t="s">
        <v>495</v>
      </c>
    </row>
    <row r="130" spans="1:15" hidden="1">
      <c r="A130" s="1" t="s">
        <v>177</v>
      </c>
      <c r="B130" s="12" t="s">
        <v>685</v>
      </c>
      <c r="C130" s="11" t="s">
        <v>686</v>
      </c>
      <c r="D130" s="11">
        <v>2025</v>
      </c>
      <c r="E130" s="11" t="s">
        <v>687</v>
      </c>
      <c r="F130" s="11" t="s">
        <v>29</v>
      </c>
      <c r="G130" s="11" t="s">
        <v>30</v>
      </c>
      <c r="H130" s="11" t="s">
        <v>31</v>
      </c>
      <c r="I130" s="11" t="s">
        <v>30</v>
      </c>
      <c r="J130" s="11" t="s">
        <v>31</v>
      </c>
      <c r="O130" s="11" t="s">
        <v>31</v>
      </c>
    </row>
    <row r="131" spans="1:15" hidden="1">
      <c r="A131" s="1" t="s">
        <v>178</v>
      </c>
      <c r="B131" s="12" t="s">
        <v>688</v>
      </c>
      <c r="C131" s="11" t="s">
        <v>689</v>
      </c>
      <c r="D131" s="11">
        <v>2024</v>
      </c>
      <c r="E131" s="11" t="s">
        <v>690</v>
      </c>
      <c r="F131" s="11" t="s">
        <v>29</v>
      </c>
      <c r="G131" s="11" t="s">
        <v>30</v>
      </c>
      <c r="H131" s="11" t="s">
        <v>30</v>
      </c>
      <c r="I131" s="11" t="s">
        <v>30</v>
      </c>
      <c r="J131" s="11" t="s">
        <v>30</v>
      </c>
      <c r="L131" s="11" t="s">
        <v>31</v>
      </c>
      <c r="O131" s="11" t="s">
        <v>495</v>
      </c>
    </row>
    <row r="132" spans="1:15" hidden="1">
      <c r="A132" s="1" t="s">
        <v>179</v>
      </c>
      <c r="B132" s="12" t="s">
        <v>691</v>
      </c>
      <c r="C132" s="11" t="s">
        <v>692</v>
      </c>
      <c r="D132" s="11">
        <v>2024</v>
      </c>
      <c r="E132" s="11" t="s">
        <v>693</v>
      </c>
      <c r="F132" s="11" t="s">
        <v>29</v>
      </c>
      <c r="G132" s="11" t="s">
        <v>30</v>
      </c>
      <c r="H132" s="11" t="s">
        <v>30</v>
      </c>
      <c r="I132" s="11" t="s">
        <v>30</v>
      </c>
      <c r="J132" s="11" t="s">
        <v>30</v>
      </c>
      <c r="L132" s="11" t="s">
        <v>31</v>
      </c>
      <c r="O132" s="11" t="s">
        <v>495</v>
      </c>
    </row>
    <row r="133" spans="1:15" hidden="1">
      <c r="A133" s="1" t="s">
        <v>180</v>
      </c>
      <c r="B133" s="12" t="s">
        <v>694</v>
      </c>
      <c r="C133" s="11" t="s">
        <v>695</v>
      </c>
      <c r="D133" s="11">
        <v>2023</v>
      </c>
      <c r="E133" s="11" t="s">
        <v>696</v>
      </c>
      <c r="F133" s="11" t="s">
        <v>29</v>
      </c>
      <c r="G133" s="11" t="s">
        <v>30</v>
      </c>
      <c r="H133" s="11" t="s">
        <v>30</v>
      </c>
      <c r="I133" s="11" t="s">
        <v>30</v>
      </c>
      <c r="J133" s="11" t="s">
        <v>30</v>
      </c>
      <c r="L133" s="11" t="s">
        <v>31</v>
      </c>
      <c r="O133" s="11" t="s">
        <v>495</v>
      </c>
    </row>
    <row r="134" spans="1:15" hidden="1">
      <c r="A134" s="1" t="s">
        <v>181</v>
      </c>
      <c r="B134" s="12" t="s">
        <v>697</v>
      </c>
      <c r="C134" s="11" t="s">
        <v>698</v>
      </c>
      <c r="D134" s="11">
        <v>2018</v>
      </c>
      <c r="J134" s="11" t="s">
        <v>31</v>
      </c>
      <c r="O134" s="11" t="s">
        <v>31</v>
      </c>
    </row>
    <row r="135" spans="1:15" hidden="1">
      <c r="A135" s="1" t="s">
        <v>182</v>
      </c>
      <c r="B135" s="12" t="s">
        <v>699</v>
      </c>
      <c r="C135" s="11" t="s">
        <v>700</v>
      </c>
      <c r="D135" s="11">
        <v>2024</v>
      </c>
      <c r="E135" s="11" t="s">
        <v>701</v>
      </c>
      <c r="F135" s="11" t="s">
        <v>29</v>
      </c>
      <c r="G135" s="11" t="s">
        <v>30</v>
      </c>
      <c r="H135" s="11" t="s">
        <v>30</v>
      </c>
      <c r="I135" s="11" t="s">
        <v>30</v>
      </c>
      <c r="J135" s="11" t="s">
        <v>30</v>
      </c>
      <c r="L135" s="11" t="s">
        <v>31</v>
      </c>
      <c r="O135" s="11" t="s">
        <v>31</v>
      </c>
    </row>
    <row r="136" spans="1:15" hidden="1">
      <c r="A136" s="1" t="s">
        <v>183</v>
      </c>
      <c r="B136" s="12" t="s">
        <v>702</v>
      </c>
      <c r="C136" s="11" t="s">
        <v>703</v>
      </c>
      <c r="D136" s="11">
        <v>2025</v>
      </c>
      <c r="E136" s="11" t="s">
        <v>704</v>
      </c>
      <c r="F136" s="11" t="s">
        <v>29</v>
      </c>
      <c r="G136" s="11" t="s">
        <v>30</v>
      </c>
      <c r="H136" s="11" t="s">
        <v>30</v>
      </c>
      <c r="I136" s="11" t="s">
        <v>30</v>
      </c>
      <c r="J136" s="11" t="s">
        <v>30</v>
      </c>
      <c r="L136" s="11" t="s">
        <v>31</v>
      </c>
      <c r="O136" s="11" t="s">
        <v>495</v>
      </c>
    </row>
    <row r="137" spans="1:15" hidden="1">
      <c r="A137" s="1" t="s">
        <v>184</v>
      </c>
      <c r="B137" s="12" t="s">
        <v>705</v>
      </c>
      <c r="C137" s="11" t="s">
        <v>706</v>
      </c>
      <c r="D137" s="11">
        <v>2024</v>
      </c>
      <c r="E137" s="11" t="s">
        <v>707</v>
      </c>
      <c r="F137" s="11" t="s">
        <v>29</v>
      </c>
      <c r="G137" s="11" t="s">
        <v>30</v>
      </c>
      <c r="H137" s="11" t="s">
        <v>30</v>
      </c>
      <c r="I137" s="11" t="s">
        <v>30</v>
      </c>
      <c r="J137" s="11" t="s">
        <v>30</v>
      </c>
      <c r="L137" s="11" t="s">
        <v>31</v>
      </c>
      <c r="O137" s="11" t="s">
        <v>31</v>
      </c>
    </row>
    <row r="138" spans="1:15" hidden="1">
      <c r="A138" s="1" t="s">
        <v>185</v>
      </c>
      <c r="B138" s="12" t="s">
        <v>708</v>
      </c>
      <c r="C138" s="11" t="s">
        <v>709</v>
      </c>
      <c r="D138" s="11">
        <v>2025</v>
      </c>
      <c r="E138" s="11" t="s">
        <v>33</v>
      </c>
      <c r="F138" s="11" t="s">
        <v>29</v>
      </c>
      <c r="G138" s="11" t="s">
        <v>30</v>
      </c>
      <c r="H138" s="11" t="s">
        <v>30</v>
      </c>
      <c r="I138" s="11" t="s">
        <v>30</v>
      </c>
      <c r="J138" s="11" t="s">
        <v>30</v>
      </c>
      <c r="L138" s="11" t="s">
        <v>31</v>
      </c>
      <c r="O138" s="11" t="s">
        <v>495</v>
      </c>
    </row>
    <row r="139" spans="1:15" hidden="1">
      <c r="A139" s="1" t="s">
        <v>186</v>
      </c>
      <c r="B139" s="12" t="s">
        <v>710</v>
      </c>
      <c r="C139" s="11" t="s">
        <v>711</v>
      </c>
      <c r="D139" s="11">
        <v>2024</v>
      </c>
      <c r="E139" s="11" t="s">
        <v>712</v>
      </c>
      <c r="F139" s="11" t="s">
        <v>29</v>
      </c>
      <c r="G139" s="11" t="s">
        <v>30</v>
      </c>
      <c r="H139" s="11" t="s">
        <v>31</v>
      </c>
      <c r="I139" s="11" t="s">
        <v>30</v>
      </c>
      <c r="J139" s="11" t="s">
        <v>31</v>
      </c>
      <c r="O139" s="11" t="s">
        <v>31</v>
      </c>
    </row>
    <row r="140" spans="1:15" ht="28.8" hidden="1">
      <c r="A140" s="1" t="s">
        <v>187</v>
      </c>
      <c r="B140" s="12" t="s">
        <v>713</v>
      </c>
      <c r="C140" s="11" t="s">
        <v>714</v>
      </c>
      <c r="D140" s="11">
        <v>2024</v>
      </c>
      <c r="E140" s="11" t="s">
        <v>715</v>
      </c>
      <c r="F140" s="11" t="s">
        <v>29</v>
      </c>
      <c r="G140" s="11" t="s">
        <v>30</v>
      </c>
      <c r="H140" s="11" t="s">
        <v>31</v>
      </c>
      <c r="I140" s="11" t="s">
        <v>30</v>
      </c>
      <c r="J140" s="11" t="s">
        <v>31</v>
      </c>
      <c r="O140" s="11" t="s">
        <v>31</v>
      </c>
    </row>
    <row r="141" spans="1:15" hidden="1">
      <c r="A141" s="1" t="s">
        <v>188</v>
      </c>
      <c r="B141" s="12" t="s">
        <v>716</v>
      </c>
      <c r="C141" s="11" t="s">
        <v>717</v>
      </c>
      <c r="D141" s="11">
        <v>2023</v>
      </c>
      <c r="E141" s="11" t="s">
        <v>718</v>
      </c>
      <c r="F141" s="11" t="s">
        <v>29</v>
      </c>
      <c r="G141" s="11" t="s">
        <v>30</v>
      </c>
      <c r="H141" s="11" t="s">
        <v>30</v>
      </c>
      <c r="I141" s="11" t="s">
        <v>30</v>
      </c>
      <c r="J141" s="11" t="s">
        <v>30</v>
      </c>
      <c r="L141" s="11" t="s">
        <v>31</v>
      </c>
      <c r="O141" s="11" t="s">
        <v>31</v>
      </c>
    </row>
    <row r="142" spans="1:15" hidden="1">
      <c r="A142" s="1" t="s">
        <v>189</v>
      </c>
      <c r="B142" s="12" t="s">
        <v>719</v>
      </c>
      <c r="C142" s="11" t="s">
        <v>720</v>
      </c>
      <c r="D142" s="11">
        <v>2025</v>
      </c>
      <c r="E142" s="11" t="s">
        <v>721</v>
      </c>
      <c r="F142" s="11" t="s">
        <v>29</v>
      </c>
      <c r="G142" s="11" t="s">
        <v>30</v>
      </c>
      <c r="H142" s="11" t="s">
        <v>30</v>
      </c>
      <c r="I142" s="11" t="s">
        <v>30</v>
      </c>
      <c r="J142" s="11" t="s">
        <v>30</v>
      </c>
      <c r="L142" s="11" t="s">
        <v>31</v>
      </c>
      <c r="O142" s="11" t="s">
        <v>31</v>
      </c>
    </row>
    <row r="143" spans="1:15" hidden="1">
      <c r="A143" s="1" t="s">
        <v>190</v>
      </c>
      <c r="B143" s="12" t="s">
        <v>722</v>
      </c>
      <c r="C143" s="11" t="s">
        <v>723</v>
      </c>
      <c r="D143" s="11">
        <v>2020</v>
      </c>
      <c r="E143" s="11" t="s">
        <v>724</v>
      </c>
      <c r="F143" s="11" t="s">
        <v>29</v>
      </c>
      <c r="G143" s="11" t="s">
        <v>30</v>
      </c>
      <c r="J143" s="11" t="s">
        <v>31</v>
      </c>
      <c r="O143" s="11" t="s">
        <v>31</v>
      </c>
    </row>
    <row r="144" spans="1:15" hidden="1">
      <c r="A144" s="1" t="s">
        <v>191</v>
      </c>
      <c r="B144" s="12" t="s">
        <v>725</v>
      </c>
      <c r="C144" s="11" t="s">
        <v>726</v>
      </c>
      <c r="D144" s="11">
        <v>2023</v>
      </c>
      <c r="E144" s="11" t="s">
        <v>417</v>
      </c>
      <c r="F144" s="11" t="s">
        <v>29</v>
      </c>
      <c r="G144" s="11" t="s">
        <v>30</v>
      </c>
      <c r="H144" s="11" t="s">
        <v>30</v>
      </c>
      <c r="I144" s="11" t="s">
        <v>30</v>
      </c>
      <c r="J144" s="11" t="s">
        <v>30</v>
      </c>
      <c r="L144" s="11" t="s">
        <v>31</v>
      </c>
      <c r="O144" s="11" t="s">
        <v>31</v>
      </c>
    </row>
    <row r="145" spans="1:15" hidden="1">
      <c r="A145" s="1" t="s">
        <v>192</v>
      </c>
      <c r="B145" s="12" t="s">
        <v>727</v>
      </c>
      <c r="C145" s="11" t="s">
        <v>728</v>
      </c>
      <c r="D145" s="11">
        <v>2023</v>
      </c>
      <c r="E145" s="11" t="s">
        <v>729</v>
      </c>
      <c r="F145" s="11" t="s">
        <v>29</v>
      </c>
      <c r="G145" s="11" t="s">
        <v>30</v>
      </c>
      <c r="H145" s="11" t="s">
        <v>30</v>
      </c>
      <c r="I145" s="11" t="s">
        <v>30</v>
      </c>
      <c r="J145" s="11" t="s">
        <v>30</v>
      </c>
      <c r="L145" s="11" t="s">
        <v>31</v>
      </c>
      <c r="O145" s="11" t="s">
        <v>31</v>
      </c>
    </row>
    <row r="146" spans="1:15" hidden="1">
      <c r="A146" s="1" t="s">
        <v>193</v>
      </c>
      <c r="B146" s="12" t="s">
        <v>730</v>
      </c>
      <c r="C146" s="11" t="s">
        <v>731</v>
      </c>
      <c r="D146" s="11">
        <v>2024</v>
      </c>
      <c r="E146" s="11" t="s">
        <v>671</v>
      </c>
      <c r="F146" s="11" t="s">
        <v>29</v>
      </c>
      <c r="G146" s="11" t="s">
        <v>30</v>
      </c>
      <c r="H146" s="11" t="s">
        <v>30</v>
      </c>
      <c r="I146" s="11" t="s">
        <v>30</v>
      </c>
      <c r="J146" s="11" t="s">
        <v>30</v>
      </c>
      <c r="L146" s="11" t="s">
        <v>30</v>
      </c>
      <c r="M146" s="11" t="s">
        <v>12</v>
      </c>
      <c r="O146" s="11" t="s">
        <v>31</v>
      </c>
    </row>
    <row r="147" spans="1:15" hidden="1">
      <c r="A147" s="1" t="s">
        <v>194</v>
      </c>
      <c r="B147" s="12" t="s">
        <v>732</v>
      </c>
      <c r="C147" s="11" t="s">
        <v>733</v>
      </c>
      <c r="D147" s="11">
        <v>2023</v>
      </c>
      <c r="E147" s="11" t="s">
        <v>734</v>
      </c>
      <c r="F147" s="11" t="s">
        <v>29</v>
      </c>
      <c r="G147" s="11" t="s">
        <v>30</v>
      </c>
      <c r="H147" s="11" t="s">
        <v>30</v>
      </c>
      <c r="I147" s="11" t="s">
        <v>30</v>
      </c>
      <c r="J147" s="11" t="s">
        <v>30</v>
      </c>
      <c r="L147" s="11" t="s">
        <v>31</v>
      </c>
      <c r="O147" s="11" t="s">
        <v>31</v>
      </c>
    </row>
    <row r="148" spans="1:15" hidden="1">
      <c r="A148" s="1" t="s">
        <v>195</v>
      </c>
      <c r="B148" s="12" t="s">
        <v>735</v>
      </c>
      <c r="C148" s="11" t="s">
        <v>736</v>
      </c>
      <c r="D148" s="11">
        <v>2022</v>
      </c>
      <c r="J148" s="11" t="s">
        <v>31</v>
      </c>
      <c r="O148" s="11" t="s">
        <v>31</v>
      </c>
    </row>
    <row r="149" spans="1:15" hidden="1">
      <c r="A149" s="1" t="s">
        <v>196</v>
      </c>
      <c r="B149" s="12" t="s">
        <v>737</v>
      </c>
      <c r="C149" s="11" t="s">
        <v>738</v>
      </c>
      <c r="D149" s="11">
        <v>2025</v>
      </c>
      <c r="E149" s="11" t="s">
        <v>33</v>
      </c>
      <c r="F149" s="11" t="s">
        <v>29</v>
      </c>
      <c r="G149" s="11" t="s">
        <v>30</v>
      </c>
      <c r="H149" s="11" t="s">
        <v>30</v>
      </c>
      <c r="I149" s="11" t="s">
        <v>30</v>
      </c>
      <c r="J149" s="11" t="s">
        <v>30</v>
      </c>
      <c r="L149" s="11" t="s">
        <v>30</v>
      </c>
      <c r="M149" s="11" t="s">
        <v>12</v>
      </c>
      <c r="O149" s="11" t="s">
        <v>31</v>
      </c>
    </row>
    <row r="150" spans="1:15" hidden="1">
      <c r="A150" s="1" t="s">
        <v>197</v>
      </c>
      <c r="B150" s="12" t="s">
        <v>739</v>
      </c>
      <c r="C150" s="11" t="s">
        <v>740</v>
      </c>
      <c r="D150" s="11">
        <v>2025</v>
      </c>
      <c r="E150" s="11" t="s">
        <v>741</v>
      </c>
      <c r="F150" s="11" t="s">
        <v>29</v>
      </c>
      <c r="G150" s="11" t="s">
        <v>30</v>
      </c>
      <c r="H150" s="11" t="s">
        <v>31</v>
      </c>
      <c r="I150" s="11" t="s">
        <v>30</v>
      </c>
      <c r="J150" s="11" t="s">
        <v>31</v>
      </c>
      <c r="O150" s="11" t="s">
        <v>31</v>
      </c>
    </row>
    <row r="151" spans="1:15" hidden="1">
      <c r="A151" s="1" t="s">
        <v>198</v>
      </c>
      <c r="B151" s="12" t="s">
        <v>742</v>
      </c>
      <c r="C151" s="11" t="s">
        <v>743</v>
      </c>
      <c r="D151" s="11">
        <v>2025</v>
      </c>
      <c r="E151" s="11" t="s">
        <v>744</v>
      </c>
      <c r="F151" s="11" t="s">
        <v>29</v>
      </c>
      <c r="G151" s="11" t="s">
        <v>30</v>
      </c>
      <c r="H151" s="11" t="s">
        <v>30</v>
      </c>
      <c r="I151" s="11" t="s">
        <v>30</v>
      </c>
      <c r="J151" s="11" t="s">
        <v>30</v>
      </c>
      <c r="L151" s="11" t="s">
        <v>31</v>
      </c>
      <c r="O151" s="11" t="s">
        <v>31</v>
      </c>
    </row>
    <row r="152" spans="1:15" hidden="1">
      <c r="A152" s="1" t="s">
        <v>199</v>
      </c>
      <c r="B152" s="12" t="s">
        <v>745</v>
      </c>
      <c r="C152" s="11" t="s">
        <v>746</v>
      </c>
      <c r="D152" s="11">
        <v>2024</v>
      </c>
      <c r="E152" s="11" t="s">
        <v>517</v>
      </c>
      <c r="F152" s="11" t="s">
        <v>29</v>
      </c>
      <c r="G152" s="11" t="s">
        <v>30</v>
      </c>
      <c r="H152" s="11" t="s">
        <v>30</v>
      </c>
      <c r="I152" s="11" t="s">
        <v>30</v>
      </c>
      <c r="J152" s="11" t="s">
        <v>30</v>
      </c>
      <c r="L152" s="11" t="s">
        <v>31</v>
      </c>
      <c r="O152" s="11" t="s">
        <v>495</v>
      </c>
    </row>
    <row r="153" spans="1:15" hidden="1">
      <c r="A153" s="1" t="s">
        <v>200</v>
      </c>
      <c r="B153" s="12" t="s">
        <v>747</v>
      </c>
      <c r="C153" s="11" t="s">
        <v>748</v>
      </c>
      <c r="D153" s="11">
        <v>2025</v>
      </c>
      <c r="E153" s="11" t="s">
        <v>33</v>
      </c>
      <c r="F153" s="11" t="s">
        <v>29</v>
      </c>
      <c r="G153" s="11" t="s">
        <v>30</v>
      </c>
      <c r="H153" s="11" t="s">
        <v>30</v>
      </c>
      <c r="I153" s="11" t="s">
        <v>30</v>
      </c>
      <c r="J153" s="11" t="s">
        <v>30</v>
      </c>
      <c r="L153" s="11" t="s">
        <v>31</v>
      </c>
      <c r="O153" s="11" t="s">
        <v>495</v>
      </c>
    </row>
    <row r="154" spans="1:15" hidden="1">
      <c r="A154" s="1" t="s">
        <v>201</v>
      </c>
      <c r="B154" s="12" t="s">
        <v>749</v>
      </c>
      <c r="C154" s="11" t="s">
        <v>750</v>
      </c>
      <c r="D154" s="11">
        <v>2025</v>
      </c>
      <c r="E154" s="11" t="s">
        <v>751</v>
      </c>
      <c r="F154" s="11" t="s">
        <v>29</v>
      </c>
      <c r="G154" s="11" t="s">
        <v>30</v>
      </c>
      <c r="H154" s="11" t="s">
        <v>30</v>
      </c>
      <c r="I154" s="11" t="s">
        <v>30</v>
      </c>
      <c r="J154" s="11" t="s">
        <v>30</v>
      </c>
      <c r="L154" s="11" t="s">
        <v>31</v>
      </c>
      <c r="O154" s="11" t="s">
        <v>31</v>
      </c>
    </row>
    <row r="155" spans="1:15" hidden="1">
      <c r="A155" s="1" t="s">
        <v>202</v>
      </c>
      <c r="B155" s="12" t="s">
        <v>752</v>
      </c>
      <c r="C155" s="11" t="s">
        <v>753</v>
      </c>
      <c r="D155" s="11">
        <v>2020</v>
      </c>
      <c r="J155" s="11" t="s">
        <v>31</v>
      </c>
      <c r="O155" s="11" t="s">
        <v>31</v>
      </c>
    </row>
    <row r="156" spans="1:15" hidden="1">
      <c r="A156" s="1" t="s">
        <v>203</v>
      </c>
      <c r="B156" s="12" t="s">
        <v>754</v>
      </c>
      <c r="C156" s="11" t="s">
        <v>755</v>
      </c>
      <c r="D156" s="11">
        <v>2021</v>
      </c>
      <c r="J156" s="11" t="s">
        <v>31</v>
      </c>
      <c r="O156" s="11" t="s">
        <v>495</v>
      </c>
    </row>
    <row r="157" spans="1:15" hidden="1">
      <c r="A157" s="1" t="s">
        <v>204</v>
      </c>
      <c r="B157" s="12" t="s">
        <v>756</v>
      </c>
      <c r="C157" s="11" t="s">
        <v>757</v>
      </c>
      <c r="D157" s="11">
        <v>2022</v>
      </c>
      <c r="J157" s="11" t="s">
        <v>31</v>
      </c>
      <c r="O157" s="11" t="s">
        <v>495</v>
      </c>
    </row>
    <row r="158" spans="1:15" hidden="1">
      <c r="A158" s="1" t="s">
        <v>205</v>
      </c>
      <c r="B158" s="12" t="s">
        <v>758</v>
      </c>
      <c r="C158" s="11" t="s">
        <v>759</v>
      </c>
      <c r="D158" s="11">
        <v>2025</v>
      </c>
      <c r="E158" s="11" t="s">
        <v>33</v>
      </c>
      <c r="F158" s="11" t="s">
        <v>29</v>
      </c>
      <c r="G158" s="11" t="s">
        <v>30</v>
      </c>
      <c r="H158" s="11" t="s">
        <v>30</v>
      </c>
      <c r="I158" s="11" t="s">
        <v>30</v>
      </c>
      <c r="J158" s="11" t="s">
        <v>30</v>
      </c>
      <c r="L158" s="11" t="s">
        <v>31</v>
      </c>
      <c r="O158" s="11" t="s">
        <v>31</v>
      </c>
    </row>
    <row r="159" spans="1:15" hidden="1">
      <c r="A159" s="1" t="s">
        <v>206</v>
      </c>
      <c r="B159" s="12" t="s">
        <v>760</v>
      </c>
      <c r="C159" s="11" t="s">
        <v>761</v>
      </c>
      <c r="D159" s="11">
        <v>2012</v>
      </c>
      <c r="J159" s="11" t="s">
        <v>762</v>
      </c>
      <c r="O159" s="11" t="s">
        <v>31</v>
      </c>
    </row>
    <row r="160" spans="1:15" ht="69" hidden="1">
      <c r="A160" s="1" t="s">
        <v>207</v>
      </c>
      <c r="B160" s="12" t="s">
        <v>763</v>
      </c>
      <c r="C160" s="11" t="s">
        <v>764</v>
      </c>
      <c r="D160" s="11">
        <v>2025</v>
      </c>
      <c r="E160" s="11" t="s">
        <v>765</v>
      </c>
      <c r="F160" s="11" t="s">
        <v>29</v>
      </c>
      <c r="G160" s="11" t="s">
        <v>31</v>
      </c>
      <c r="H160" s="11" t="s">
        <v>30</v>
      </c>
      <c r="I160" s="11" t="s">
        <v>30</v>
      </c>
      <c r="J160" s="11" t="s">
        <v>31</v>
      </c>
      <c r="L160" s="11" t="s">
        <v>30</v>
      </c>
      <c r="M160" s="11" t="s">
        <v>15</v>
      </c>
      <c r="N160" s="13" t="s">
        <v>766</v>
      </c>
      <c r="O160" s="11" t="s">
        <v>31</v>
      </c>
    </row>
    <row r="161" spans="1:18" hidden="1">
      <c r="A161" s="1" t="s">
        <v>208</v>
      </c>
      <c r="B161" s="12" t="s">
        <v>767</v>
      </c>
      <c r="C161" s="11" t="s">
        <v>768</v>
      </c>
      <c r="D161" s="11">
        <v>2005</v>
      </c>
      <c r="J161" s="11" t="s">
        <v>31</v>
      </c>
      <c r="O161" s="11" t="s">
        <v>31</v>
      </c>
    </row>
    <row r="162" spans="1:18" hidden="1">
      <c r="A162" s="1" t="s">
        <v>209</v>
      </c>
      <c r="B162" s="12" t="s">
        <v>769</v>
      </c>
      <c r="C162" s="11" t="s">
        <v>770</v>
      </c>
      <c r="D162" s="11">
        <v>2022</v>
      </c>
      <c r="J162" s="11" t="s">
        <v>31</v>
      </c>
      <c r="O162" s="11" t="s">
        <v>31</v>
      </c>
    </row>
    <row r="163" spans="1:18" hidden="1">
      <c r="A163" s="1" t="s">
        <v>210</v>
      </c>
      <c r="B163" s="12" t="s">
        <v>771</v>
      </c>
      <c r="C163" s="11" t="s">
        <v>772</v>
      </c>
      <c r="D163" s="11">
        <v>2019</v>
      </c>
      <c r="J163" s="11" t="s">
        <v>31</v>
      </c>
      <c r="O163" s="11" t="s">
        <v>31</v>
      </c>
    </row>
    <row r="164" spans="1:18" hidden="1">
      <c r="A164" s="1" t="s">
        <v>211</v>
      </c>
      <c r="B164" s="12" t="s">
        <v>773</v>
      </c>
      <c r="C164" s="11" t="s">
        <v>774</v>
      </c>
      <c r="D164" s="11">
        <v>2021</v>
      </c>
      <c r="J164" s="11" t="s">
        <v>31</v>
      </c>
      <c r="O164" s="11" t="s">
        <v>31</v>
      </c>
    </row>
    <row r="165" spans="1:18" hidden="1">
      <c r="A165" s="1" t="s">
        <v>212</v>
      </c>
      <c r="B165" s="12" t="s">
        <v>775</v>
      </c>
      <c r="C165" s="11" t="s">
        <v>776</v>
      </c>
      <c r="D165" s="11">
        <v>2023</v>
      </c>
      <c r="E165" s="11" t="s">
        <v>777</v>
      </c>
      <c r="F165" s="11" t="s">
        <v>29</v>
      </c>
      <c r="G165" s="11" t="s">
        <v>30</v>
      </c>
      <c r="H165" s="11" t="s">
        <v>30</v>
      </c>
      <c r="I165" s="11" t="s">
        <v>30</v>
      </c>
      <c r="J165" s="11" t="s">
        <v>30</v>
      </c>
      <c r="L165" s="11" t="s">
        <v>31</v>
      </c>
      <c r="O165" s="11" t="s">
        <v>31</v>
      </c>
    </row>
    <row r="166" spans="1:18" hidden="1">
      <c r="A166" s="1" t="s">
        <v>213</v>
      </c>
      <c r="B166" s="12" t="s">
        <v>778</v>
      </c>
      <c r="C166" s="11" t="s">
        <v>779</v>
      </c>
      <c r="D166" s="11">
        <v>2021</v>
      </c>
      <c r="J166" s="11" t="s">
        <v>31</v>
      </c>
      <c r="O166" s="11" t="s">
        <v>31</v>
      </c>
    </row>
    <row r="167" spans="1:18" hidden="1">
      <c r="A167" s="1" t="s">
        <v>214</v>
      </c>
      <c r="B167" s="12" t="s">
        <v>780</v>
      </c>
      <c r="C167" s="11" t="s">
        <v>781</v>
      </c>
      <c r="D167" s="11">
        <v>2022</v>
      </c>
      <c r="J167" s="11" t="s">
        <v>31</v>
      </c>
      <c r="O167" s="11" t="s">
        <v>31</v>
      </c>
    </row>
    <row r="168" spans="1:18" hidden="1">
      <c r="A168" s="1" t="s">
        <v>215</v>
      </c>
      <c r="B168" s="12" t="s">
        <v>782</v>
      </c>
      <c r="C168" s="11" t="s">
        <v>783</v>
      </c>
      <c r="D168" s="11">
        <v>2022</v>
      </c>
      <c r="J168" s="11" t="s">
        <v>31</v>
      </c>
      <c r="O168" s="11" t="s">
        <v>31</v>
      </c>
    </row>
    <row r="169" spans="1:18" hidden="1">
      <c r="A169" s="1" t="s">
        <v>216</v>
      </c>
      <c r="B169" s="12" t="s">
        <v>784</v>
      </c>
      <c r="C169" s="11" t="s">
        <v>785</v>
      </c>
      <c r="D169" s="11">
        <v>2023</v>
      </c>
      <c r="E169" s="11" t="s">
        <v>417</v>
      </c>
      <c r="F169" s="11" t="s">
        <v>29</v>
      </c>
      <c r="G169" s="11" t="s">
        <v>30</v>
      </c>
      <c r="H169" s="11" t="s">
        <v>30</v>
      </c>
      <c r="I169" s="11" t="s">
        <v>30</v>
      </c>
      <c r="J169" s="11" t="s">
        <v>30</v>
      </c>
      <c r="L169" s="11" t="s">
        <v>31</v>
      </c>
      <c r="O169" s="11" t="s">
        <v>495</v>
      </c>
    </row>
    <row r="170" spans="1:18" hidden="1">
      <c r="A170" s="1" t="s">
        <v>217</v>
      </c>
      <c r="B170" s="12" t="s">
        <v>786</v>
      </c>
      <c r="C170" s="11" t="s">
        <v>519</v>
      </c>
      <c r="D170" s="11">
        <v>2021</v>
      </c>
      <c r="J170" s="11" t="s">
        <v>31</v>
      </c>
      <c r="O170" s="11" t="s">
        <v>31</v>
      </c>
    </row>
    <row r="171" spans="1:18" hidden="1">
      <c r="A171" s="1" t="s">
        <v>218</v>
      </c>
      <c r="B171" s="12" t="s">
        <v>787</v>
      </c>
      <c r="C171" s="11" t="s">
        <v>788</v>
      </c>
      <c r="D171" s="11">
        <v>2020</v>
      </c>
      <c r="J171" s="11" t="s">
        <v>31</v>
      </c>
      <c r="O171" s="11" t="s">
        <v>31</v>
      </c>
    </row>
    <row r="172" spans="1:18" hidden="1">
      <c r="A172" s="1" t="s">
        <v>219</v>
      </c>
      <c r="B172" s="12" t="s">
        <v>789</v>
      </c>
      <c r="C172" s="11" t="s">
        <v>790</v>
      </c>
      <c r="D172" s="11">
        <v>2024</v>
      </c>
      <c r="E172" s="11" t="s">
        <v>791</v>
      </c>
      <c r="F172" s="11" t="s">
        <v>29</v>
      </c>
      <c r="G172" s="11" t="s">
        <v>30</v>
      </c>
      <c r="H172" s="11" t="s">
        <v>30</v>
      </c>
      <c r="I172" s="11" t="s">
        <v>30</v>
      </c>
      <c r="J172" s="11" t="s">
        <v>30</v>
      </c>
      <c r="L172" s="11" t="s">
        <v>30</v>
      </c>
      <c r="M172" s="11" t="s">
        <v>12</v>
      </c>
      <c r="O172" s="11" t="s">
        <v>31</v>
      </c>
    </row>
    <row r="173" spans="1:18" hidden="1">
      <c r="A173" s="1" t="s">
        <v>220</v>
      </c>
      <c r="B173" s="12" t="s">
        <v>792</v>
      </c>
      <c r="C173" s="11" t="s">
        <v>793</v>
      </c>
      <c r="D173" s="11">
        <v>2015</v>
      </c>
      <c r="J173" s="11" t="s">
        <v>31</v>
      </c>
      <c r="O173" s="11" t="s">
        <v>31</v>
      </c>
    </row>
    <row r="174" spans="1:18" hidden="1">
      <c r="A174" s="1" t="s">
        <v>221</v>
      </c>
      <c r="B174" s="12" t="s">
        <v>794</v>
      </c>
      <c r="C174" s="11" t="s">
        <v>795</v>
      </c>
      <c r="D174" s="11">
        <v>2024</v>
      </c>
      <c r="E174" s="11" t="s">
        <v>796</v>
      </c>
      <c r="F174" s="11" t="s">
        <v>29</v>
      </c>
      <c r="G174" s="11" t="s">
        <v>30</v>
      </c>
      <c r="H174" s="11" t="s">
        <v>30</v>
      </c>
      <c r="I174" s="11" t="s">
        <v>30</v>
      </c>
      <c r="J174" s="11" t="s">
        <v>30</v>
      </c>
      <c r="L174" s="11" t="s">
        <v>30</v>
      </c>
      <c r="M174" s="11" t="s">
        <v>12</v>
      </c>
      <c r="O174" s="11" t="s">
        <v>31</v>
      </c>
    </row>
    <row r="175" spans="1:18" hidden="1">
      <c r="A175" s="1" t="s">
        <v>222</v>
      </c>
      <c r="B175" s="12" t="s">
        <v>797</v>
      </c>
      <c r="C175" s="11" t="s">
        <v>798</v>
      </c>
      <c r="D175" s="11">
        <v>2015</v>
      </c>
      <c r="J175" s="11" t="s">
        <v>31</v>
      </c>
      <c r="O175" s="11" t="s">
        <v>31</v>
      </c>
    </row>
    <row r="176" spans="1:18" hidden="1">
      <c r="A176" s="1" t="s">
        <v>223</v>
      </c>
      <c r="B176" s="12" t="s">
        <v>799</v>
      </c>
      <c r="C176" s="11" t="s">
        <v>800</v>
      </c>
      <c r="D176" s="11">
        <v>2024</v>
      </c>
      <c r="E176" s="11" t="s">
        <v>801</v>
      </c>
      <c r="F176" s="11" t="s">
        <v>29</v>
      </c>
      <c r="G176" s="11" t="s">
        <v>30</v>
      </c>
      <c r="H176" s="11" t="s">
        <v>30</v>
      </c>
      <c r="I176" s="11" t="s">
        <v>30</v>
      </c>
      <c r="J176" s="11" t="s">
        <v>30</v>
      </c>
      <c r="L176" s="11" t="s">
        <v>31</v>
      </c>
      <c r="O176" s="11" t="s">
        <v>31</v>
      </c>
      <c r="R176" s="11" t="s">
        <v>3776</v>
      </c>
    </row>
    <row r="177" spans="1:18" hidden="1">
      <c r="A177" s="1" t="s">
        <v>224</v>
      </c>
      <c r="B177" s="12" t="s">
        <v>802</v>
      </c>
      <c r="C177" s="11" t="s">
        <v>803</v>
      </c>
      <c r="D177" s="11">
        <v>2024</v>
      </c>
      <c r="E177" s="11" t="s">
        <v>804</v>
      </c>
      <c r="F177" s="11" t="s">
        <v>29</v>
      </c>
      <c r="G177" s="11" t="s">
        <v>30</v>
      </c>
      <c r="H177" s="11" t="s">
        <v>30</v>
      </c>
      <c r="I177" s="11" t="s">
        <v>30</v>
      </c>
      <c r="J177" s="11" t="s">
        <v>30</v>
      </c>
      <c r="L177" s="11" t="s">
        <v>30</v>
      </c>
      <c r="M177" s="11" t="s">
        <v>14</v>
      </c>
      <c r="O177" s="11" t="s">
        <v>31</v>
      </c>
      <c r="Q177" s="11" t="s">
        <v>804</v>
      </c>
      <c r="R177" s="11" t="s">
        <v>3775</v>
      </c>
    </row>
    <row r="178" spans="1:18">
      <c r="A178" s="1" t="s">
        <v>225</v>
      </c>
      <c r="B178" s="12" t="s">
        <v>1341</v>
      </c>
      <c r="C178" s="11" t="s">
        <v>1342</v>
      </c>
      <c r="D178" s="11">
        <v>2025</v>
      </c>
      <c r="E178" s="11" t="s">
        <v>33</v>
      </c>
      <c r="F178" s="11" t="s">
        <v>29</v>
      </c>
      <c r="G178" s="11" t="s">
        <v>30</v>
      </c>
      <c r="H178" s="11" t="s">
        <v>30</v>
      </c>
      <c r="I178" s="11" t="s">
        <v>30</v>
      </c>
      <c r="J178" s="11" t="s">
        <v>30</v>
      </c>
      <c r="L178" s="11" t="s">
        <v>30</v>
      </c>
      <c r="M178" s="11" t="s">
        <v>15</v>
      </c>
      <c r="N178" s="11" t="s">
        <v>3883</v>
      </c>
      <c r="O178" s="11" t="s">
        <v>30</v>
      </c>
      <c r="Q178" s="11" t="s">
        <v>33</v>
      </c>
      <c r="R178" s="11" t="s">
        <v>3777</v>
      </c>
    </row>
    <row r="179" spans="1:18">
      <c r="A179" s="1" t="s">
        <v>226</v>
      </c>
      <c r="B179" s="12" t="s">
        <v>1343</v>
      </c>
      <c r="C179" s="11" t="s">
        <v>1344</v>
      </c>
      <c r="D179" s="11">
        <v>2023</v>
      </c>
      <c r="E179" s="11" t="s">
        <v>1345</v>
      </c>
      <c r="F179" s="11" t="s">
        <v>29</v>
      </c>
      <c r="G179" s="11" t="s">
        <v>30</v>
      </c>
      <c r="H179" s="11" t="s">
        <v>30</v>
      </c>
      <c r="I179" s="11" t="s">
        <v>30</v>
      </c>
      <c r="J179" s="11" t="s">
        <v>30</v>
      </c>
      <c r="L179" s="11" t="s">
        <v>30</v>
      </c>
      <c r="M179" s="11" t="s">
        <v>15</v>
      </c>
      <c r="N179" s="11" t="s">
        <v>3884</v>
      </c>
      <c r="O179" s="11" t="s">
        <v>30</v>
      </c>
      <c r="Q179" s="11" t="s">
        <v>1345</v>
      </c>
      <c r="R179" s="11" t="s">
        <v>3778</v>
      </c>
    </row>
    <row r="180" spans="1:18" hidden="1">
      <c r="A180" s="1" t="s">
        <v>227</v>
      </c>
      <c r="B180" s="12" t="s">
        <v>1346</v>
      </c>
      <c r="C180" s="11" t="s">
        <v>1347</v>
      </c>
      <c r="D180" s="11">
        <v>2024</v>
      </c>
      <c r="E180" s="11" t="s">
        <v>1348</v>
      </c>
      <c r="F180" s="11" t="s">
        <v>29</v>
      </c>
      <c r="G180" s="11" t="s">
        <v>31</v>
      </c>
      <c r="H180" s="11" t="s">
        <v>30</v>
      </c>
      <c r="I180" s="11" t="s">
        <v>30</v>
      </c>
      <c r="J180" s="11" t="s">
        <v>31</v>
      </c>
      <c r="L180" s="11" t="s">
        <v>30</v>
      </c>
      <c r="M180" s="11" t="s">
        <v>15</v>
      </c>
      <c r="N180" s="11" t="s">
        <v>3885</v>
      </c>
      <c r="O180" s="11" t="s">
        <v>31</v>
      </c>
      <c r="Q180" s="11" t="s">
        <v>1348</v>
      </c>
      <c r="R180" s="11" t="s">
        <v>3779</v>
      </c>
    </row>
    <row r="181" spans="1:18" hidden="1">
      <c r="A181" s="1" t="s">
        <v>228</v>
      </c>
      <c r="B181" s="12" t="s">
        <v>1349</v>
      </c>
      <c r="C181" s="11" t="s">
        <v>1350</v>
      </c>
      <c r="D181" s="11">
        <v>2023</v>
      </c>
      <c r="E181" s="11" t="s">
        <v>1351</v>
      </c>
      <c r="F181" s="11" t="s">
        <v>29</v>
      </c>
      <c r="G181" s="11" t="s">
        <v>30</v>
      </c>
      <c r="H181" s="11" t="s">
        <v>31</v>
      </c>
      <c r="I181" s="11" t="s">
        <v>30</v>
      </c>
      <c r="J181" s="11" t="s">
        <v>30</v>
      </c>
      <c r="L181" s="11" t="s">
        <v>30</v>
      </c>
      <c r="M181" s="11" t="s">
        <v>1752</v>
      </c>
      <c r="N181" s="11" t="s">
        <v>1752</v>
      </c>
      <c r="O181" s="11" t="s">
        <v>31</v>
      </c>
      <c r="Q181" s="11" t="s">
        <v>1351</v>
      </c>
      <c r="R181" s="11" t="s">
        <v>3780</v>
      </c>
    </row>
    <row r="182" spans="1:18" hidden="1">
      <c r="A182" s="1" t="s">
        <v>229</v>
      </c>
      <c r="B182" s="12" t="s">
        <v>1352</v>
      </c>
      <c r="C182" s="11" t="s">
        <v>1353</v>
      </c>
      <c r="D182" s="11">
        <v>2022</v>
      </c>
      <c r="E182" s="11" t="s">
        <v>1354</v>
      </c>
      <c r="R182" s="11" t="s">
        <v>3781</v>
      </c>
    </row>
    <row r="183" spans="1:18" hidden="1">
      <c r="A183" s="1" t="s">
        <v>230</v>
      </c>
      <c r="B183" s="12" t="s">
        <v>1355</v>
      </c>
      <c r="C183" s="11" t="s">
        <v>1356</v>
      </c>
      <c r="D183" s="11">
        <v>2021</v>
      </c>
      <c r="E183" s="11" t="s">
        <v>1357</v>
      </c>
      <c r="R183" s="11" t="s">
        <v>3782</v>
      </c>
    </row>
    <row r="184" spans="1:18" hidden="1">
      <c r="A184" s="1" t="s">
        <v>231</v>
      </c>
      <c r="B184" s="12" t="s">
        <v>1358</v>
      </c>
      <c r="C184" s="11" t="s">
        <v>1359</v>
      </c>
      <c r="D184" s="11">
        <v>2025</v>
      </c>
      <c r="E184" s="11" t="s">
        <v>1360</v>
      </c>
      <c r="F184" s="11" t="s">
        <v>29</v>
      </c>
      <c r="G184" s="11" t="s">
        <v>31</v>
      </c>
      <c r="H184" s="11" t="s">
        <v>30</v>
      </c>
      <c r="I184" s="11" t="s">
        <v>30</v>
      </c>
      <c r="J184" s="11" t="s">
        <v>31</v>
      </c>
      <c r="L184" s="11" t="s">
        <v>30</v>
      </c>
      <c r="M184" s="11" t="s">
        <v>15</v>
      </c>
      <c r="N184" s="11" t="s">
        <v>3886</v>
      </c>
      <c r="O184" s="11" t="s">
        <v>31</v>
      </c>
      <c r="Q184" s="11" t="s">
        <v>1360</v>
      </c>
      <c r="R184" s="11" t="s">
        <v>3783</v>
      </c>
    </row>
    <row r="185" spans="1:18" hidden="1">
      <c r="A185" s="1" t="s">
        <v>232</v>
      </c>
      <c r="B185" s="12" t="s">
        <v>1361</v>
      </c>
      <c r="C185" s="11" t="s">
        <v>1362</v>
      </c>
      <c r="D185" s="11">
        <v>2024</v>
      </c>
      <c r="E185" s="11" t="s">
        <v>1363</v>
      </c>
      <c r="F185" s="11" t="s">
        <v>29</v>
      </c>
      <c r="G185" s="11" t="s">
        <v>30</v>
      </c>
      <c r="H185" s="11" t="s">
        <v>30</v>
      </c>
      <c r="I185" s="11" t="s">
        <v>30</v>
      </c>
      <c r="J185" s="11" t="s">
        <v>30</v>
      </c>
      <c r="L185" s="11" t="s">
        <v>30</v>
      </c>
      <c r="M185" s="11" t="s">
        <v>12</v>
      </c>
      <c r="N185" s="11" t="s">
        <v>1752</v>
      </c>
      <c r="O185" s="11" t="s">
        <v>31</v>
      </c>
      <c r="Q185" s="11" t="s">
        <v>1363</v>
      </c>
      <c r="R185" s="11" t="s">
        <v>3784</v>
      </c>
    </row>
    <row r="186" spans="1:18" hidden="1">
      <c r="A186" s="1" t="s">
        <v>233</v>
      </c>
      <c r="B186" s="12" t="s">
        <v>1364</v>
      </c>
      <c r="C186" s="11" t="s">
        <v>1365</v>
      </c>
      <c r="D186" s="11">
        <v>2021</v>
      </c>
      <c r="E186" s="11" t="s">
        <v>1366</v>
      </c>
      <c r="R186" s="11" t="s">
        <v>3785</v>
      </c>
    </row>
    <row r="187" spans="1:18" hidden="1">
      <c r="A187" s="1" t="s">
        <v>234</v>
      </c>
      <c r="B187" s="12" t="s">
        <v>1367</v>
      </c>
      <c r="C187" s="11" t="s">
        <v>1368</v>
      </c>
      <c r="D187" s="11">
        <v>2024</v>
      </c>
      <c r="E187" s="11" t="s">
        <v>1369</v>
      </c>
      <c r="F187" s="11" t="s">
        <v>29</v>
      </c>
      <c r="G187" s="11" t="s">
        <v>31</v>
      </c>
      <c r="H187" s="11" t="s">
        <v>30</v>
      </c>
      <c r="I187" s="11" t="s">
        <v>30</v>
      </c>
      <c r="J187" s="11" t="s">
        <v>31</v>
      </c>
      <c r="L187" s="11" t="s">
        <v>30</v>
      </c>
      <c r="M187" s="11" t="s">
        <v>3654</v>
      </c>
      <c r="N187" s="11" t="s">
        <v>3887</v>
      </c>
      <c r="O187" s="11" t="s">
        <v>31</v>
      </c>
      <c r="Q187" s="11" t="s">
        <v>1369</v>
      </c>
      <c r="R187" s="11" t="s">
        <v>3786</v>
      </c>
    </row>
    <row r="188" spans="1:18" hidden="1">
      <c r="A188" s="1" t="s">
        <v>235</v>
      </c>
      <c r="B188" s="12" t="s">
        <v>1370</v>
      </c>
      <c r="C188" s="11" t="s">
        <v>1371</v>
      </c>
      <c r="D188" s="11">
        <v>2025</v>
      </c>
      <c r="E188" s="11" t="s">
        <v>1372</v>
      </c>
      <c r="F188" s="11" t="s">
        <v>29</v>
      </c>
      <c r="G188" s="11" t="s">
        <v>31</v>
      </c>
      <c r="H188" s="11" t="s">
        <v>30</v>
      </c>
      <c r="I188" s="11" t="s">
        <v>30</v>
      </c>
      <c r="J188" s="11" t="s">
        <v>31</v>
      </c>
      <c r="L188" s="11" t="s">
        <v>30</v>
      </c>
      <c r="M188" s="11" t="s">
        <v>15</v>
      </c>
      <c r="N188" s="11" t="s">
        <v>3888</v>
      </c>
      <c r="O188" s="11" t="s">
        <v>31</v>
      </c>
      <c r="Q188" s="11" t="s">
        <v>1372</v>
      </c>
      <c r="R188" s="11" t="s">
        <v>3787</v>
      </c>
    </row>
    <row r="189" spans="1:18" hidden="1">
      <c r="A189" s="1" t="s">
        <v>236</v>
      </c>
      <c r="B189" s="12" t="s">
        <v>1373</v>
      </c>
      <c r="C189" s="11" t="s">
        <v>1374</v>
      </c>
      <c r="D189" s="11">
        <v>2024</v>
      </c>
      <c r="E189" s="11" t="s">
        <v>1375</v>
      </c>
      <c r="F189" s="11" t="s">
        <v>29</v>
      </c>
      <c r="G189" s="11" t="s">
        <v>30</v>
      </c>
      <c r="H189" s="11" t="s">
        <v>30</v>
      </c>
      <c r="I189" s="11" t="s">
        <v>30</v>
      </c>
      <c r="J189" s="11" t="s">
        <v>30</v>
      </c>
      <c r="L189" s="11" t="s">
        <v>30</v>
      </c>
      <c r="M189" s="11" t="s">
        <v>12</v>
      </c>
      <c r="N189" s="11" t="s">
        <v>1752</v>
      </c>
      <c r="O189" s="11" t="s">
        <v>31</v>
      </c>
      <c r="Q189" s="11" t="s">
        <v>1375</v>
      </c>
      <c r="R189" s="11" t="s">
        <v>3788</v>
      </c>
    </row>
    <row r="190" spans="1:18" hidden="1">
      <c r="A190" s="1" t="s">
        <v>237</v>
      </c>
      <c r="B190" s="12" t="s">
        <v>1376</v>
      </c>
      <c r="C190" s="11" t="s">
        <v>1377</v>
      </c>
      <c r="D190" s="11">
        <v>2023</v>
      </c>
      <c r="E190" s="11" t="s">
        <v>1378</v>
      </c>
      <c r="F190" s="11" t="s">
        <v>29</v>
      </c>
      <c r="G190" s="11" t="s">
        <v>31</v>
      </c>
      <c r="H190" s="11" t="s">
        <v>30</v>
      </c>
      <c r="I190" s="11" t="s">
        <v>30</v>
      </c>
      <c r="J190" s="11" t="s">
        <v>31</v>
      </c>
      <c r="L190" s="11" t="s">
        <v>30</v>
      </c>
      <c r="M190" s="11" t="s">
        <v>15</v>
      </c>
      <c r="N190" s="11" t="s">
        <v>3889</v>
      </c>
      <c r="O190" s="11" t="s">
        <v>31</v>
      </c>
      <c r="Q190" s="11" t="s">
        <v>1378</v>
      </c>
      <c r="R190" s="11" t="s">
        <v>3789</v>
      </c>
    </row>
    <row r="191" spans="1:18" hidden="1">
      <c r="A191" s="1" t="s">
        <v>238</v>
      </c>
      <c r="B191" s="12" t="s">
        <v>1379</v>
      </c>
      <c r="C191" s="11" t="s">
        <v>1380</v>
      </c>
      <c r="D191" s="11">
        <v>2023</v>
      </c>
      <c r="E191" s="11" t="s">
        <v>1381</v>
      </c>
      <c r="F191" s="11" t="s">
        <v>29</v>
      </c>
      <c r="G191" s="11" t="s">
        <v>30</v>
      </c>
      <c r="H191" s="11" t="s">
        <v>30</v>
      </c>
      <c r="I191" s="11" t="s">
        <v>31</v>
      </c>
      <c r="J191" s="11" t="s">
        <v>31</v>
      </c>
      <c r="L191" s="11" t="s">
        <v>30</v>
      </c>
      <c r="M191" s="11" t="s">
        <v>1752</v>
      </c>
      <c r="N191" s="11" t="s">
        <v>1752</v>
      </c>
      <c r="O191" s="11" t="s">
        <v>31</v>
      </c>
      <c r="Q191" s="11" t="s">
        <v>1381</v>
      </c>
      <c r="R191" s="11" t="s">
        <v>3790</v>
      </c>
    </row>
    <row r="192" spans="1:18" hidden="1">
      <c r="A192" s="1" t="s">
        <v>239</v>
      </c>
      <c r="B192" s="12" t="s">
        <v>1382</v>
      </c>
      <c r="C192" s="11" t="s">
        <v>1383</v>
      </c>
      <c r="D192" s="11">
        <v>2025</v>
      </c>
      <c r="E192" s="11" t="s">
        <v>1384</v>
      </c>
      <c r="F192" s="11" t="s">
        <v>29</v>
      </c>
      <c r="G192" s="11" t="s">
        <v>31</v>
      </c>
      <c r="H192" s="11" t="s">
        <v>30</v>
      </c>
      <c r="I192" s="11" t="s">
        <v>30</v>
      </c>
      <c r="J192" s="11" t="s">
        <v>31</v>
      </c>
      <c r="L192" s="11" t="s">
        <v>30</v>
      </c>
      <c r="M192" s="11" t="s">
        <v>15</v>
      </c>
      <c r="N192" s="11" t="s">
        <v>3890</v>
      </c>
      <c r="O192" s="11" t="s">
        <v>31</v>
      </c>
      <c r="Q192" s="11" t="s">
        <v>1384</v>
      </c>
      <c r="R192" s="11" t="s">
        <v>3791</v>
      </c>
    </row>
    <row r="193" spans="1:18" hidden="1">
      <c r="A193" s="1" t="s">
        <v>240</v>
      </c>
      <c r="B193" s="12" t="s">
        <v>1385</v>
      </c>
      <c r="C193" s="11" t="s">
        <v>1386</v>
      </c>
      <c r="D193" s="11">
        <v>2024</v>
      </c>
      <c r="E193" s="11" t="s">
        <v>1387</v>
      </c>
      <c r="F193" s="11" t="s">
        <v>29</v>
      </c>
      <c r="G193" s="11" t="s">
        <v>31</v>
      </c>
      <c r="H193" s="11" t="s">
        <v>30</v>
      </c>
      <c r="I193" s="11" t="s">
        <v>30</v>
      </c>
      <c r="J193" s="11" t="s">
        <v>31</v>
      </c>
      <c r="L193" s="11" t="s">
        <v>30</v>
      </c>
      <c r="M193" s="11" t="s">
        <v>15</v>
      </c>
      <c r="N193" s="11" t="s">
        <v>3891</v>
      </c>
      <c r="O193" s="11" t="s">
        <v>31</v>
      </c>
      <c r="Q193" s="11" t="s">
        <v>1387</v>
      </c>
      <c r="R193" s="11" t="s">
        <v>3792</v>
      </c>
    </row>
    <row r="194" spans="1:18" hidden="1">
      <c r="A194" s="1" t="s">
        <v>241</v>
      </c>
      <c r="B194" s="12" t="s">
        <v>1388</v>
      </c>
      <c r="C194" s="11" t="s">
        <v>1389</v>
      </c>
      <c r="D194" s="11">
        <v>2023</v>
      </c>
      <c r="E194" s="11" t="s">
        <v>1390</v>
      </c>
      <c r="F194" s="11" t="s">
        <v>29</v>
      </c>
      <c r="G194" s="11" t="s">
        <v>31</v>
      </c>
      <c r="H194" s="11" t="s">
        <v>30</v>
      </c>
      <c r="I194" s="11" t="s">
        <v>30</v>
      </c>
      <c r="J194" s="11" t="s">
        <v>31</v>
      </c>
      <c r="L194" s="11" t="s">
        <v>30</v>
      </c>
      <c r="M194" s="11" t="s">
        <v>15</v>
      </c>
      <c r="N194" s="11" t="s">
        <v>3892</v>
      </c>
      <c r="O194" s="11" t="s">
        <v>31</v>
      </c>
      <c r="Q194" s="11" t="s">
        <v>1390</v>
      </c>
      <c r="R194" s="11" t="s">
        <v>3793</v>
      </c>
    </row>
    <row r="195" spans="1:18" hidden="1">
      <c r="A195" s="1" t="s">
        <v>242</v>
      </c>
      <c r="B195" s="12" t="s">
        <v>1391</v>
      </c>
      <c r="C195" s="11" t="s">
        <v>1392</v>
      </c>
      <c r="D195" s="11">
        <v>2024</v>
      </c>
      <c r="E195" s="11" t="s">
        <v>1393</v>
      </c>
      <c r="F195" s="11" t="s">
        <v>29</v>
      </c>
      <c r="G195" s="11" t="s">
        <v>30</v>
      </c>
      <c r="H195" s="11" t="s">
        <v>31</v>
      </c>
      <c r="I195" s="11" t="s">
        <v>30</v>
      </c>
      <c r="J195" s="11" t="s">
        <v>30</v>
      </c>
      <c r="L195" s="11" t="s">
        <v>30</v>
      </c>
      <c r="M195" s="11" t="s">
        <v>1752</v>
      </c>
      <c r="N195" s="11" t="s">
        <v>1752</v>
      </c>
      <c r="O195" s="11" t="s">
        <v>31</v>
      </c>
      <c r="Q195" s="11" t="s">
        <v>1393</v>
      </c>
      <c r="R195" s="11" t="s">
        <v>3794</v>
      </c>
    </row>
    <row r="196" spans="1:18" hidden="1">
      <c r="A196" s="1" t="s">
        <v>243</v>
      </c>
      <c r="B196" s="12" t="s">
        <v>1394</v>
      </c>
      <c r="C196" s="11" t="s">
        <v>1395</v>
      </c>
      <c r="D196" s="11">
        <v>2025</v>
      </c>
      <c r="E196" s="11" t="s">
        <v>1396</v>
      </c>
      <c r="F196" s="11" t="s">
        <v>29</v>
      </c>
      <c r="G196" s="11" t="s">
        <v>31</v>
      </c>
      <c r="H196" s="11" t="s">
        <v>30</v>
      </c>
      <c r="I196" s="11" t="s">
        <v>30</v>
      </c>
      <c r="J196" s="11" t="s">
        <v>31</v>
      </c>
      <c r="L196" s="11" t="s">
        <v>30</v>
      </c>
      <c r="M196" s="11" t="s">
        <v>3654</v>
      </c>
      <c r="N196" s="11" t="s">
        <v>3893</v>
      </c>
      <c r="O196" s="11" t="s">
        <v>31</v>
      </c>
      <c r="Q196" s="11" t="s">
        <v>1396</v>
      </c>
      <c r="R196" s="11" t="s">
        <v>3795</v>
      </c>
    </row>
    <row r="197" spans="1:18" hidden="1">
      <c r="A197" s="1" t="s">
        <v>244</v>
      </c>
      <c r="B197" s="12" t="s">
        <v>1397</v>
      </c>
      <c r="C197" s="11" t="s">
        <v>1398</v>
      </c>
      <c r="D197" s="11">
        <v>2024</v>
      </c>
      <c r="E197" s="11" t="s">
        <v>1399</v>
      </c>
      <c r="F197" s="11" t="s">
        <v>29</v>
      </c>
      <c r="G197" s="11" t="s">
        <v>31</v>
      </c>
      <c r="H197" s="11" t="s">
        <v>30</v>
      </c>
      <c r="I197" s="11" t="s">
        <v>30</v>
      </c>
      <c r="J197" s="11" t="s">
        <v>31</v>
      </c>
      <c r="L197" s="11" t="s">
        <v>30</v>
      </c>
      <c r="M197" s="11" t="s">
        <v>15</v>
      </c>
      <c r="N197" s="11" t="s">
        <v>3894</v>
      </c>
      <c r="O197" s="11" t="s">
        <v>31</v>
      </c>
      <c r="Q197" s="11" t="s">
        <v>1399</v>
      </c>
      <c r="R197" s="11" t="s">
        <v>3796</v>
      </c>
    </row>
    <row r="198" spans="1:18" hidden="1">
      <c r="A198" s="1" t="s">
        <v>245</v>
      </c>
      <c r="B198" s="12" t="s">
        <v>1400</v>
      </c>
      <c r="C198" s="11" t="s">
        <v>1401</v>
      </c>
      <c r="D198" s="11">
        <v>2021</v>
      </c>
      <c r="E198" s="11" t="s">
        <v>1402</v>
      </c>
      <c r="R198" s="11" t="s">
        <v>3797</v>
      </c>
    </row>
    <row r="199" spans="1:18" hidden="1">
      <c r="A199" s="1" t="s">
        <v>246</v>
      </c>
      <c r="B199" s="12" t="s">
        <v>1403</v>
      </c>
      <c r="C199" s="11" t="s">
        <v>1404</v>
      </c>
      <c r="D199" s="11">
        <v>2019</v>
      </c>
      <c r="E199" s="11" t="s">
        <v>1405</v>
      </c>
      <c r="R199" s="11" t="s">
        <v>3798</v>
      </c>
    </row>
    <row r="200" spans="1:18" hidden="1">
      <c r="A200" s="1" t="s">
        <v>247</v>
      </c>
      <c r="B200" s="12" t="s">
        <v>1406</v>
      </c>
      <c r="C200" s="11" t="s">
        <v>1407</v>
      </c>
      <c r="D200" s="11">
        <v>2025</v>
      </c>
      <c r="E200" s="11" t="s">
        <v>1408</v>
      </c>
      <c r="F200" s="11" t="s">
        <v>29</v>
      </c>
      <c r="G200" s="11" t="s">
        <v>31</v>
      </c>
      <c r="H200" s="11" t="s">
        <v>30</v>
      </c>
      <c r="I200" s="11" t="s">
        <v>30</v>
      </c>
      <c r="J200" s="11" t="s">
        <v>31</v>
      </c>
      <c r="L200" s="11" t="s">
        <v>30</v>
      </c>
      <c r="M200" s="11" t="s">
        <v>15</v>
      </c>
      <c r="N200" s="11" t="s">
        <v>3895</v>
      </c>
      <c r="O200" s="11" t="s">
        <v>31</v>
      </c>
      <c r="Q200" s="11" t="s">
        <v>1408</v>
      </c>
      <c r="R200" s="11" t="s">
        <v>3799</v>
      </c>
    </row>
    <row r="201" spans="1:18" hidden="1">
      <c r="A201" s="1" t="s">
        <v>248</v>
      </c>
      <c r="B201" s="12" t="s">
        <v>1409</v>
      </c>
      <c r="C201" s="11" t="s">
        <v>1410</v>
      </c>
      <c r="D201" s="11">
        <v>2018</v>
      </c>
      <c r="E201" s="11" t="s">
        <v>1411</v>
      </c>
      <c r="R201" s="11" t="s">
        <v>3800</v>
      </c>
    </row>
    <row r="202" spans="1:18" hidden="1">
      <c r="A202" s="1" t="s">
        <v>249</v>
      </c>
      <c r="B202" s="12" t="s">
        <v>1412</v>
      </c>
      <c r="C202" s="11" t="s">
        <v>1413</v>
      </c>
      <c r="D202" s="11">
        <v>2021</v>
      </c>
      <c r="E202" s="11" t="s">
        <v>1414</v>
      </c>
      <c r="R202" s="11" t="s">
        <v>3801</v>
      </c>
    </row>
    <row r="203" spans="1:18" ht="28.8" hidden="1">
      <c r="A203" s="1" t="s">
        <v>250</v>
      </c>
      <c r="B203" s="12" t="s">
        <v>1415</v>
      </c>
      <c r="C203" s="11" t="s">
        <v>1416</v>
      </c>
      <c r="D203" s="11">
        <v>2024</v>
      </c>
      <c r="E203" s="11" t="s">
        <v>1417</v>
      </c>
      <c r="F203" s="11" t="s">
        <v>29</v>
      </c>
      <c r="G203" s="11" t="s">
        <v>30</v>
      </c>
      <c r="H203" s="11" t="s">
        <v>30</v>
      </c>
      <c r="I203" s="11" t="s">
        <v>30</v>
      </c>
      <c r="J203" s="11" t="s">
        <v>30</v>
      </c>
      <c r="L203" s="11" t="s">
        <v>30</v>
      </c>
      <c r="M203" s="11" t="s">
        <v>12</v>
      </c>
      <c r="N203" s="11" t="s">
        <v>1752</v>
      </c>
      <c r="O203" s="11" t="s">
        <v>31</v>
      </c>
      <c r="Q203" s="11" t="s">
        <v>1417</v>
      </c>
      <c r="R203" s="11" t="s">
        <v>3802</v>
      </c>
    </row>
    <row r="204" spans="1:18" hidden="1">
      <c r="A204" s="1" t="s">
        <v>251</v>
      </c>
      <c r="B204" s="12" t="s">
        <v>1418</v>
      </c>
      <c r="C204" s="11" t="s">
        <v>1419</v>
      </c>
      <c r="D204" s="11">
        <v>2022</v>
      </c>
      <c r="E204" s="11" t="s">
        <v>1420</v>
      </c>
      <c r="R204" s="11" t="s">
        <v>3803</v>
      </c>
    </row>
    <row r="205" spans="1:18" hidden="1">
      <c r="A205" s="1" t="s">
        <v>252</v>
      </c>
      <c r="B205" s="12" t="s">
        <v>1421</v>
      </c>
      <c r="C205" s="11" t="s">
        <v>1422</v>
      </c>
      <c r="D205" s="11">
        <v>2021</v>
      </c>
      <c r="E205" s="11" t="s">
        <v>1402</v>
      </c>
      <c r="R205" s="11" t="s">
        <v>3804</v>
      </c>
    </row>
    <row r="206" spans="1:18" hidden="1">
      <c r="A206" s="1" t="s">
        <v>253</v>
      </c>
      <c r="B206" s="12" t="s">
        <v>1423</v>
      </c>
      <c r="C206" s="11" t="s">
        <v>1424</v>
      </c>
      <c r="D206" s="11">
        <v>2022</v>
      </c>
      <c r="E206" s="11" t="s">
        <v>1425</v>
      </c>
      <c r="R206" s="11" t="s">
        <v>3805</v>
      </c>
    </row>
    <row r="207" spans="1:18" hidden="1">
      <c r="A207" s="1" t="s">
        <v>254</v>
      </c>
      <c r="B207" s="12" t="s">
        <v>1426</v>
      </c>
      <c r="C207" s="11" t="s">
        <v>1427</v>
      </c>
      <c r="D207" s="11">
        <v>2025</v>
      </c>
      <c r="E207" s="11" t="s">
        <v>1428</v>
      </c>
      <c r="F207" s="11" t="s">
        <v>29</v>
      </c>
      <c r="G207" s="11" t="s">
        <v>31</v>
      </c>
      <c r="H207" s="11" t="s">
        <v>30</v>
      </c>
      <c r="I207" s="11" t="s">
        <v>30</v>
      </c>
      <c r="J207" s="11" t="s">
        <v>31</v>
      </c>
      <c r="L207" s="11" t="s">
        <v>30</v>
      </c>
      <c r="M207" s="11" t="s">
        <v>15</v>
      </c>
      <c r="N207" s="11" t="s">
        <v>3896</v>
      </c>
      <c r="O207" s="11" t="s">
        <v>31</v>
      </c>
      <c r="Q207" s="11" t="s">
        <v>1428</v>
      </c>
      <c r="R207" s="11" t="s">
        <v>3806</v>
      </c>
    </row>
    <row r="208" spans="1:18" hidden="1">
      <c r="A208" s="1" t="s">
        <v>255</v>
      </c>
      <c r="B208" s="12" t="s">
        <v>1429</v>
      </c>
      <c r="C208" s="11" t="s">
        <v>1430</v>
      </c>
      <c r="D208" s="11">
        <v>2023</v>
      </c>
      <c r="E208" s="11" t="s">
        <v>1431</v>
      </c>
      <c r="F208" s="11" t="s">
        <v>29</v>
      </c>
      <c r="G208" s="11" t="s">
        <v>31</v>
      </c>
      <c r="H208" s="11" t="s">
        <v>30</v>
      </c>
      <c r="I208" s="11" t="s">
        <v>30</v>
      </c>
      <c r="J208" s="11" t="s">
        <v>31</v>
      </c>
      <c r="L208" s="11" t="s">
        <v>30</v>
      </c>
      <c r="M208" s="11" t="s">
        <v>15</v>
      </c>
      <c r="N208" s="11" t="s">
        <v>3897</v>
      </c>
      <c r="O208" s="11" t="s">
        <v>31</v>
      </c>
      <c r="Q208" s="11" t="s">
        <v>1431</v>
      </c>
      <c r="R208" s="11" t="s">
        <v>3807</v>
      </c>
    </row>
    <row r="209" spans="1:18" hidden="1">
      <c r="A209" s="1" t="s">
        <v>256</v>
      </c>
      <c r="B209" s="12" t="s">
        <v>1432</v>
      </c>
      <c r="C209" s="11" t="s">
        <v>1433</v>
      </c>
      <c r="D209" s="11">
        <v>2023</v>
      </c>
      <c r="E209" s="11" t="s">
        <v>1434</v>
      </c>
      <c r="F209" s="11" t="s">
        <v>29</v>
      </c>
      <c r="G209" s="11" t="s">
        <v>30</v>
      </c>
      <c r="H209" s="11" t="s">
        <v>30</v>
      </c>
      <c r="I209" s="11" t="s">
        <v>31</v>
      </c>
      <c r="J209" s="11" t="s">
        <v>30</v>
      </c>
      <c r="L209" s="11" t="s">
        <v>30</v>
      </c>
      <c r="M209" s="11" t="s">
        <v>1752</v>
      </c>
      <c r="N209" s="11" t="s">
        <v>1752</v>
      </c>
      <c r="O209" s="11" t="s">
        <v>31</v>
      </c>
      <c r="Q209" s="11" t="s">
        <v>1434</v>
      </c>
      <c r="R209" s="11" t="s">
        <v>3808</v>
      </c>
    </row>
    <row r="210" spans="1:18" hidden="1">
      <c r="A210" s="1" t="s">
        <v>257</v>
      </c>
      <c r="B210" s="12" t="s">
        <v>1435</v>
      </c>
      <c r="C210" s="11" t="s">
        <v>1436</v>
      </c>
      <c r="D210" s="11">
        <v>2024</v>
      </c>
      <c r="E210" s="11" t="s">
        <v>1437</v>
      </c>
      <c r="F210" s="11" t="s">
        <v>29</v>
      </c>
      <c r="G210" s="11" t="s">
        <v>31</v>
      </c>
      <c r="H210" s="11" t="s">
        <v>30</v>
      </c>
      <c r="I210" s="11" t="s">
        <v>30</v>
      </c>
      <c r="J210" s="11" t="s">
        <v>31</v>
      </c>
      <c r="L210" s="11" t="s">
        <v>30</v>
      </c>
      <c r="M210" s="11" t="s">
        <v>15</v>
      </c>
      <c r="N210" s="11" t="s">
        <v>3898</v>
      </c>
      <c r="O210" s="11" t="s">
        <v>31</v>
      </c>
      <c r="Q210" s="11" t="s">
        <v>1437</v>
      </c>
      <c r="R210" s="11" t="s">
        <v>3809</v>
      </c>
    </row>
    <row r="211" spans="1:18" hidden="1">
      <c r="A211" s="1" t="s">
        <v>258</v>
      </c>
      <c r="B211" s="12" t="s">
        <v>1438</v>
      </c>
      <c r="C211" s="11" t="s">
        <v>1439</v>
      </c>
      <c r="D211" s="11">
        <v>2022</v>
      </c>
      <c r="E211" s="11" t="s">
        <v>1440</v>
      </c>
      <c r="R211" s="11" t="s">
        <v>3810</v>
      </c>
    </row>
    <row r="212" spans="1:18" hidden="1">
      <c r="A212" s="1" t="s">
        <v>259</v>
      </c>
      <c r="B212" s="12" t="s">
        <v>1441</v>
      </c>
      <c r="C212" s="11" t="s">
        <v>1442</v>
      </c>
      <c r="D212" s="11">
        <v>2024</v>
      </c>
      <c r="E212" s="11" t="s">
        <v>1443</v>
      </c>
      <c r="F212" s="11" t="s">
        <v>29</v>
      </c>
      <c r="G212" s="11" t="s">
        <v>30</v>
      </c>
      <c r="H212" s="11" t="s">
        <v>30</v>
      </c>
      <c r="I212" s="11" t="s">
        <v>30</v>
      </c>
      <c r="J212" s="11" t="s">
        <v>30</v>
      </c>
      <c r="L212" s="11" t="s">
        <v>30</v>
      </c>
      <c r="M212" s="11" t="s">
        <v>12</v>
      </c>
      <c r="N212" s="11" t="s">
        <v>1752</v>
      </c>
      <c r="O212" s="11" t="s">
        <v>31</v>
      </c>
      <c r="Q212" s="11" t="s">
        <v>1443</v>
      </c>
      <c r="R212" s="11" t="s">
        <v>3811</v>
      </c>
    </row>
    <row r="213" spans="1:18" hidden="1">
      <c r="A213" s="1" t="s">
        <v>260</v>
      </c>
      <c r="B213" s="12" t="s">
        <v>1444</v>
      </c>
      <c r="C213" s="11" t="s">
        <v>1445</v>
      </c>
      <c r="D213" s="11">
        <v>2021</v>
      </c>
      <c r="E213" s="11" t="s">
        <v>1446</v>
      </c>
      <c r="R213" s="11" t="s">
        <v>3812</v>
      </c>
    </row>
    <row r="214" spans="1:18" hidden="1">
      <c r="A214" s="1" t="s">
        <v>261</v>
      </c>
      <c r="B214" s="12" t="s">
        <v>1447</v>
      </c>
      <c r="C214" s="11" t="s">
        <v>1448</v>
      </c>
      <c r="D214" s="11">
        <v>2023</v>
      </c>
      <c r="E214" s="11" t="s">
        <v>1449</v>
      </c>
      <c r="F214" s="11" t="s">
        <v>29</v>
      </c>
      <c r="G214" s="11" t="s">
        <v>31</v>
      </c>
      <c r="H214" s="11" t="s">
        <v>30</v>
      </c>
      <c r="I214" s="11" t="s">
        <v>30</v>
      </c>
      <c r="J214" s="11" t="s">
        <v>31</v>
      </c>
      <c r="L214" s="11" t="s">
        <v>30</v>
      </c>
      <c r="M214" s="11" t="s">
        <v>15</v>
      </c>
      <c r="N214" s="11" t="s">
        <v>3899</v>
      </c>
      <c r="O214" s="11" t="s">
        <v>31</v>
      </c>
      <c r="Q214" s="11" t="s">
        <v>1449</v>
      </c>
      <c r="R214" s="11" t="s">
        <v>3813</v>
      </c>
    </row>
    <row r="215" spans="1:18" hidden="1">
      <c r="A215" s="1" t="s">
        <v>262</v>
      </c>
      <c r="B215" s="12" t="s">
        <v>1450</v>
      </c>
      <c r="C215" s="11" t="s">
        <v>1451</v>
      </c>
      <c r="D215" s="11">
        <v>2020</v>
      </c>
      <c r="E215" s="11" t="s">
        <v>1452</v>
      </c>
      <c r="R215" s="11" t="s">
        <v>3814</v>
      </c>
    </row>
    <row r="216" spans="1:18" hidden="1">
      <c r="A216" s="1" t="s">
        <v>263</v>
      </c>
      <c r="B216" s="12" t="s">
        <v>1453</v>
      </c>
      <c r="C216" s="11" t="s">
        <v>1454</v>
      </c>
      <c r="D216" s="11">
        <v>2024</v>
      </c>
      <c r="E216" s="11" t="s">
        <v>1455</v>
      </c>
      <c r="F216" s="11" t="s">
        <v>29</v>
      </c>
      <c r="G216" s="11" t="s">
        <v>31</v>
      </c>
      <c r="H216" s="11" t="s">
        <v>30</v>
      </c>
      <c r="I216" s="11" t="s">
        <v>30</v>
      </c>
      <c r="J216" s="11" t="s">
        <v>31</v>
      </c>
      <c r="L216" s="11" t="s">
        <v>30</v>
      </c>
      <c r="M216" s="11" t="s">
        <v>15</v>
      </c>
      <c r="N216" s="11" t="s">
        <v>3900</v>
      </c>
      <c r="O216" s="11" t="s">
        <v>31</v>
      </c>
      <c r="Q216" s="11" t="s">
        <v>1455</v>
      </c>
      <c r="R216" s="11" t="s">
        <v>3815</v>
      </c>
    </row>
    <row r="217" spans="1:18" hidden="1">
      <c r="A217" s="1" t="s">
        <v>264</v>
      </c>
      <c r="B217" s="12" t="s">
        <v>1456</v>
      </c>
      <c r="C217" s="11" t="s">
        <v>1457</v>
      </c>
      <c r="D217" s="11">
        <v>2025</v>
      </c>
      <c r="E217" s="11" t="s">
        <v>1458</v>
      </c>
      <c r="F217" s="11" t="s">
        <v>29</v>
      </c>
      <c r="G217" s="11" t="s">
        <v>30</v>
      </c>
      <c r="H217" s="11" t="s">
        <v>30</v>
      </c>
      <c r="I217" s="11" t="s">
        <v>30</v>
      </c>
      <c r="J217" s="11" t="s">
        <v>30</v>
      </c>
      <c r="L217" s="11" t="s">
        <v>30</v>
      </c>
      <c r="M217" s="11" t="s">
        <v>12</v>
      </c>
      <c r="N217" s="11" t="s">
        <v>1752</v>
      </c>
      <c r="O217" s="11" t="s">
        <v>31</v>
      </c>
      <c r="Q217" s="11" t="s">
        <v>1458</v>
      </c>
      <c r="R217" s="11" t="s">
        <v>3816</v>
      </c>
    </row>
    <row r="218" spans="1:18" hidden="1">
      <c r="A218" s="1" t="s">
        <v>265</v>
      </c>
      <c r="B218" s="12" t="s">
        <v>1459</v>
      </c>
      <c r="C218" s="11" t="s">
        <v>1460</v>
      </c>
      <c r="D218" s="11">
        <v>2024</v>
      </c>
      <c r="E218" s="11" t="s">
        <v>1461</v>
      </c>
      <c r="F218" s="11" t="s">
        <v>29</v>
      </c>
      <c r="G218" s="11" t="s">
        <v>31</v>
      </c>
      <c r="H218" s="11" t="s">
        <v>30</v>
      </c>
      <c r="I218" s="11" t="s">
        <v>30</v>
      </c>
      <c r="J218" s="11" t="s">
        <v>31</v>
      </c>
      <c r="L218" s="11" t="s">
        <v>30</v>
      </c>
      <c r="M218" s="11" t="s">
        <v>15</v>
      </c>
      <c r="N218" s="11" t="s">
        <v>3901</v>
      </c>
      <c r="O218" s="11" t="s">
        <v>31</v>
      </c>
      <c r="Q218" s="11" t="s">
        <v>1461</v>
      </c>
      <c r="R218" s="11" t="s">
        <v>3817</v>
      </c>
    </row>
    <row r="219" spans="1:18" hidden="1">
      <c r="A219" s="1" t="s">
        <v>266</v>
      </c>
      <c r="B219" s="12" t="s">
        <v>1462</v>
      </c>
      <c r="C219" s="11" t="s">
        <v>1463</v>
      </c>
      <c r="D219" s="11">
        <v>2024</v>
      </c>
      <c r="E219" s="11" t="s">
        <v>1464</v>
      </c>
      <c r="F219" s="11" t="s">
        <v>29</v>
      </c>
      <c r="G219" s="11" t="s">
        <v>31</v>
      </c>
      <c r="H219" s="11" t="s">
        <v>30</v>
      </c>
      <c r="I219" s="11" t="s">
        <v>30</v>
      </c>
      <c r="J219" s="11" t="s">
        <v>31</v>
      </c>
      <c r="L219" s="11" t="s">
        <v>30</v>
      </c>
      <c r="M219" s="11" t="s">
        <v>15</v>
      </c>
      <c r="N219" s="11" t="s">
        <v>3902</v>
      </c>
      <c r="O219" s="11" t="s">
        <v>31</v>
      </c>
      <c r="Q219" s="11" t="s">
        <v>1464</v>
      </c>
      <c r="R219" s="11" t="s">
        <v>3818</v>
      </c>
    </row>
    <row r="220" spans="1:18" hidden="1">
      <c r="A220" s="1" t="s">
        <v>267</v>
      </c>
      <c r="B220" s="12" t="s">
        <v>1465</v>
      </c>
      <c r="C220" s="11" t="s">
        <v>1466</v>
      </c>
      <c r="D220" s="11">
        <v>2025</v>
      </c>
      <c r="E220" s="11" t="s">
        <v>1467</v>
      </c>
      <c r="F220" s="11" t="s">
        <v>29</v>
      </c>
      <c r="G220" s="11" t="s">
        <v>31</v>
      </c>
      <c r="H220" s="11" t="s">
        <v>30</v>
      </c>
      <c r="I220" s="11" t="s">
        <v>30</v>
      </c>
      <c r="J220" s="11" t="s">
        <v>31</v>
      </c>
      <c r="L220" s="11" t="s">
        <v>30</v>
      </c>
      <c r="M220" s="11" t="s">
        <v>15</v>
      </c>
      <c r="N220" s="11" t="s">
        <v>3903</v>
      </c>
      <c r="O220" s="11" t="s">
        <v>31</v>
      </c>
      <c r="Q220" s="11" t="s">
        <v>1467</v>
      </c>
      <c r="R220" s="11" t="s">
        <v>3819</v>
      </c>
    </row>
    <row r="221" spans="1:18" hidden="1">
      <c r="A221" s="1" t="s">
        <v>268</v>
      </c>
      <c r="B221" s="12" t="s">
        <v>1468</v>
      </c>
      <c r="C221" s="11" t="s">
        <v>1469</v>
      </c>
      <c r="D221" s="11">
        <v>2021</v>
      </c>
      <c r="E221" s="11" t="s">
        <v>1470</v>
      </c>
      <c r="R221" s="11" t="s">
        <v>3820</v>
      </c>
    </row>
    <row r="222" spans="1:18" hidden="1">
      <c r="A222" s="1" t="s">
        <v>269</v>
      </c>
      <c r="B222" s="12" t="s">
        <v>1471</v>
      </c>
      <c r="C222" s="11" t="s">
        <v>1472</v>
      </c>
      <c r="D222" s="11">
        <v>2021</v>
      </c>
      <c r="E222" s="11" t="s">
        <v>1473</v>
      </c>
      <c r="R222" s="11" t="s">
        <v>3821</v>
      </c>
    </row>
    <row r="223" spans="1:18">
      <c r="A223" s="1" t="s">
        <v>270</v>
      </c>
      <c r="B223" s="12" t="s">
        <v>1474</v>
      </c>
      <c r="C223" s="11" t="s">
        <v>1475</v>
      </c>
      <c r="D223" s="11">
        <v>2024</v>
      </c>
      <c r="E223" s="11" t="s">
        <v>1476</v>
      </c>
      <c r="F223" s="11" t="s">
        <v>29</v>
      </c>
      <c r="G223" s="11" t="s">
        <v>30</v>
      </c>
      <c r="H223" s="11" t="s">
        <v>30</v>
      </c>
      <c r="I223" s="11" t="s">
        <v>30</v>
      </c>
      <c r="J223" s="11" t="s">
        <v>30</v>
      </c>
      <c r="L223" s="11" t="s">
        <v>30</v>
      </c>
      <c r="M223" s="11" t="s">
        <v>15</v>
      </c>
      <c r="N223" s="11" t="s">
        <v>3904</v>
      </c>
      <c r="O223" s="11" t="s">
        <v>30</v>
      </c>
      <c r="Q223" s="11" t="s">
        <v>1476</v>
      </c>
      <c r="R223" s="11" t="s">
        <v>3822</v>
      </c>
    </row>
    <row r="224" spans="1:18" hidden="1">
      <c r="A224" s="1" t="s">
        <v>271</v>
      </c>
      <c r="B224" s="12" t="s">
        <v>1477</v>
      </c>
      <c r="C224" s="11" t="s">
        <v>1478</v>
      </c>
      <c r="D224" s="11">
        <v>2025</v>
      </c>
      <c r="E224" s="11" t="s">
        <v>1479</v>
      </c>
      <c r="F224" s="11" t="s">
        <v>29</v>
      </c>
      <c r="G224" s="11" t="s">
        <v>30</v>
      </c>
      <c r="H224" s="11" t="s">
        <v>31</v>
      </c>
      <c r="I224" s="11" t="s">
        <v>30</v>
      </c>
      <c r="J224" s="11" t="s">
        <v>30</v>
      </c>
      <c r="L224" s="11" t="s">
        <v>30</v>
      </c>
      <c r="M224" s="11" t="s">
        <v>1752</v>
      </c>
      <c r="N224" s="11" t="s">
        <v>1752</v>
      </c>
      <c r="O224" s="11" t="s">
        <v>31</v>
      </c>
      <c r="Q224" s="11" t="s">
        <v>1479</v>
      </c>
      <c r="R224" s="11" t="s">
        <v>3823</v>
      </c>
    </row>
    <row r="225" spans="1:18" hidden="1">
      <c r="A225" s="1" t="s">
        <v>272</v>
      </c>
      <c r="B225" s="12" t="s">
        <v>1480</v>
      </c>
      <c r="C225" s="11" t="s">
        <v>1481</v>
      </c>
      <c r="D225" s="11">
        <v>2024</v>
      </c>
      <c r="E225" s="11" t="s">
        <v>1482</v>
      </c>
      <c r="F225" s="11" t="s">
        <v>29</v>
      </c>
      <c r="G225" s="11" t="s">
        <v>30</v>
      </c>
      <c r="H225" s="11" t="s">
        <v>30</v>
      </c>
      <c r="I225" s="11" t="s">
        <v>30</v>
      </c>
      <c r="J225" s="11" t="s">
        <v>30</v>
      </c>
      <c r="L225" s="11" t="s">
        <v>30</v>
      </c>
      <c r="M225" s="11" t="s">
        <v>12</v>
      </c>
      <c r="N225" s="11" t="s">
        <v>1752</v>
      </c>
      <c r="O225" s="11" t="s">
        <v>31</v>
      </c>
      <c r="Q225" s="11" t="s">
        <v>1482</v>
      </c>
      <c r="R225" s="11" t="s">
        <v>3824</v>
      </c>
    </row>
    <row r="226" spans="1:18" hidden="1">
      <c r="A226" s="1" t="s">
        <v>273</v>
      </c>
      <c r="B226" s="12" t="s">
        <v>1483</v>
      </c>
      <c r="C226" s="11" t="s">
        <v>1484</v>
      </c>
      <c r="D226" s="11">
        <v>2024</v>
      </c>
      <c r="E226" s="11" t="s">
        <v>1485</v>
      </c>
      <c r="F226" s="11" t="s">
        <v>29</v>
      </c>
      <c r="G226" s="11" t="s">
        <v>31</v>
      </c>
      <c r="H226" s="11" t="s">
        <v>30</v>
      </c>
      <c r="I226" s="11" t="s">
        <v>30</v>
      </c>
      <c r="J226" s="11" t="s">
        <v>31</v>
      </c>
      <c r="L226" s="11" t="s">
        <v>30</v>
      </c>
      <c r="M226" s="11" t="s">
        <v>15</v>
      </c>
      <c r="N226" s="11" t="s">
        <v>3905</v>
      </c>
      <c r="O226" s="11" t="s">
        <v>31</v>
      </c>
      <c r="Q226" s="11" t="s">
        <v>1485</v>
      </c>
      <c r="R226" s="11" t="s">
        <v>3825</v>
      </c>
    </row>
    <row r="227" spans="1:18" hidden="1">
      <c r="A227" s="1" t="s">
        <v>274</v>
      </c>
      <c r="B227" s="12" t="s">
        <v>1486</v>
      </c>
      <c r="C227" s="11" t="s">
        <v>1487</v>
      </c>
      <c r="D227" s="11">
        <v>2024</v>
      </c>
      <c r="E227" s="11" t="s">
        <v>1488</v>
      </c>
      <c r="F227" s="11" t="s">
        <v>29</v>
      </c>
      <c r="G227" s="11" t="s">
        <v>31</v>
      </c>
      <c r="H227" s="11" t="s">
        <v>30</v>
      </c>
      <c r="I227" s="11" t="s">
        <v>30</v>
      </c>
      <c r="J227" s="11" t="s">
        <v>31</v>
      </c>
      <c r="L227" s="11" t="s">
        <v>30</v>
      </c>
      <c r="M227" s="11" t="s">
        <v>15</v>
      </c>
      <c r="N227" s="11" t="s">
        <v>3906</v>
      </c>
      <c r="O227" s="11" t="s">
        <v>31</v>
      </c>
      <c r="Q227" s="11" t="s">
        <v>1488</v>
      </c>
      <c r="R227" s="11" t="s">
        <v>3826</v>
      </c>
    </row>
    <row r="228" spans="1:18" hidden="1">
      <c r="A228" s="1" t="s">
        <v>275</v>
      </c>
      <c r="B228" s="12" t="s">
        <v>1489</v>
      </c>
      <c r="C228" s="11" t="s">
        <v>1490</v>
      </c>
      <c r="D228" s="11">
        <v>2023</v>
      </c>
      <c r="E228" s="11" t="s">
        <v>1491</v>
      </c>
      <c r="F228" s="11" t="s">
        <v>29</v>
      </c>
      <c r="G228" s="11" t="s">
        <v>31</v>
      </c>
      <c r="H228" s="11" t="s">
        <v>30</v>
      </c>
      <c r="I228" s="11" t="s">
        <v>30</v>
      </c>
      <c r="J228" s="11" t="s">
        <v>31</v>
      </c>
      <c r="L228" s="11" t="s">
        <v>30</v>
      </c>
      <c r="M228" s="11" t="s">
        <v>15</v>
      </c>
      <c r="N228" s="11" t="s">
        <v>3907</v>
      </c>
      <c r="O228" s="11" t="s">
        <v>31</v>
      </c>
      <c r="Q228" s="11" t="s">
        <v>1491</v>
      </c>
      <c r="R228" s="11" t="s">
        <v>3827</v>
      </c>
    </row>
    <row r="229" spans="1:18" hidden="1">
      <c r="A229" s="1" t="s">
        <v>276</v>
      </c>
      <c r="B229" s="12" t="s">
        <v>1492</v>
      </c>
      <c r="C229" s="11" t="s">
        <v>1493</v>
      </c>
      <c r="D229" s="11">
        <v>2024</v>
      </c>
      <c r="E229" s="11" t="s">
        <v>1494</v>
      </c>
      <c r="F229" s="11" t="s">
        <v>29</v>
      </c>
      <c r="G229" s="11" t="s">
        <v>31</v>
      </c>
      <c r="H229" s="11" t="s">
        <v>30</v>
      </c>
      <c r="I229" s="11" t="s">
        <v>30</v>
      </c>
      <c r="J229" s="11" t="s">
        <v>31</v>
      </c>
      <c r="L229" s="11" t="s">
        <v>30</v>
      </c>
      <c r="M229" s="11" t="s">
        <v>15</v>
      </c>
      <c r="N229" s="11" t="s">
        <v>3908</v>
      </c>
      <c r="O229" s="11" t="s">
        <v>31</v>
      </c>
      <c r="Q229" s="11" t="s">
        <v>1494</v>
      </c>
      <c r="R229" s="11" t="s">
        <v>3828</v>
      </c>
    </row>
    <row r="230" spans="1:18" hidden="1">
      <c r="A230" s="1" t="s">
        <v>277</v>
      </c>
      <c r="B230" s="12" t="s">
        <v>1495</v>
      </c>
      <c r="C230" s="11" t="s">
        <v>1496</v>
      </c>
      <c r="D230" s="11">
        <v>2024</v>
      </c>
      <c r="E230" s="11" t="s">
        <v>1497</v>
      </c>
      <c r="F230" s="11" t="s">
        <v>29</v>
      </c>
      <c r="G230" s="11" t="s">
        <v>31</v>
      </c>
      <c r="H230" s="11" t="s">
        <v>30</v>
      </c>
      <c r="I230" s="11" t="s">
        <v>30</v>
      </c>
      <c r="J230" s="11" t="s">
        <v>31</v>
      </c>
      <c r="L230" s="11" t="s">
        <v>30</v>
      </c>
      <c r="M230" s="11" t="s">
        <v>15</v>
      </c>
      <c r="N230" s="11" t="s">
        <v>3909</v>
      </c>
      <c r="O230" s="11" t="s">
        <v>31</v>
      </c>
      <c r="Q230" s="11" t="s">
        <v>1497</v>
      </c>
      <c r="R230" s="11" t="s">
        <v>3829</v>
      </c>
    </row>
    <row r="231" spans="1:18" hidden="1">
      <c r="A231" s="1" t="s">
        <v>278</v>
      </c>
      <c r="B231" s="12" t="s">
        <v>1498</v>
      </c>
      <c r="C231" s="11" t="s">
        <v>1499</v>
      </c>
      <c r="D231" s="11">
        <v>2022</v>
      </c>
      <c r="E231" s="11" t="s">
        <v>1500</v>
      </c>
      <c r="R231" s="11" t="s">
        <v>3830</v>
      </c>
    </row>
    <row r="232" spans="1:18" hidden="1">
      <c r="A232" s="1" t="s">
        <v>279</v>
      </c>
      <c r="B232" s="12" t="s">
        <v>1501</v>
      </c>
      <c r="C232" s="11" t="s">
        <v>1502</v>
      </c>
      <c r="D232" s="11">
        <v>2013</v>
      </c>
      <c r="E232" s="11" t="s">
        <v>1503</v>
      </c>
      <c r="R232" s="11" t="s">
        <v>3831</v>
      </c>
    </row>
    <row r="233" spans="1:18" hidden="1">
      <c r="A233" s="1" t="s">
        <v>280</v>
      </c>
      <c r="B233" s="12" t="s">
        <v>1504</v>
      </c>
      <c r="C233" s="11" t="s">
        <v>1505</v>
      </c>
      <c r="D233" s="11">
        <v>2016</v>
      </c>
      <c r="E233" s="11" t="s">
        <v>1506</v>
      </c>
      <c r="R233" s="11" t="s">
        <v>3832</v>
      </c>
    </row>
    <row r="234" spans="1:18">
      <c r="A234" s="1" t="s">
        <v>281</v>
      </c>
      <c r="B234" s="12" t="s">
        <v>1507</v>
      </c>
      <c r="C234" s="11" t="s">
        <v>1407</v>
      </c>
      <c r="D234" s="11">
        <v>2023</v>
      </c>
      <c r="E234" s="11" t="s">
        <v>1508</v>
      </c>
      <c r="F234" s="11" t="s">
        <v>29</v>
      </c>
      <c r="G234" s="11" t="s">
        <v>30</v>
      </c>
      <c r="H234" s="11" t="s">
        <v>30</v>
      </c>
      <c r="I234" s="11" t="s">
        <v>30</v>
      </c>
      <c r="J234" s="11" t="s">
        <v>30</v>
      </c>
      <c r="L234" s="11" t="s">
        <v>30</v>
      </c>
      <c r="M234" s="11" t="s">
        <v>15</v>
      </c>
      <c r="N234" s="11" t="s">
        <v>3910</v>
      </c>
      <c r="O234" s="11" t="s">
        <v>30</v>
      </c>
      <c r="Q234" s="11" t="s">
        <v>1508</v>
      </c>
      <c r="R234" s="11" t="s">
        <v>3833</v>
      </c>
    </row>
    <row r="235" spans="1:18" hidden="1">
      <c r="A235" s="1" t="s">
        <v>282</v>
      </c>
      <c r="B235" s="12" t="s">
        <v>1509</v>
      </c>
      <c r="C235" s="11" t="s">
        <v>1510</v>
      </c>
      <c r="D235" s="11">
        <v>2005</v>
      </c>
      <c r="E235" s="11" t="s">
        <v>1511</v>
      </c>
      <c r="R235" s="11" t="s">
        <v>3834</v>
      </c>
    </row>
    <row r="236" spans="1:18" hidden="1">
      <c r="A236" s="1" t="s">
        <v>283</v>
      </c>
      <c r="B236" s="12" t="s">
        <v>1512</v>
      </c>
      <c r="C236" s="11" t="s">
        <v>1513</v>
      </c>
      <c r="D236" s="11">
        <v>2023</v>
      </c>
      <c r="E236" s="11" t="s">
        <v>1514</v>
      </c>
      <c r="F236" s="11" t="s">
        <v>29</v>
      </c>
      <c r="G236" s="11" t="s">
        <v>30</v>
      </c>
      <c r="H236" s="11" t="s">
        <v>30</v>
      </c>
      <c r="I236" s="11" t="s">
        <v>30</v>
      </c>
      <c r="J236" s="11" t="s">
        <v>30</v>
      </c>
      <c r="L236" s="11" t="s">
        <v>30</v>
      </c>
      <c r="M236" s="11" t="s">
        <v>12</v>
      </c>
      <c r="N236" s="11" t="s">
        <v>1752</v>
      </c>
      <c r="O236" s="11" t="s">
        <v>31</v>
      </c>
      <c r="Q236" s="11" t="s">
        <v>1514</v>
      </c>
      <c r="R236" s="11" t="s">
        <v>3835</v>
      </c>
    </row>
    <row r="237" spans="1:18" hidden="1">
      <c r="A237" s="1" t="s">
        <v>284</v>
      </c>
      <c r="B237" s="12" t="s">
        <v>1515</v>
      </c>
      <c r="C237" s="11" t="s">
        <v>1516</v>
      </c>
      <c r="D237" s="11">
        <v>2024</v>
      </c>
      <c r="E237" s="11" t="s">
        <v>715</v>
      </c>
      <c r="F237" s="11" t="s">
        <v>29</v>
      </c>
      <c r="G237" s="11" t="s">
        <v>31</v>
      </c>
      <c r="H237" s="11" t="s">
        <v>31</v>
      </c>
      <c r="I237" s="11" t="s">
        <v>30</v>
      </c>
      <c r="J237" s="11" t="s">
        <v>31</v>
      </c>
      <c r="L237" s="11" t="s">
        <v>30</v>
      </c>
      <c r="M237" s="11" t="s">
        <v>1752</v>
      </c>
      <c r="N237" s="11" t="s">
        <v>1752</v>
      </c>
      <c r="O237" s="11" t="s">
        <v>31</v>
      </c>
      <c r="Q237" s="11" t="s">
        <v>715</v>
      </c>
      <c r="R237" s="11" t="s">
        <v>3836</v>
      </c>
    </row>
    <row r="238" spans="1:18" hidden="1">
      <c r="A238" s="1" t="s">
        <v>285</v>
      </c>
      <c r="B238" s="12" t="s">
        <v>1517</v>
      </c>
      <c r="C238" s="11" t="s">
        <v>1518</v>
      </c>
      <c r="D238" s="11">
        <v>2024</v>
      </c>
      <c r="E238" s="11" t="s">
        <v>1519</v>
      </c>
      <c r="F238" s="11" t="s">
        <v>29</v>
      </c>
      <c r="G238" s="11" t="s">
        <v>30</v>
      </c>
      <c r="H238" s="11" t="s">
        <v>30</v>
      </c>
      <c r="I238" s="11" t="s">
        <v>30</v>
      </c>
      <c r="J238" s="11" t="s">
        <v>30</v>
      </c>
      <c r="L238" s="11" t="s">
        <v>30</v>
      </c>
      <c r="M238" s="11" t="s">
        <v>14</v>
      </c>
      <c r="N238" s="11" t="s">
        <v>1752</v>
      </c>
      <c r="O238" s="11" t="s">
        <v>31</v>
      </c>
      <c r="Q238" s="11" t="s">
        <v>1519</v>
      </c>
      <c r="R238" s="11" t="s">
        <v>3837</v>
      </c>
    </row>
    <row r="239" spans="1:18" hidden="1">
      <c r="A239" s="1" t="s">
        <v>286</v>
      </c>
      <c r="B239" s="12" t="s">
        <v>1520</v>
      </c>
      <c r="C239" s="11" t="s">
        <v>1521</v>
      </c>
      <c r="D239" s="11">
        <v>2023</v>
      </c>
      <c r="E239" s="11" t="s">
        <v>1522</v>
      </c>
      <c r="F239" s="11" t="s">
        <v>29</v>
      </c>
      <c r="G239" s="11" t="s">
        <v>31</v>
      </c>
      <c r="H239" s="11" t="s">
        <v>30</v>
      </c>
      <c r="I239" s="11" t="s">
        <v>30</v>
      </c>
      <c r="J239" s="11" t="s">
        <v>31</v>
      </c>
      <c r="L239" s="11" t="s">
        <v>30</v>
      </c>
      <c r="M239" s="11" t="s">
        <v>15</v>
      </c>
      <c r="N239" s="11" t="s">
        <v>3911</v>
      </c>
      <c r="O239" s="11" t="s">
        <v>31</v>
      </c>
      <c r="Q239" s="11" t="s">
        <v>1522</v>
      </c>
      <c r="R239" s="11" t="s">
        <v>3838</v>
      </c>
    </row>
    <row r="240" spans="1:18" hidden="1">
      <c r="A240" s="1" t="s">
        <v>287</v>
      </c>
      <c r="B240" s="12" t="s">
        <v>1523</v>
      </c>
      <c r="C240" s="11" t="s">
        <v>1524</v>
      </c>
      <c r="D240" s="11">
        <v>2022</v>
      </c>
      <c r="E240" s="11" t="s">
        <v>1525</v>
      </c>
      <c r="R240" s="11" t="s">
        <v>3839</v>
      </c>
    </row>
    <row r="241" spans="1:18" hidden="1">
      <c r="A241" s="1" t="s">
        <v>288</v>
      </c>
      <c r="B241" s="12" t="s">
        <v>1526</v>
      </c>
      <c r="C241" s="11" t="s">
        <v>1527</v>
      </c>
      <c r="D241" s="11">
        <v>2007</v>
      </c>
      <c r="E241" s="11" t="s">
        <v>1528</v>
      </c>
      <c r="R241" s="11" t="s">
        <v>3840</v>
      </c>
    </row>
    <row r="242" spans="1:18" hidden="1">
      <c r="A242" s="1" t="s">
        <v>289</v>
      </c>
      <c r="B242" s="12" t="s">
        <v>1529</v>
      </c>
      <c r="C242" s="11" t="s">
        <v>1530</v>
      </c>
      <c r="D242" s="11">
        <v>2011</v>
      </c>
      <c r="E242" s="11" t="s">
        <v>1531</v>
      </c>
      <c r="R242" s="11" t="s">
        <v>3841</v>
      </c>
    </row>
    <row r="243" spans="1:18" hidden="1">
      <c r="A243" s="1" t="s">
        <v>290</v>
      </c>
      <c r="B243" s="12" t="s">
        <v>1532</v>
      </c>
      <c r="C243" s="11" t="s">
        <v>1533</v>
      </c>
      <c r="D243" s="11">
        <v>2025</v>
      </c>
      <c r="E243" s="11" t="s">
        <v>33</v>
      </c>
      <c r="F243" s="11" t="s">
        <v>29</v>
      </c>
      <c r="G243" s="11" t="s">
        <v>30</v>
      </c>
      <c r="H243" s="11" t="s">
        <v>30</v>
      </c>
      <c r="I243" s="11" t="s">
        <v>30</v>
      </c>
      <c r="J243" s="11" t="s">
        <v>30</v>
      </c>
      <c r="L243" s="11" t="s">
        <v>30</v>
      </c>
      <c r="M243" s="11" t="s">
        <v>12</v>
      </c>
      <c r="N243" s="11" t="s">
        <v>1752</v>
      </c>
      <c r="O243" s="11" t="s">
        <v>31</v>
      </c>
      <c r="Q243" s="11" t="s">
        <v>33</v>
      </c>
      <c r="R243" s="11" t="s">
        <v>3842</v>
      </c>
    </row>
    <row r="244" spans="1:18" hidden="1">
      <c r="A244" s="1" t="s">
        <v>291</v>
      </c>
      <c r="B244" s="12" t="s">
        <v>1534</v>
      </c>
      <c r="C244" s="11" t="s">
        <v>1535</v>
      </c>
      <c r="D244" s="11">
        <v>2025</v>
      </c>
      <c r="E244" s="11" t="s">
        <v>1536</v>
      </c>
      <c r="F244" s="11" t="s">
        <v>29</v>
      </c>
      <c r="G244" s="11" t="s">
        <v>30</v>
      </c>
      <c r="H244" s="11" t="s">
        <v>30</v>
      </c>
      <c r="I244" s="11" t="s">
        <v>30</v>
      </c>
      <c r="J244" s="11" t="s">
        <v>30</v>
      </c>
      <c r="L244" s="11" t="s">
        <v>30</v>
      </c>
      <c r="M244" s="11" t="s">
        <v>12</v>
      </c>
      <c r="N244" s="11" t="s">
        <v>1752</v>
      </c>
      <c r="O244" s="11" t="s">
        <v>31</v>
      </c>
      <c r="Q244" s="11" t="s">
        <v>1536</v>
      </c>
      <c r="R244" s="11" t="s">
        <v>3843</v>
      </c>
    </row>
    <row r="245" spans="1:18" hidden="1">
      <c r="A245" s="1" t="s">
        <v>292</v>
      </c>
      <c r="B245" s="12" t="s">
        <v>1537</v>
      </c>
      <c r="C245" s="11" t="s">
        <v>1538</v>
      </c>
      <c r="D245" s="11">
        <v>2023</v>
      </c>
      <c r="E245" s="11" t="s">
        <v>1539</v>
      </c>
      <c r="F245" s="11" t="s">
        <v>29</v>
      </c>
      <c r="G245" s="11" t="s">
        <v>30</v>
      </c>
      <c r="H245" s="11" t="s">
        <v>31</v>
      </c>
      <c r="I245" s="11" t="s">
        <v>30</v>
      </c>
      <c r="J245" s="11" t="s">
        <v>30</v>
      </c>
      <c r="L245" s="11" t="s">
        <v>30</v>
      </c>
      <c r="M245" s="11" t="s">
        <v>1752</v>
      </c>
      <c r="N245" s="11" t="s">
        <v>1752</v>
      </c>
      <c r="O245" s="11" t="s">
        <v>31</v>
      </c>
      <c r="Q245" s="11" t="s">
        <v>1539</v>
      </c>
      <c r="R245" s="11" t="s">
        <v>3844</v>
      </c>
    </row>
    <row r="246" spans="1:18" hidden="1">
      <c r="A246" s="1" t="s">
        <v>293</v>
      </c>
      <c r="B246" s="12" t="s">
        <v>1540</v>
      </c>
      <c r="C246" s="11" t="s">
        <v>1541</v>
      </c>
      <c r="D246" s="11">
        <v>2016</v>
      </c>
      <c r="E246" s="11" t="s">
        <v>1542</v>
      </c>
      <c r="R246" s="11" t="s">
        <v>3845</v>
      </c>
    </row>
    <row r="247" spans="1:18" hidden="1">
      <c r="A247" s="1" t="s">
        <v>294</v>
      </c>
      <c r="B247" s="12" t="s">
        <v>1543</v>
      </c>
      <c r="C247" s="11" t="s">
        <v>1544</v>
      </c>
      <c r="D247" s="11">
        <v>2019</v>
      </c>
      <c r="E247" s="11" t="s">
        <v>1545</v>
      </c>
      <c r="R247" s="11" t="s">
        <v>3846</v>
      </c>
    </row>
    <row r="248" spans="1:18" hidden="1">
      <c r="A248" s="1" t="s">
        <v>295</v>
      </c>
      <c r="B248" s="12" t="s">
        <v>1546</v>
      </c>
      <c r="C248" s="11" t="s">
        <v>1547</v>
      </c>
      <c r="D248" s="11">
        <v>2024</v>
      </c>
      <c r="E248" s="11" t="s">
        <v>1548</v>
      </c>
      <c r="F248" s="11" t="s">
        <v>29</v>
      </c>
      <c r="G248" s="11" t="s">
        <v>30</v>
      </c>
      <c r="H248" s="11" t="s">
        <v>30</v>
      </c>
      <c r="I248" s="11" t="s">
        <v>30</v>
      </c>
      <c r="J248" s="11" t="s">
        <v>30</v>
      </c>
      <c r="L248" s="11" t="s">
        <v>30</v>
      </c>
      <c r="M248" s="11" t="s">
        <v>12</v>
      </c>
      <c r="N248" s="11" t="s">
        <v>1752</v>
      </c>
      <c r="O248" s="11" t="s">
        <v>31</v>
      </c>
      <c r="Q248" s="11" t="s">
        <v>1548</v>
      </c>
      <c r="R248" s="11" t="s">
        <v>3847</v>
      </c>
    </row>
    <row r="249" spans="1:18" hidden="1">
      <c r="A249" s="1" t="s">
        <v>296</v>
      </c>
      <c r="B249" s="12" t="s">
        <v>1549</v>
      </c>
      <c r="C249" s="11" t="s">
        <v>1550</v>
      </c>
      <c r="D249" s="11">
        <v>2019</v>
      </c>
      <c r="E249" s="11" t="s">
        <v>1551</v>
      </c>
      <c r="R249" s="11" t="s">
        <v>3848</v>
      </c>
    </row>
    <row r="250" spans="1:18" hidden="1">
      <c r="A250" s="1" t="s">
        <v>297</v>
      </c>
      <c r="B250" s="12" t="s">
        <v>1552</v>
      </c>
      <c r="C250" s="11" t="s">
        <v>1553</v>
      </c>
      <c r="D250" s="11">
        <v>2010</v>
      </c>
      <c r="E250" s="11" t="s">
        <v>1554</v>
      </c>
      <c r="R250" s="11" t="s">
        <v>3849</v>
      </c>
    </row>
    <row r="251" spans="1:18" hidden="1">
      <c r="A251" s="1" t="s">
        <v>298</v>
      </c>
      <c r="B251" s="12" t="s">
        <v>1555</v>
      </c>
      <c r="C251" s="11" t="s">
        <v>1556</v>
      </c>
      <c r="D251" s="11">
        <v>2018</v>
      </c>
      <c r="E251" s="11" t="s">
        <v>1557</v>
      </c>
      <c r="R251" s="11" t="s">
        <v>3850</v>
      </c>
    </row>
    <row r="252" spans="1:18" hidden="1">
      <c r="A252" s="1" t="s">
        <v>299</v>
      </c>
      <c r="B252" s="12" t="s">
        <v>1558</v>
      </c>
      <c r="C252" s="11" t="s">
        <v>1559</v>
      </c>
      <c r="D252" s="11">
        <v>2020</v>
      </c>
      <c r="E252" s="11" t="s">
        <v>1560</v>
      </c>
      <c r="R252" s="11" t="s">
        <v>3851</v>
      </c>
    </row>
    <row r="253" spans="1:18" hidden="1">
      <c r="A253" s="1" t="s">
        <v>300</v>
      </c>
      <c r="B253" s="12" t="s">
        <v>1561</v>
      </c>
      <c r="C253" s="11" t="s">
        <v>1562</v>
      </c>
      <c r="D253" s="11">
        <v>2023</v>
      </c>
      <c r="E253" s="11" t="s">
        <v>1563</v>
      </c>
      <c r="F253" s="11" t="s">
        <v>29</v>
      </c>
      <c r="G253" s="11" t="s">
        <v>31</v>
      </c>
      <c r="H253" s="11" t="s">
        <v>30</v>
      </c>
      <c r="I253" s="11" t="s">
        <v>30</v>
      </c>
      <c r="J253" s="11" t="s">
        <v>31</v>
      </c>
      <c r="L253" s="11" t="s">
        <v>30</v>
      </c>
      <c r="M253" s="11" t="s">
        <v>15</v>
      </c>
      <c r="N253" s="11" t="s">
        <v>3912</v>
      </c>
      <c r="O253" s="11" t="s">
        <v>31</v>
      </c>
      <c r="Q253" s="11" t="s">
        <v>1563</v>
      </c>
      <c r="R253" s="11" t="s">
        <v>3852</v>
      </c>
    </row>
    <row r="254" spans="1:18" hidden="1">
      <c r="A254" s="1" t="s">
        <v>301</v>
      </c>
      <c r="B254" s="12" t="s">
        <v>1564</v>
      </c>
      <c r="C254" s="11" t="s">
        <v>1565</v>
      </c>
      <c r="D254" s="11">
        <v>2021</v>
      </c>
      <c r="E254" s="11" t="s">
        <v>1564</v>
      </c>
      <c r="R254" s="11" t="s">
        <v>3853</v>
      </c>
    </row>
    <row r="255" spans="1:18" hidden="1">
      <c r="A255" s="1" t="s">
        <v>302</v>
      </c>
      <c r="B255" s="12" t="s">
        <v>1566</v>
      </c>
      <c r="C255" s="11" t="s">
        <v>1567</v>
      </c>
      <c r="D255" s="11">
        <v>2015</v>
      </c>
      <c r="E255" s="11" t="s">
        <v>1568</v>
      </c>
      <c r="R255" s="11" t="s">
        <v>3854</v>
      </c>
    </row>
    <row r="256" spans="1:18" hidden="1">
      <c r="A256" s="1" t="s">
        <v>303</v>
      </c>
      <c r="B256" s="12" t="s">
        <v>1569</v>
      </c>
      <c r="C256" s="11" t="s">
        <v>1570</v>
      </c>
      <c r="D256" s="11">
        <v>2023</v>
      </c>
      <c r="E256" s="11" t="s">
        <v>1571</v>
      </c>
      <c r="F256" s="11" t="s">
        <v>29</v>
      </c>
      <c r="G256" s="11" t="s">
        <v>30</v>
      </c>
      <c r="H256" s="11" t="s">
        <v>30</v>
      </c>
      <c r="I256" s="11" t="s">
        <v>30</v>
      </c>
      <c r="J256" s="11" t="s">
        <v>30</v>
      </c>
      <c r="L256" s="11" t="s">
        <v>30</v>
      </c>
      <c r="M256" s="11" t="s">
        <v>12</v>
      </c>
      <c r="N256" s="11" t="s">
        <v>1752</v>
      </c>
      <c r="O256" s="11" t="s">
        <v>31</v>
      </c>
      <c r="Q256" s="11" t="s">
        <v>1571</v>
      </c>
      <c r="R256" s="11" t="s">
        <v>3855</v>
      </c>
    </row>
    <row r="257" spans="1:18" hidden="1">
      <c r="A257" s="1" t="s">
        <v>304</v>
      </c>
      <c r="B257" s="12" t="s">
        <v>1572</v>
      </c>
      <c r="C257" s="11" t="s">
        <v>1573</v>
      </c>
      <c r="D257" s="11">
        <v>2017</v>
      </c>
      <c r="E257" s="11" t="s">
        <v>1574</v>
      </c>
      <c r="R257" s="11" t="s">
        <v>3856</v>
      </c>
    </row>
    <row r="258" spans="1:18" hidden="1">
      <c r="A258" s="1" t="s">
        <v>305</v>
      </c>
      <c r="B258" s="12" t="s">
        <v>1575</v>
      </c>
      <c r="C258" s="11" t="s">
        <v>1576</v>
      </c>
      <c r="D258" s="11">
        <v>2002</v>
      </c>
      <c r="E258" s="11" t="s">
        <v>1577</v>
      </c>
      <c r="R258" s="11" t="s">
        <v>3857</v>
      </c>
    </row>
    <row r="259" spans="1:18" hidden="1">
      <c r="A259" s="1" t="s">
        <v>306</v>
      </c>
      <c r="B259" s="12" t="s">
        <v>1578</v>
      </c>
      <c r="C259" s="11" t="s">
        <v>1579</v>
      </c>
      <c r="D259" s="11">
        <v>2025</v>
      </c>
      <c r="E259" s="11" t="s">
        <v>1580</v>
      </c>
      <c r="F259" s="11" t="s">
        <v>29</v>
      </c>
      <c r="G259" s="11" t="s">
        <v>30</v>
      </c>
      <c r="H259" s="11" t="s">
        <v>30</v>
      </c>
      <c r="I259" s="11" t="s">
        <v>30</v>
      </c>
      <c r="J259" s="11" t="s">
        <v>30</v>
      </c>
      <c r="L259" s="11" t="s">
        <v>30</v>
      </c>
      <c r="M259" s="11" t="s">
        <v>12</v>
      </c>
      <c r="N259" s="11" t="s">
        <v>1752</v>
      </c>
      <c r="O259" s="11" t="s">
        <v>31</v>
      </c>
      <c r="Q259" s="11" t="s">
        <v>1580</v>
      </c>
      <c r="R259" s="11" t="s">
        <v>3858</v>
      </c>
    </row>
    <row r="260" spans="1:18" hidden="1">
      <c r="A260" s="1" t="s">
        <v>307</v>
      </c>
      <c r="B260" s="12" t="s">
        <v>1581</v>
      </c>
      <c r="C260" s="11" t="s">
        <v>1582</v>
      </c>
      <c r="D260" s="11">
        <v>2007</v>
      </c>
      <c r="E260" s="11" t="s">
        <v>1583</v>
      </c>
      <c r="R260" s="11" t="s">
        <v>3859</v>
      </c>
    </row>
    <row r="261" spans="1:18" hidden="1">
      <c r="A261" s="1" t="s">
        <v>308</v>
      </c>
      <c r="B261" s="12" t="s">
        <v>1584</v>
      </c>
      <c r="C261" s="11" t="s">
        <v>1585</v>
      </c>
      <c r="D261" s="11">
        <v>2020</v>
      </c>
      <c r="E261" s="11" t="s">
        <v>1586</v>
      </c>
      <c r="R261" s="11" t="s">
        <v>3860</v>
      </c>
    </row>
    <row r="262" spans="1:18" hidden="1">
      <c r="A262" s="1" t="s">
        <v>309</v>
      </c>
      <c r="B262" s="12" t="s">
        <v>1587</v>
      </c>
      <c r="C262" s="11" t="s">
        <v>1588</v>
      </c>
      <c r="D262" s="11">
        <v>2024</v>
      </c>
      <c r="E262" s="11" t="s">
        <v>1589</v>
      </c>
      <c r="F262" s="11" t="s">
        <v>29</v>
      </c>
      <c r="G262" s="11" t="s">
        <v>31</v>
      </c>
      <c r="H262" s="11" t="s">
        <v>30</v>
      </c>
      <c r="I262" s="11" t="s">
        <v>30</v>
      </c>
      <c r="J262" s="11" t="s">
        <v>31</v>
      </c>
      <c r="L262" s="11" t="s">
        <v>30</v>
      </c>
      <c r="M262" s="11" t="s">
        <v>15</v>
      </c>
      <c r="N262" s="11" t="s">
        <v>3913</v>
      </c>
      <c r="O262" s="11" t="s">
        <v>31</v>
      </c>
      <c r="Q262" s="11" t="s">
        <v>1589</v>
      </c>
      <c r="R262" s="11" t="s">
        <v>3861</v>
      </c>
    </row>
    <row r="263" spans="1:18" hidden="1">
      <c r="A263" s="1" t="s">
        <v>310</v>
      </c>
      <c r="B263" s="12" t="s">
        <v>1590</v>
      </c>
      <c r="C263" s="11" t="s">
        <v>1591</v>
      </c>
      <c r="D263" s="11">
        <v>2025</v>
      </c>
      <c r="E263" s="11" t="s">
        <v>1592</v>
      </c>
      <c r="F263" s="11" t="s">
        <v>29</v>
      </c>
      <c r="G263" s="11" t="s">
        <v>30</v>
      </c>
      <c r="H263" s="11" t="s">
        <v>31</v>
      </c>
      <c r="I263" s="11" t="s">
        <v>30</v>
      </c>
      <c r="J263" s="11" t="s">
        <v>30</v>
      </c>
      <c r="L263" s="11" t="s">
        <v>30</v>
      </c>
      <c r="M263" s="11" t="s">
        <v>1752</v>
      </c>
      <c r="N263" s="11" t="s">
        <v>1752</v>
      </c>
      <c r="O263" s="11" t="s">
        <v>31</v>
      </c>
      <c r="Q263" s="11" t="s">
        <v>1592</v>
      </c>
      <c r="R263" s="11" t="s">
        <v>3862</v>
      </c>
    </row>
    <row r="264" spans="1:18" hidden="1">
      <c r="A264" s="1" t="s">
        <v>311</v>
      </c>
      <c r="B264" s="12" t="s">
        <v>1593</v>
      </c>
      <c r="C264" s="11" t="s">
        <v>1594</v>
      </c>
      <c r="D264" s="11">
        <v>2012</v>
      </c>
      <c r="E264" s="11" t="s">
        <v>1595</v>
      </c>
      <c r="R264" s="11" t="s">
        <v>3863</v>
      </c>
    </row>
    <row r="265" spans="1:18" hidden="1">
      <c r="A265" s="1" t="s">
        <v>312</v>
      </c>
      <c r="B265" s="12" t="s">
        <v>1596</v>
      </c>
      <c r="C265" s="11" t="s">
        <v>1597</v>
      </c>
      <c r="D265" s="11">
        <v>2022</v>
      </c>
      <c r="E265" s="11" t="s">
        <v>1598</v>
      </c>
      <c r="R265" s="11" t="s">
        <v>3864</v>
      </c>
    </row>
    <row r="266" spans="1:18" hidden="1">
      <c r="A266" s="1" t="s">
        <v>313</v>
      </c>
      <c r="B266" s="12" t="s">
        <v>1599</v>
      </c>
      <c r="C266" s="11" t="s">
        <v>1600</v>
      </c>
      <c r="D266" s="11">
        <v>2022</v>
      </c>
      <c r="E266" s="11" t="s">
        <v>1601</v>
      </c>
      <c r="R266" s="11" t="s">
        <v>3865</v>
      </c>
    </row>
    <row r="267" spans="1:18" hidden="1">
      <c r="A267" s="1" t="s">
        <v>314</v>
      </c>
      <c r="B267" s="12" t="s">
        <v>1602</v>
      </c>
      <c r="C267" s="11" t="s">
        <v>1603</v>
      </c>
      <c r="D267" s="11">
        <v>2006</v>
      </c>
      <c r="E267" s="11" t="s">
        <v>1604</v>
      </c>
      <c r="R267" s="11" t="s">
        <v>3866</v>
      </c>
    </row>
    <row r="268" spans="1:18" hidden="1">
      <c r="A268" s="1" t="s">
        <v>315</v>
      </c>
      <c r="B268" s="12" t="s">
        <v>1605</v>
      </c>
      <c r="C268" s="11" t="s">
        <v>1606</v>
      </c>
      <c r="D268" s="11">
        <v>2014</v>
      </c>
      <c r="E268" s="11" t="s">
        <v>1607</v>
      </c>
      <c r="R268" s="11" t="s">
        <v>3867</v>
      </c>
    </row>
    <row r="269" spans="1:18" hidden="1">
      <c r="A269" s="1" t="s">
        <v>316</v>
      </c>
      <c r="B269" s="12" t="s">
        <v>1608</v>
      </c>
      <c r="C269" s="11" t="s">
        <v>1609</v>
      </c>
      <c r="D269" s="11">
        <v>2023</v>
      </c>
      <c r="E269" s="11" t="s">
        <v>1610</v>
      </c>
      <c r="F269" s="11" t="s">
        <v>29</v>
      </c>
      <c r="G269" s="11" t="s">
        <v>31</v>
      </c>
      <c r="H269" s="11" t="s">
        <v>30</v>
      </c>
      <c r="I269" s="11" t="s">
        <v>30</v>
      </c>
      <c r="J269" s="11" t="s">
        <v>31</v>
      </c>
      <c r="L269" s="11" t="s">
        <v>30</v>
      </c>
      <c r="M269" s="11" t="s">
        <v>15</v>
      </c>
      <c r="N269" s="11" t="s">
        <v>3914</v>
      </c>
      <c r="O269" s="11" t="s">
        <v>31</v>
      </c>
      <c r="Q269" s="11" t="s">
        <v>1610</v>
      </c>
      <c r="R269" s="11" t="s">
        <v>3868</v>
      </c>
    </row>
    <row r="270" spans="1:18" hidden="1">
      <c r="A270" s="1" t="s">
        <v>317</v>
      </c>
      <c r="B270" s="12" t="s">
        <v>1611</v>
      </c>
      <c r="C270" s="11" t="s">
        <v>1612</v>
      </c>
      <c r="D270" s="11">
        <v>2017</v>
      </c>
      <c r="E270" s="11" t="s">
        <v>1613</v>
      </c>
      <c r="R270" s="11" t="s">
        <v>3869</v>
      </c>
    </row>
    <row r="271" spans="1:18" hidden="1">
      <c r="A271" s="1" t="s">
        <v>318</v>
      </c>
      <c r="B271" s="12" t="s">
        <v>1614</v>
      </c>
      <c r="C271" s="11" t="s">
        <v>1615</v>
      </c>
      <c r="D271" s="11">
        <v>2023</v>
      </c>
      <c r="E271" s="11" t="s">
        <v>1616</v>
      </c>
      <c r="F271" s="11" t="s">
        <v>29</v>
      </c>
      <c r="G271" s="11" t="s">
        <v>31</v>
      </c>
      <c r="H271" s="11" t="s">
        <v>30</v>
      </c>
      <c r="I271" s="11" t="s">
        <v>30</v>
      </c>
      <c r="J271" s="11" t="s">
        <v>31</v>
      </c>
      <c r="L271" s="11" t="s">
        <v>30</v>
      </c>
      <c r="M271" s="11" t="s">
        <v>15</v>
      </c>
      <c r="N271" s="11" t="s">
        <v>3915</v>
      </c>
      <c r="O271" s="11" t="s">
        <v>31</v>
      </c>
      <c r="Q271" s="11" t="s">
        <v>1616</v>
      </c>
      <c r="R271" s="11" t="s">
        <v>3870</v>
      </c>
    </row>
    <row r="272" spans="1:18" hidden="1">
      <c r="A272" s="1" t="s">
        <v>319</v>
      </c>
      <c r="B272" s="12" t="s">
        <v>1617</v>
      </c>
      <c r="C272" s="11" t="s">
        <v>1618</v>
      </c>
      <c r="D272" s="11">
        <v>2008</v>
      </c>
      <c r="E272" s="11" t="s">
        <v>1619</v>
      </c>
      <c r="R272" s="11" t="s">
        <v>3871</v>
      </c>
    </row>
    <row r="273" spans="1:18" hidden="1">
      <c r="A273" s="1" t="s">
        <v>320</v>
      </c>
      <c r="B273" s="12" t="s">
        <v>1620</v>
      </c>
      <c r="C273" s="11" t="s">
        <v>1621</v>
      </c>
      <c r="D273" s="11">
        <v>2019</v>
      </c>
      <c r="E273" s="11" t="s">
        <v>1622</v>
      </c>
      <c r="R273" s="11" t="s">
        <v>3872</v>
      </c>
    </row>
    <row r="274" spans="1:18" hidden="1">
      <c r="A274" s="1" t="s">
        <v>321</v>
      </c>
      <c r="B274" s="12" t="s">
        <v>1623</v>
      </c>
      <c r="C274" s="11" t="s">
        <v>1510</v>
      </c>
      <c r="D274" s="11">
        <v>2006</v>
      </c>
      <c r="E274" s="11" t="s">
        <v>1624</v>
      </c>
      <c r="R274" s="11" t="s">
        <v>3873</v>
      </c>
    </row>
    <row r="275" spans="1:18" hidden="1">
      <c r="A275" s="1" t="s">
        <v>322</v>
      </c>
      <c r="B275" s="12" t="s">
        <v>1625</v>
      </c>
      <c r="C275" s="11" t="s">
        <v>1626</v>
      </c>
      <c r="D275" s="11">
        <v>2024</v>
      </c>
      <c r="E275" s="11" t="s">
        <v>1542</v>
      </c>
      <c r="F275" s="11" t="s">
        <v>29</v>
      </c>
      <c r="G275" s="11" t="s">
        <v>30</v>
      </c>
      <c r="H275" s="11" t="s">
        <v>30</v>
      </c>
      <c r="I275" s="11" t="s">
        <v>30</v>
      </c>
      <c r="J275" s="11" t="s">
        <v>30</v>
      </c>
      <c r="L275" s="11" t="s">
        <v>30</v>
      </c>
      <c r="M275" s="11" t="s">
        <v>12</v>
      </c>
      <c r="N275" s="11" t="s">
        <v>1752</v>
      </c>
      <c r="O275" s="11" t="s">
        <v>31</v>
      </c>
      <c r="Q275" s="11" t="s">
        <v>1542</v>
      </c>
      <c r="R275" s="11" t="s">
        <v>3874</v>
      </c>
    </row>
    <row r="276" spans="1:18" hidden="1">
      <c r="A276" s="1" t="s">
        <v>323</v>
      </c>
      <c r="B276" s="12" t="s">
        <v>1627</v>
      </c>
      <c r="C276" s="11" t="s">
        <v>1628</v>
      </c>
      <c r="D276" s="11">
        <v>2022</v>
      </c>
      <c r="E276" s="11" t="s">
        <v>1629</v>
      </c>
      <c r="R276" s="11" t="s">
        <v>3875</v>
      </c>
    </row>
    <row r="277" spans="1:18" hidden="1">
      <c r="A277" s="1" t="s">
        <v>324</v>
      </c>
      <c r="B277" s="12" t="s">
        <v>1630</v>
      </c>
      <c r="C277" s="11" t="s">
        <v>1631</v>
      </c>
      <c r="D277" s="11">
        <v>2023</v>
      </c>
      <c r="E277" s="11" t="s">
        <v>1632</v>
      </c>
      <c r="F277" s="11" t="s">
        <v>29</v>
      </c>
      <c r="G277" s="11" t="s">
        <v>30</v>
      </c>
      <c r="H277" s="11" t="s">
        <v>31</v>
      </c>
      <c r="I277" s="11" t="s">
        <v>30</v>
      </c>
      <c r="J277" s="11" t="s">
        <v>31</v>
      </c>
      <c r="L277" s="11" t="s">
        <v>30</v>
      </c>
      <c r="M277" s="11" t="s">
        <v>1752</v>
      </c>
      <c r="N277" s="11" t="s">
        <v>1752</v>
      </c>
      <c r="O277" s="11" t="s">
        <v>31</v>
      </c>
      <c r="Q277" s="11" t="s">
        <v>1632</v>
      </c>
      <c r="R277" s="11" t="s">
        <v>3876</v>
      </c>
    </row>
    <row r="278" spans="1:18" hidden="1">
      <c r="A278" s="1" t="s">
        <v>325</v>
      </c>
      <c r="B278" s="12" t="s">
        <v>1633</v>
      </c>
      <c r="C278" s="11" t="s">
        <v>1634</v>
      </c>
      <c r="D278" s="11">
        <v>2006</v>
      </c>
      <c r="E278" s="11" t="s">
        <v>1635</v>
      </c>
      <c r="R278" s="11" t="s">
        <v>3877</v>
      </c>
    </row>
    <row r="279" spans="1:18" hidden="1">
      <c r="A279" s="1" t="s">
        <v>326</v>
      </c>
      <c r="B279" s="12" t="s">
        <v>1636</v>
      </c>
      <c r="C279" s="11" t="s">
        <v>1637</v>
      </c>
      <c r="D279" s="11">
        <v>2003</v>
      </c>
      <c r="E279" s="11" t="s">
        <v>1638</v>
      </c>
      <c r="R279" s="11" t="s">
        <v>3878</v>
      </c>
    </row>
    <row r="280" spans="1:18" hidden="1">
      <c r="A280" s="1" t="s">
        <v>327</v>
      </c>
      <c r="B280" s="12" t="s">
        <v>1639</v>
      </c>
      <c r="C280" s="11" t="s">
        <v>1640</v>
      </c>
      <c r="D280" s="11">
        <v>2024</v>
      </c>
      <c r="E280" s="11" t="s">
        <v>1641</v>
      </c>
      <c r="F280" s="11" t="s">
        <v>29</v>
      </c>
      <c r="G280" s="11" t="s">
        <v>30</v>
      </c>
      <c r="H280" s="11" t="s">
        <v>30</v>
      </c>
      <c r="I280" s="11" t="s">
        <v>30</v>
      </c>
      <c r="J280" s="11" t="s">
        <v>30</v>
      </c>
      <c r="L280" s="11" t="s">
        <v>30</v>
      </c>
      <c r="M280" s="11" t="s">
        <v>12</v>
      </c>
      <c r="N280" s="11" t="s">
        <v>1752</v>
      </c>
      <c r="O280" s="11" t="s">
        <v>31</v>
      </c>
      <c r="Q280" s="11" t="s">
        <v>1641</v>
      </c>
      <c r="R280" s="11" t="s">
        <v>3879</v>
      </c>
    </row>
    <row r="281" spans="1:18" hidden="1">
      <c r="A281" s="1" t="s">
        <v>1649</v>
      </c>
      <c r="B281" s="12" t="s">
        <v>1642</v>
      </c>
      <c r="C281" s="11" t="s">
        <v>1643</v>
      </c>
      <c r="D281" s="11">
        <v>2011</v>
      </c>
      <c r="E281" s="11" t="s">
        <v>1644</v>
      </c>
      <c r="R281" s="11" t="s">
        <v>3880</v>
      </c>
    </row>
    <row r="282" spans="1:18" hidden="1">
      <c r="A282" s="1" t="s">
        <v>1650</v>
      </c>
      <c r="B282" s="12" t="s">
        <v>1645</v>
      </c>
      <c r="C282" s="11" t="s">
        <v>1646</v>
      </c>
      <c r="D282" s="11">
        <v>2020</v>
      </c>
      <c r="E282" s="11" t="s">
        <v>33</v>
      </c>
      <c r="R282" s="11" t="s">
        <v>3881</v>
      </c>
    </row>
    <row r="283" spans="1:18" hidden="1">
      <c r="A283" s="1" t="s">
        <v>1651</v>
      </c>
      <c r="B283" s="12" t="s">
        <v>1647</v>
      </c>
      <c r="C283" s="11" t="s">
        <v>1648</v>
      </c>
      <c r="D283" s="11">
        <v>2025</v>
      </c>
      <c r="E283" s="11" t="s">
        <v>765</v>
      </c>
      <c r="F283" s="11" t="s">
        <v>29</v>
      </c>
      <c r="G283" s="11" t="s">
        <v>30</v>
      </c>
      <c r="H283" s="11" t="s">
        <v>31</v>
      </c>
      <c r="I283" s="11" t="s">
        <v>30</v>
      </c>
      <c r="J283" s="11" t="s">
        <v>31</v>
      </c>
      <c r="L283" s="11" t="s">
        <v>30</v>
      </c>
      <c r="M283" s="11" t="s">
        <v>1752</v>
      </c>
      <c r="N283" s="11" t="s">
        <v>1752</v>
      </c>
      <c r="O283" s="11" t="s">
        <v>31</v>
      </c>
      <c r="Q283" s="11" t="s">
        <v>765</v>
      </c>
      <c r="R283" s="11" t="s">
        <v>3882</v>
      </c>
    </row>
  </sheetData>
  <autoFilter ref="A1:P283" xr:uid="{00000000-0001-0000-0000-000000000000}">
    <filterColumn colId="14">
      <filters>
        <filter val="Yes"/>
      </filters>
    </filterColumn>
  </autoFilter>
  <phoneticPr fontId="6" type="noConversion"/>
  <conditionalFormatting sqref="A284:P802 B999:P999">
    <cfRule type="expression" dxfId="1" priority="15">
      <formula>$O284="No"</formula>
    </cfRule>
    <cfRule type="expression" dxfId="0" priority="16">
      <formula>$O284="Yes"</formula>
    </cfRule>
  </conditionalFormatting>
  <dataValidations count="2">
    <dataValidation type="list" allowBlank="1" showInputMessage="1" showErrorMessage="1" sqref="I2:I22 G2:H25 G26:G32 H26:H34" xr:uid="{0CE01EA3-9C8D-401A-9E4C-00A2363B8733}">
      <formula1>"Yes, No"</formula1>
    </dataValidation>
    <dataValidation type="list" allowBlank="1" showInputMessage="1" showErrorMessage="1" sqref="F2:F26 G2:G32 H2:H34" xr:uid="{DB5133D8-8071-4BBA-B7D6-8FEB610EA33D}">
      <formula1>"English, German, Other"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451A07FB-C558-4BEB-8A50-E6306D5BB710}">
          <x14:formula1>
            <xm:f>'Dropdown Lists'!$A$1:$A$5</xm:f>
          </x14:formula1>
          <xm:sqref>M2:M22</xm:sqref>
        </x14:dataValidation>
        <x14:dataValidation type="list" allowBlank="1" showInputMessage="1" showErrorMessage="1" xr:uid="{01FBE62C-7F89-469E-86D7-AB2E9F762851}">
          <x14:formula1>
            <xm:f>'Dropdown Lists'!$D$1:$D$3</xm:f>
          </x14:formula1>
          <xm:sqref>L6:L13 K2 K5:K14 K16:K22 L22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C439C-532A-4720-9472-3350083C5087}">
  <dimension ref="A1:E5"/>
  <sheetViews>
    <sheetView workbookViewId="0">
      <selection activeCell="D6" sqref="D6"/>
    </sheetView>
  </sheetViews>
  <sheetFormatPr baseColWidth="10" defaultRowHeight="14.4"/>
  <cols>
    <col min="1" max="1" width="18.77734375" bestFit="1" customWidth="1"/>
    <col min="2" max="2" width="63.21875" bestFit="1" customWidth="1"/>
  </cols>
  <sheetData>
    <row r="1" spans="1:5">
      <c r="A1" t="s">
        <v>12</v>
      </c>
      <c r="B1" t="s">
        <v>17</v>
      </c>
      <c r="D1" t="s">
        <v>22</v>
      </c>
      <c r="E1" t="s">
        <v>25</v>
      </c>
    </row>
    <row r="2" spans="1:5">
      <c r="A2" t="s">
        <v>13</v>
      </c>
      <c r="B2" t="s">
        <v>18</v>
      </c>
      <c r="D2" t="s">
        <v>23</v>
      </c>
      <c r="E2" t="s">
        <v>26</v>
      </c>
    </row>
    <row r="3" spans="1:5">
      <c r="A3" t="s">
        <v>14</v>
      </c>
      <c r="B3" t="s">
        <v>19</v>
      </c>
      <c r="D3" t="s">
        <v>24</v>
      </c>
      <c r="E3" t="s">
        <v>27</v>
      </c>
    </row>
    <row r="4" spans="1:5">
      <c r="A4" t="s">
        <v>15</v>
      </c>
      <c r="B4" t="s">
        <v>20</v>
      </c>
    </row>
    <row r="5" spans="1:5">
      <c r="A5" t="s">
        <v>16</v>
      </c>
      <c r="B5" t="s">
        <v>21</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557BA69-71D4-4FB5-9B7E-9D5B2ADA57E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Key facts</vt:lpstr>
      <vt:lpstr>Key facts_CHARTS</vt:lpstr>
      <vt:lpstr>Automated Search AIS eLibrary</vt:lpstr>
      <vt:lpstr>Automated Search DBLP</vt:lpstr>
      <vt:lpstr>Automated Search GI DL</vt:lpstr>
      <vt:lpstr>Automated Seach ACM DL</vt:lpstr>
      <vt:lpstr>Automated Search IEEEXplore</vt:lpstr>
      <vt:lpstr>Dropdown 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laras</dc:creator>
  <cp:lastModifiedBy>Schwabe, Lara</cp:lastModifiedBy>
  <dcterms:created xsi:type="dcterms:W3CDTF">2015-06-05T18:19:34Z</dcterms:created>
  <dcterms:modified xsi:type="dcterms:W3CDTF">2025-11-23T18:48:27Z</dcterms:modified>
</cp:coreProperties>
</file>