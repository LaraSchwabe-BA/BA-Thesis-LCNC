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WU Wien\BA\"/>
    </mc:Choice>
  </mc:AlternateContent>
  <xr:revisionPtr revIDLastSave="0" documentId="13_ncr:1_{388FDFA7-0D7C-4119-84AC-69D4C0B46856}" xr6:coauthVersionLast="47" xr6:coauthVersionMax="47" xr10:uidLastSave="{00000000-0000-0000-0000-000000000000}"/>
  <bookViews>
    <workbookView xWindow="28680" yWindow="0" windowWidth="29040" windowHeight="15720" xr2:uid="{00000000-000D-0000-FFFF-FFFF00000000}"/>
  </bookViews>
  <sheets>
    <sheet name="Criteria Check_Pilot Study" sheetId="1" r:id="rId1"/>
    <sheet name="QGS Corpus" sheetId="3" r:id="rId2"/>
    <sheet name="QGS Details" sheetId="4" r:id="rId3"/>
    <sheet name="Database Selection" sheetId="5" r:id="rId4"/>
    <sheet name="Exclusion Metrics" sheetId="6" r:id="rId5"/>
    <sheet name="Dropdown Lists" sheetId="2" state="hidden" r:id="rId6"/>
  </sheets>
  <definedNames>
    <definedName name="_xlnm._FilterDatabase" localSheetId="0" hidden="1">'Criteria Check_Pilot Study'!$A$1:$P$41</definedName>
    <definedName name="_xlnm._FilterDatabase" localSheetId="3" hidden="1">'Database Selection'!$A$1:$E$10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6" l="1"/>
  <c r="H2" i="5" a="1"/>
  <c r="H2" i="5" s="1"/>
  <c r="J41" i="1"/>
  <c r="J40" i="1"/>
  <c r="J39" i="1"/>
  <c r="J38" i="1"/>
  <c r="J37" i="1"/>
  <c r="J36" i="1"/>
  <c r="J35" i="1"/>
  <c r="J34" i="1"/>
  <c r="J33" i="1"/>
  <c r="J22" i="1"/>
  <c r="J23" i="1"/>
  <c r="J24" i="1"/>
  <c r="J25" i="1"/>
  <c r="J26" i="1"/>
  <c r="J27" i="1"/>
  <c r="J28" i="1"/>
  <c r="J29" i="1"/>
  <c r="J30" i="1"/>
  <c r="J31" i="1"/>
  <c r="J32" i="1"/>
  <c r="G3" i="3" a="1"/>
  <c r="G3" i="3" s="1"/>
  <c r="F3" i="3" a="1"/>
  <c r="F3" i="3" s="1"/>
  <c r="A3" i="3" a="1"/>
  <c r="A3" i="3" s="1"/>
  <c r="B1" i="3"/>
  <c r="J21" i="1"/>
  <c r="J20" i="1"/>
  <c r="J19" i="1"/>
  <c r="J18" i="1"/>
  <c r="J17" i="1"/>
  <c r="J16" i="1"/>
  <c r="J15" i="1"/>
  <c r="J14" i="1"/>
  <c r="J13" i="1"/>
  <c r="J12" i="1"/>
  <c r="J10" i="1"/>
  <c r="J11" i="1"/>
  <c r="J9" i="1"/>
  <c r="J3" i="1"/>
  <c r="J4" i="1"/>
  <c r="J5" i="1"/>
  <c r="J6" i="1"/>
  <c r="J7" i="1"/>
  <c r="J8" i="1"/>
  <c r="J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<sst xmlns="http://schemas.openxmlformats.org/spreadsheetml/2006/main" count="615" uniqueCount="279">
  <si>
    <t>Study ID</t>
  </si>
  <si>
    <t>Title</t>
  </si>
  <si>
    <t>Authors</t>
  </si>
  <si>
    <t>Year</t>
  </si>
  <si>
    <t>Venue</t>
  </si>
  <si>
    <t>Language</t>
  </si>
  <si>
    <t>Peer-reviewed</t>
  </si>
  <si>
    <t>Full-text available</t>
  </si>
  <si>
    <t>Pass: Objective Criteria</t>
  </si>
  <si>
    <t>Relevance Category</t>
  </si>
  <si>
    <t>Related RQ(s)</t>
  </si>
  <si>
    <t>Notes</t>
  </si>
  <si>
    <t>Not relevant</t>
  </si>
  <si>
    <t>Slightly relevant</t>
  </si>
  <si>
    <t>Moderately relevant</t>
  </si>
  <si>
    <t>Relevant</t>
  </si>
  <si>
    <t>Highly Relevant</t>
  </si>
  <si>
    <t>No mention of LCDPs/NCDPs or completely unrelated domain.</t>
  </si>
  <si>
    <t>Mentions low-code topics but lacks alignment with research questions.</t>
  </si>
  <si>
    <t>Partially addresses a research question or related concept.</t>
  </si>
  <si>
    <t>Contributes to one RQ with empirical or conceptual content.</t>
  </si>
  <si>
    <t>Strong alignment with one or more RQs and high-quality evidence.</t>
  </si>
  <si>
    <t>RQ1</t>
  </si>
  <si>
    <t>RQ2</t>
  </si>
  <si>
    <t>RQ3</t>
  </si>
  <si>
    <t>What are the primary drivers and barriers influencing the adoption of low-code platforms in the business context?</t>
  </si>
  <si>
    <t>How do low-code platforms compare to traditional development approaches in terms of efficiency, effectiveness, and user preference based on empirical evidence?</t>
  </si>
  <si>
    <t>What is the current state of research on low-code tooling, including study-design, research questions, key observations, and threats to validity?</t>
  </si>
  <si>
    <t>Inclusion Decision</t>
  </si>
  <si>
    <t>PS1</t>
  </si>
  <si>
    <t>Beyond Citizen Development: Exploring Low-Code Platform Adoption by Professional Software Developers</t>
  </si>
  <si>
    <t>Altus Viljoen, Ege Naz Altın, Andreas Hein, Helmut Krcmar</t>
  </si>
  <si>
    <t>AMCIS 2024 Proceedings 19.</t>
  </si>
  <si>
    <t>English</t>
  </si>
  <si>
    <t>Yes</t>
  </si>
  <si>
    <t>No</t>
  </si>
  <si>
    <t>PS2</t>
  </si>
  <si>
    <t>Practitioners’ Perceptions on the Adoption of Low Code Development Platforms</t>
  </si>
  <si>
    <t>Sebastian Käss; Susanne Strahringer; Markus Westner</t>
  </si>
  <si>
    <t>Full-text not available</t>
  </si>
  <si>
    <t>IEEE Access</t>
  </si>
  <si>
    <t>Empirical evidence (interviews, delphi-study) on the adoption drivers and inhibitors of LCDP</t>
  </si>
  <si>
    <t>PS3</t>
  </si>
  <si>
    <t>Low-code vs. the developer: An empirical study on the developer experience and efficiency of a no-code platform</t>
  </si>
  <si>
    <t>Till Guthardt, Jens Kosiol, Oliver Hohlfeld</t>
  </si>
  <si>
    <t>MODELS Companion '24</t>
  </si>
  <si>
    <t>RQ1, RQ2</t>
  </si>
  <si>
    <t>Highly Relevant for RQ1 (potential barriers in the business context); Moderately relevant for RQ2 (compares effectiveness of results between citizen developer and experienced programmers but both using NCDP)</t>
  </si>
  <si>
    <t>PS4</t>
  </si>
  <si>
    <t>What about the usability in low-code platforms? A systematic literature review</t>
  </si>
  <si>
    <t>Daniel Pinho, Ademar Aguiar, Vasco Amaral</t>
  </si>
  <si>
    <t>Journal of Computer Languages, Volume 74</t>
  </si>
  <si>
    <t>Secondary Study, Full-text not available</t>
  </si>
  <si>
    <t>PS5</t>
  </si>
  <si>
    <t>Characteristics and Challenges of Low-Code Development: The Practitioners’ Perspective</t>
  </si>
  <si>
    <t>Yajing Luo, Peng Liang, Chong Wang, Mojtaba Shahin, Jing Zhan</t>
  </si>
  <si>
    <t>ACM / IEEE International Symposium on Empirical Software Engineering and Measurement (ESEM) (ESEM ’21)</t>
  </si>
  <si>
    <t>Not within review's time-frame</t>
  </si>
  <si>
    <t>PS6</t>
  </si>
  <si>
    <t>An Empirical Study of Developer Discussions on Low-Code Software Development Challenges</t>
  </si>
  <si>
    <t>Md Abdullah Al Alamin, Sanjay Malakar, Gias Uddin, Sadia Afroz, Tameem Bin Haider, Anindya Iqbal</t>
  </si>
  <si>
    <t>2021 IEEE/ACM 18th International Conference on Mining Software Repositories (MSR)</t>
  </si>
  <si>
    <t>PS7</t>
  </si>
  <si>
    <t>Unleash the Power of Citizen Development: Leveraging Organizational Capabilities for Successful Low-Code Development Platform Adoption</t>
  </si>
  <si>
    <t>Niculin Prinz, Melanie Huber, Justus Leonhardt, Constanze Riedinger</t>
  </si>
  <si>
    <t>Proceedings of the 57th Hawaii International Conference on System Sciences | 2024</t>
  </si>
  <si>
    <t>Addresses success factors for the adoption of LCDP in organizations</t>
  </si>
  <si>
    <t>Primary Study</t>
  </si>
  <si>
    <t>-</t>
  </si>
  <si>
    <t>Supporting Excerpt (Relevance)</t>
  </si>
  <si>
    <t>SE Context</t>
  </si>
  <si>
    <t>A Multiple Mini Case Study on the Adoption of Low Code Development Platforms in Work Systems</t>
  </si>
  <si>
    <t>PS8</t>
  </si>
  <si>
    <t>Empirical research derives 7 starting points for LC adoption for practicioners</t>
  </si>
  <si>
    <t>Low-Code/No-Code Platforms and Their Impact on Traditional Software Development: A Literature Review</t>
  </si>
  <si>
    <t>PS9</t>
  </si>
  <si>
    <t>Nitesh Upadhyaya</t>
  </si>
  <si>
    <t>Secondary Study</t>
  </si>
  <si>
    <t>Catalysts of Change: Citizen Developers Driving Digital Innovation: A look into the empowerment of Non-Traditional Developers using Low-code Digital Platforms to drive innovation</t>
  </si>
  <si>
    <t>PS10</t>
  </si>
  <si>
    <t>Atherley, Andre</t>
  </si>
  <si>
    <t>Linnaeus University Sweden</t>
  </si>
  <si>
    <t>PS11</t>
  </si>
  <si>
    <t>PS12</t>
  </si>
  <si>
    <t>PS13</t>
  </si>
  <si>
    <t>PS14</t>
  </si>
  <si>
    <t>PS15</t>
  </si>
  <si>
    <t>PS16</t>
  </si>
  <si>
    <t>PS17</t>
  </si>
  <si>
    <t>PS18</t>
  </si>
  <si>
    <t>PS19</t>
  </si>
  <si>
    <t>PS20</t>
  </si>
  <si>
    <t>Low-code platform adoption and governance</t>
  </si>
  <si>
    <t>Alin, Teija</t>
  </si>
  <si>
    <t>Lut University</t>
  </si>
  <si>
    <t>Secondary Study, non-peer-reviewed thesis</t>
  </si>
  <si>
    <t>Non-peer reviewed thesis</t>
  </si>
  <si>
    <t>Factors that affect the utilization of low-code development platforms: survey study</t>
  </si>
  <si>
    <t>Hana A. ALSAADI, Dhefaf T. RADAIN, Maysoon M. ALZAHRANI, Wahj F. ALSHAMMARI, Dimah ALAHMADI, Bahjat FAKIEH*</t>
  </si>
  <si>
    <t>Romanian Journal of Information Technology and Automatic Control, Vol. 31, No. 3, 123-140, 2021</t>
  </si>
  <si>
    <t>Unlocking Citizen Developer Potential: A Systematic Review and Model for Digital Transformation</t>
  </si>
  <si>
    <t xml:space="preserve">Shakeel Muhammad,Victor Prybutok, and Vikas Sinha </t>
  </si>
  <si>
    <t>Not in review timeframe. Addresses factors for adoption and non-adoption across practicioners and students</t>
  </si>
  <si>
    <t>Encyclopedia</t>
  </si>
  <si>
    <t>‘To Code, or Not to Code’: Unpacking the Understanding and Difficulties of Citizen Development Programs</t>
  </si>
  <si>
    <t>Björn Binzer, Till Winkler</t>
  </si>
  <si>
    <t>INFORMATIK 2024 Conference Paper</t>
  </si>
  <si>
    <t>RQ1/RQ3</t>
  </si>
  <si>
    <t>Citizen Development als Treiber der digitalen Transformation – Aktuelle Ansätze bei der Adoption von Low-Code Development Plattformen</t>
  </si>
  <si>
    <t>Niculin Prinz, Melanie Huber, Constanze Riedinger &amp; Christopher Rentrop</t>
  </si>
  <si>
    <t>HMD Praxis der Wirtschaftsinformatik</t>
  </si>
  <si>
    <t>German</t>
  </si>
  <si>
    <r>
      <t xml:space="preserve">"We conducted semi-structured interviews and a Delphi study with 17 experts to address these gaps. As a result, we identified 12 drivers and 19 inhibitors for adopting LCDPs" </t>
    </r>
    <r>
      <rPr>
        <b/>
        <i/>
        <sz val="10"/>
        <color theme="1"/>
        <rFont val="Calibri"/>
        <family val="2"/>
        <scheme val="minor"/>
      </rPr>
      <t>(Abstract)</t>
    </r>
  </si>
  <si>
    <r>
      <t>"First, we conducted semi-structured
interviews with small and medium-sized enterprises (SMEs) to understand their acceptance of LCDPs and identify potential barriers,
such as the need for extensive training. Second, we performed a
quantitative experiment to compare the performance of programmers and CDs using a prototype no-code builder"</t>
    </r>
    <r>
      <rPr>
        <b/>
        <i/>
        <sz val="10"/>
        <color theme="1"/>
        <rFont val="Calibri"/>
        <family val="2"/>
        <scheme val="minor"/>
      </rPr>
      <t xml:space="preserve"> (Abstract)</t>
    </r>
  </si>
  <si>
    <r>
      <t xml:space="preserve">"Using action design research, this study develops a model-based
framework of 21 organizational capabilities for
successful LCDP adoption." </t>
    </r>
    <r>
      <rPr>
        <b/>
        <i/>
        <sz val="10"/>
        <color theme="1"/>
        <rFont val="Calibri"/>
        <family val="2"/>
        <scheme val="minor"/>
      </rPr>
      <t>(Abstract)</t>
    </r>
  </si>
  <si>
    <r>
      <t xml:space="preserve">This paper uses a combinatorial approach to research LCDP adoption and presents the results of a multiple mini case study with 36 cases on LCDP adoption. A combination of the Socio-Technical Systems theory and the Technology-Organisational-Environment model is used as a theoretical lens.  </t>
    </r>
    <r>
      <rPr>
        <b/>
        <i/>
        <sz val="10"/>
        <color theme="1"/>
        <rFont val="Calibri"/>
        <family val="2"/>
        <scheme val="minor"/>
      </rPr>
      <t>(Abstract)</t>
    </r>
  </si>
  <si>
    <r>
      <t xml:space="preserve">This study explores the factors that attract the developers and programmers to utilize LCDP and discusses
some of the problems and challenges that prevent other programmers and developers from using it. An online
survey was conducted in Saudi Arabia among 49 respondents of professional developers from different
departments of Information Technology in several kinds of businesses as well as students from the Computing
and Information Technology faculties to understand the developers’ motivations to adopt low-code
development platforms. </t>
    </r>
    <r>
      <rPr>
        <b/>
        <i/>
        <sz val="10"/>
        <color theme="1"/>
        <rFont val="Calibri"/>
        <family val="2"/>
        <scheme val="minor"/>
      </rPr>
      <t xml:space="preserve"> (Abstract)</t>
    </r>
  </si>
  <si>
    <r>
      <t>For the purposes of thisstudy, however, we focused specifically on the following two primary themes: 1) Weinvestigated whether and how professionals distinguish between low-code, no-code, andCitizen Development, and 2) examined the challenges associated with deploying LCNCplatforms and initiating Citizen Development initiatives.</t>
    </r>
    <r>
      <rPr>
        <b/>
        <i/>
        <sz val="10"/>
        <color theme="1"/>
        <rFont val="Calibri"/>
        <family val="2"/>
        <scheme val="minor"/>
      </rPr>
      <t xml:space="preserve"> (Methodology)</t>
    </r>
  </si>
  <si>
    <t>praktische Adoptionsansätze, Experteninterviews, organisationelle Ansätze und Unterschiede</t>
  </si>
  <si>
    <t>Developer Experience in Low-Code Versus Traditional Development Platforms - A Comparative Experiment</t>
  </si>
  <si>
    <t>Kermanchi, Arian</t>
  </si>
  <si>
    <t>Aalto University</t>
  </si>
  <si>
    <t>Not peer-reviewed, not in review time-frame</t>
  </si>
  <si>
    <t>A literature review on low code and no code (LCNC) platforms in reshaping web and application development </t>
  </si>
  <si>
    <t>Ginard S. Guaki; Gerry Paul Genove</t>
  </si>
  <si>
    <t>Proceedings of the 37th IEEE/ACM International Conference on Automated Software Engineering</t>
  </si>
  <si>
    <t>Bridging Business and IT Through Low-Code/No-Code: Insights into Business-IT Collaboration in Enterprise Citizen Developer Programs</t>
  </si>
  <si>
    <t>Björn Binzer, Daniel Fürstenau, Till Winkler</t>
  </si>
  <si>
    <t>Proceedings of the 58th Hawaii International Conference on System Sciences | 2025</t>
  </si>
  <si>
    <t>Multi-case study, partially addresses RQ2</t>
  </si>
  <si>
    <t>Emerging low-code/no-code paradigm: Evaluating adoption, opportunities, and cyber security challenges in the infor- mation technology sector</t>
  </si>
  <si>
    <t>Nelimarkka, Paavo</t>
  </si>
  <si>
    <t>Jamk University</t>
  </si>
  <si>
    <t>Thesis, not peer-reviewed, not a primary study</t>
  </si>
  <si>
    <t>Agile Software Development in the Cloud Using Citizen Development</t>
  </si>
  <si>
    <t>Marian STOICA, Alexandru-Ionuț NIȚU</t>
  </si>
  <si>
    <t>Informatica Economică vol. 29, no. 1/2025</t>
  </si>
  <si>
    <t>Number of Included Papers</t>
  </si>
  <si>
    <t>PS21</t>
  </si>
  <si>
    <t>PS22</t>
  </si>
  <si>
    <t>PS23</t>
  </si>
  <si>
    <t>PS24</t>
  </si>
  <si>
    <t>PS25</t>
  </si>
  <si>
    <t>PS26</t>
  </si>
  <si>
    <t>PS27</t>
  </si>
  <si>
    <t>PS28</t>
  </si>
  <si>
    <t>PS29</t>
  </si>
  <si>
    <t>PS30</t>
  </si>
  <si>
    <t>Challenges of Low-Code/No-Code Software Development: A Literature Review</t>
  </si>
  <si>
    <t>Karlis Rokis &amp; Marite Kirikova</t>
  </si>
  <si>
    <t>Perspectives in Business Informatics Resesarch</t>
  </si>
  <si>
    <t>Adoption and usability of low-code/no-code development tools</t>
  </si>
  <si>
    <t>Tina Beranic, Patrik Rek, Marjan Hericko</t>
  </si>
  <si>
    <t>Central European Conference on Information and Intelligent Systems.</t>
  </si>
  <si>
    <t>Not in review timeframe</t>
  </si>
  <si>
    <t>A Maturity Model for Managing Low-Code Development Platform Adoption</t>
  </si>
  <si>
    <t>Niculin Prinz, Carsten Felden, Melanie Huber, Christopher Rentrop, Constanze Riedinger, Stephan Zimmermann</t>
  </si>
  <si>
    <t>PACIS 2025 Proceedings</t>
  </si>
  <si>
    <t>RQ1, RQ3</t>
  </si>
  <si>
    <t>Addresses adoption factors and state of research</t>
  </si>
  <si>
    <t>Critical Success Factors for Citizen Development</t>
  </si>
  <si>
    <t>Natalie Callinan, Martin Perry</t>
  </si>
  <si>
    <t>Open Journal of Applied Sciences</t>
  </si>
  <si>
    <t>Comparative study of three Low-Code No-Code Frameworks</t>
  </si>
  <si>
    <t>R Weenik</t>
  </si>
  <si>
    <t>Utrecht University</t>
  </si>
  <si>
    <t>Compares three specific LCDPs, not peer-reviewed, could be an edge case</t>
  </si>
  <si>
    <t>Supporting the understanding and comparison of low-code development platforms</t>
  </si>
  <si>
    <t>Apurvanand Sahay; Arsene Indamutsa; Davide Di Ruscio; Alfonso Pierantonio</t>
  </si>
  <si>
    <t>Euromicro Conference on Software Engineering and Advanced Applications (SEAA)</t>
  </si>
  <si>
    <t>Challenges &amp; opportunities in low-code testing</t>
  </si>
  <si>
    <t>Faezeh Khorram, Jean-Marie Mottu, Gerson Sunyé</t>
  </si>
  <si>
    <t>MODELS '20: Proceedings of the 23rd ACM/IEEE International Conference on Model Driven Engineering Languages and Systems: Companion Proceedings</t>
  </si>
  <si>
    <t>Exploring Low-Code Development: A Comprehensive Literature Review</t>
  </si>
  <si>
    <t>Karlis Rokis, Marite Kirikova</t>
  </si>
  <si>
    <t>CSIMQ</t>
  </si>
  <si>
    <t>Drivers and Inhibitors of Low Code Development Platform Adoption</t>
  </si>
  <si>
    <t> 2022 IEEE 24th Conference on Business Informatics (CBI)</t>
  </si>
  <si>
    <t>Secondary Study, Not in review timeframe</t>
  </si>
  <si>
    <t>Niculin Prinz, Christopher Rentrop, Melanie Huber</t>
  </si>
  <si>
    <t>AMCIS 2021 Proceedings</t>
  </si>
  <si>
    <t>PS31</t>
  </si>
  <si>
    <t>PS32</t>
  </si>
  <si>
    <t>PS33</t>
  </si>
  <si>
    <t>PS34</t>
  </si>
  <si>
    <t>PS35</t>
  </si>
  <si>
    <t>PS36</t>
  </si>
  <si>
    <t>PS37</t>
  </si>
  <si>
    <t>PS38</t>
  </si>
  <si>
    <t>PS39</t>
  </si>
  <si>
    <t>PS40</t>
  </si>
  <si>
    <t>The Influencing Factors Affecting Low-Code Technology Adoption: A Case Study of the Small and Medium-Sized Advertising Agencies in China</t>
  </si>
  <si>
    <t>Yang Jingchuan, Tachakorn Wongkumchai, Uswin Chaiwiwat, Chulalux Soprakan</t>
  </si>
  <si>
    <t>Administrative Journal for Local Development</t>
  </si>
  <si>
    <t>Towards a Maturity Model for Adopting Low-Code Development Platforms</t>
  </si>
  <si>
    <t>Niculin Prinz, Stephan Zimmermann</t>
  </si>
  <si>
    <t>PACIS 2024 Proceedings</t>
  </si>
  <si>
    <r>
      <t xml:space="preserve">The results present a
theoretically grounded and practically validated LCDP maturity model (LCDPMM),
detailing 23 organizational capabilities across six distinct maturity levels and
incorporating 33 LCDP-specific artifacts. This study strengthens theoretical foundations,
provides guidelines for future research on LCDP and citizen development adoption, and
introduces a research methodology for information systems science to develop similar
frameworks for other emerging technologies. </t>
    </r>
    <r>
      <rPr>
        <b/>
        <i/>
        <sz val="10"/>
        <color theme="1"/>
        <rFont val="Calibri"/>
        <family val="2"/>
        <scheme val="minor"/>
      </rPr>
      <t>(Abstract)</t>
    </r>
  </si>
  <si>
    <r>
      <t xml:space="preserve"> Our contribution is two-fold: this study
provides comprehensive insights into the operational
dynamics of citizen development programs, which
remain under-explored, and it offers practical
guidance for fostering business-IT collaboration. </t>
    </r>
    <r>
      <rPr>
        <b/>
        <i/>
        <sz val="10"/>
        <color theme="1"/>
        <rFont val="Calibri"/>
        <family val="2"/>
        <scheme val="minor"/>
      </rPr>
      <t>(Abstract)</t>
    </r>
  </si>
  <si>
    <r>
      <rPr>
        <i/>
        <sz val="10"/>
        <color theme="1"/>
        <rFont val="Calibri"/>
        <family val="2"/>
        <scheme val="minor"/>
      </rPr>
      <t xml:space="preserve"> We conduct an exploratory study, involving both
practitioners and scientists. The findings indicate that LCDP adoption requires the
maturation of 23 capabilities. Initial steps in a practical adoption roadmap include
establishing an adaptive LCDP governance and organizational structures.  The study enhances LCDP research by proposing a
theory-based framework and future research considerations. Practitioners can apply the
findings to start company-specific LCDP management. </t>
    </r>
    <r>
      <rPr>
        <b/>
        <i/>
        <sz val="10"/>
        <color theme="1"/>
        <rFont val="Calibri"/>
        <family val="2"/>
        <scheme val="minor"/>
      </rPr>
      <t>(Abstract)</t>
    </r>
  </si>
  <si>
    <t>Study involves both practicioners and scientists, brdiging context between RQ1 and RQ3</t>
  </si>
  <si>
    <t>A Comparative Analysis of Low-Code and Traditional Platforms: Assessing Effectiveness in Governmental Digital Transformation Initiatives</t>
  </si>
  <si>
    <t>Prof. Dr. Mohamed Abdel-Fattah Belal, Dr. Sara Mohamed Mosaad,
Moaiad Ismail Hawash</t>
  </si>
  <si>
    <t>SJRBS Journal Open Access</t>
  </si>
  <si>
    <t>Low-Code and No-Code in Secondary Education—Empowering Teachers to Embed Citizen Development in Schools</t>
  </si>
  <si>
    <t>Sally McHugh, Noel Carroll, Cornelia Connolly</t>
  </si>
  <si>
    <t>Computers in the Schools</t>
  </si>
  <si>
    <t>Specific to the perception of teachers</t>
  </si>
  <si>
    <t>Developer discussion topics on the adoption and barriers of low code software development platforms</t>
  </si>
  <si>
    <t xml:space="preserve">Md Abdullah Al Alamin, Gias Uddin, Sanjay Malakar, Sadia Afroz, Tameem Haider &amp; Anindya Iqbal </t>
  </si>
  <si>
    <t>Empirical Software Engineering</t>
  </si>
  <si>
    <t>Advances in Low-Code and No-Code Platform
Engineering for Scalable Product Development in CrossSector Environments</t>
  </si>
  <si>
    <t>CHUKWUEMEKE UZOKA, BOLAJI IYANU ADEKUNLE, SIKIRAT DAMILOLA MUSTAPHA, BOLANLE A. ADEWUSI</t>
  </si>
  <si>
    <t>IRE Journals</t>
  </si>
  <si>
    <t>Low-Code and No-Code Platforms:Accelerating Enterprise SoftwareDevelopment</t>
  </si>
  <si>
    <t>Beauden John</t>
  </si>
  <si>
    <t>Not enough data</t>
  </si>
  <si>
    <t>Factors Influencing User Acceptance and Adoption Among Different User Groups of Low-Code Development Platforms</t>
  </si>
  <si>
    <t>Elif Uslu</t>
  </si>
  <si>
    <t>Universidade NOVA de Lisboa</t>
  </si>
  <si>
    <t>Secondary Study, not peer-reviewed</t>
  </si>
  <si>
    <t>Low-Code/No Code Approaches to ERP Systems Customization</t>
  </si>
  <si>
    <t>Tekleab Haile, Simon; Vähäkuopus, Joel</t>
  </si>
  <si>
    <t>Stockholm University</t>
  </si>
  <si>
    <t>Not peer-reviewed</t>
  </si>
  <si>
    <t>Low Code Development Cycle Investigation</t>
  </si>
  <si>
    <t>Małgorzata Pańkowska</t>
  </si>
  <si>
    <t>Proceedings of Ninth International Congress on Information and Communication Technology</t>
  </si>
  <si>
    <t>Low-Code Development Platforms – A Literature Review</t>
  </si>
  <si>
    <r>
      <t xml:space="preserve">Nichtsdestotrotz stehen Organisationen vor der Herausforderung, sich für die richtigen Implementierungs- und Anwendungsansätze von LCDPs zu entscheiden. Dieser Artikel liefert daher ein umfassendes Bild über das praktische Verständnis und aktuelle Ansätze in verschiedenen Organisationen und leitet daraus Handlungsempfehlungen ab. Dafür wurden 16 Experteninterviews durchgeführt und wissenschaftlich analysiert. Die Ergebnisse zeigen, dass die Praxis grundsätzlich ein ähnliches Verständnis des Begriffs LCDP hat. Die Initiative für die Einführung kommt meist aus den Fachbereichen, die Entscheidung für oder gegen die LCDP-Implementierung wird jedoch meist von der Geschäftsführung in Kooperation mit der IT-Abteilung getroffen. </t>
    </r>
    <r>
      <rPr>
        <b/>
        <i/>
        <sz val="10"/>
        <color theme="1"/>
        <rFont val="Calibri"/>
        <family val="2"/>
        <scheme val="minor"/>
      </rPr>
      <t>(Abstract)</t>
    </r>
  </si>
  <si>
    <t>ID</t>
  </si>
  <si>
    <t>DOI</t>
  </si>
  <si>
    <t>Abstract</t>
  </si>
  <si>
    <t>Key-words (if existing)</t>
  </si>
  <si>
    <t>https://doi.org/10.1145/3652620.3688332</t>
  </si>
  <si>
    <t>https://doi.org/10.1109/ACCESS.2023.3258539</t>
  </si>
  <si>
    <t>Organizations are under increasing pressure to develop applications within budget and time at high quality. Therefore, multiple organizations adopt a Low Code Development Platform (LCDP) to develop applications faster and cheaper compared to traditional application development. However, current research on LCDP adoption lacks empirical grounding as well as a deeper understanding of the importance of adoption drivers and inhibitors. We conducted semi-structured interviews and a Delphi study with 17 experts to address these gaps. As a result, we identified 12 drivers and 19 inhibitors for adopting LCDPs. We show that the experts have a consensus on the most and the least important drivers and inhibitors for LCDP adoption. Yet, the ranking of the drivers and inhibitors between the most and least important is context-dependent. For some drivers and inhibitors, the experts’ ranking is similar to academic literature, whereas, for others, it differs. In conclusion, the study at hand empirically validates drivers and inhibitors for LCDP adoption, adds six new drivers and six new inhibitors to the body of knowledge, and analyzes the importance of these factors.</t>
  </si>
  <si>
    <t>Low code, Delphi study, software development, adoption, driver, inhibitor</t>
  </si>
  <si>
    <t>Low-code development platform, citizen development, developer efficiency</t>
  </si>
  <si>
    <t>The shortage of competent software developers has led to increased interest in Low-Code Development Platforms (LCDPs), which enable application development with no or minimal coding by leveraging pre-built components. This study explores whether LCDPs can fulfill their promise of empowering “citizen developers” (CDs) without extensive programming experience. Our paper involves a two-part empirical study. First, we conducted semi-structured interviews with small and medium-sized enterprises (SMEs) to understand their acceptance of LCDPs and identify potential barriers, such as the need for extensive training. Second, we performed a quantitative experiment to compare the performance of programmers and CDs using a prototype no-code builder. The results reveal no significant difference in task correctness or processing time between the two groups, suggesting that the training concerns for CDs may be overstated. These findings indicate that LCDPs could indeed democratize software development, allowing SMEs to develop necessary applications cost-effectively with minimal training requirements.</t>
  </si>
  <si>
    <t>https://hdl.handle.net/10125/106444</t>
  </si>
  <si>
    <t>Given the increasing demand for application development and process automation, Low-Code Development Platforms (LCDPs) have become highly relevant in recent years. However, the lack of familiarity with the implementation and application of LCDPs in organizations poses a challenge. This publication therefore aims to shed light on the essential organizational capabilities that companies must master to overcome this obstacle. Using action design research, this study develops a model-based framework of 21 organizational capabilities for successful LCDP adoption. It underscores the importance of conceptual development as a prerequisite for effective management and long-term application of the technology. Furthermore, it emphasizes the importance of considering both technical and social aspects of the LCDP information system. The findings contribute to academia by providing a model-based capability framework, which serves as a structure for driving future research. Moreover, practitioners benefit from a practiceoriented and evaluated summary of initialization tasks and capabilities required for successful adoption.</t>
  </si>
  <si>
    <t>Low-Code Development Platforms, Citizen Development, Action Design Research, Organizational Capabilities, Socio-Technical Systems Model</t>
  </si>
  <si>
    <t>Although the adoption of Low Code Development Platforms (LCDPs) promises significant improvements in the efficiency and effectiveness of application development, their adoption requires further empirical research. This paper uses a combinatorial approach to research LCDP adoption and presents the results of a multiple mini case study with 36 cases on LCDP adoption. A combination of the SocioTechnical Systems theory and the Technology-Organisational-Environment model is used as a theoretical lens. In this paper, we show that LCDP adoption is a multifaceted phenomenon and identify three archetypes for LCDP adoption (i.e., Application Development Democratisers, Synergy Realisers, and IT Resource Shortage Mitigators) and one archetype for LCDP non-adoption (i.e., Intricacy Adversaries). Each archetype can be interpreted as an individual path to LCDP (non-)adoption. Based on these archetypes, we derive seven starting points for practitioners to adopt LCDPs in work systems. Furthermore, using the theoretical lenses, the paper shows that for LCDP adoption to occur, an optimisation of the social and technical sub-systems is required.</t>
  </si>
  <si>
    <t>Low code development platform, low code, adoption, case study</t>
  </si>
  <si>
    <t>https://doi.org/10.18420/inf2024_138</t>
  </si>
  <si>
    <t>IT departments are finding it challenging to keep up with the fast-paced need for digital solutions due to a shortage of skilled software developers. As a response, many companies are adopting low-code and no-code approaches to cultivate and empower a new cohort of employees: the citizen developers. While the practice community has been discussing the Citizen Development phenomenon for some time now, research lags behind, leading to a dearth of conceptual clarity in understanding the terms low-code, no-code, and Citizen Development. This paper connects the dots and proposes a more harmonized conceptual understanding of these related but distinct terms. Additionally, we explore the practical difficulties associated with Citizen Development approaches as identified by professionals in the field. Our key contribution is a clearer terminology and understanding of Citizen Development that can enhance both scholarly inquiry and practical application, facilitating clearer communication and more precise discussions.</t>
  </si>
  <si>
    <t>Citizen Development, Citizen Developer, Low-Code, No-Code, Concept, Terminology, Challenges</t>
  </si>
  <si>
    <t>https://doi.org/10.1365/s40702-023-01021-8</t>
  </si>
  <si>
    <t>Low-Code Development Platforms (LCDPs) foster digital transformation of organizations by enabling application development through business users without in-depth programming skills—so-called citizen developers. Market research institutes predict that more than half of all applications will be developed using LCDPs in the next few years. Nevertheless, organizations face the challenge of deciding on suitable implementation and application approaches for LCDPs. This paper therefore provides a holistic picture of the practical understanding and current approaches in different organizations and derives recommendations for action. To this end, 16 expert interviews were scientifically conducted and analyzed. The results show that practitioners generally have a similar understanding of the term LCDP. The initiative for the introduction usually comes from the business departments, although the decision for or against LCDP implementation is made most of the time by the management board in cooperation with the IT department. Thereby, current application approaches differ: companies either use a self-service approach by the business departments or integrate the decision on potential LCDP development by the citizen developers into the existing demand management of the IT department. Established and adaptive governance is an important prerequisite for both approaches. The findings contribute to the scientific discussion, as this paper provides one of the first comprehensive and scientifically sound qualitative analyses of current adoption approaches in practice. Practitioners also learn how other organizations are dealing with current challenges and what approaches show promise.</t>
  </si>
  <si>
    <t>Low-Code Development Platforms · Citizen Development · Adoption · Governance · Expert Interviews</t>
  </si>
  <si>
    <t>As low-code/no-code citizen development programs become more prevalent, aiming to upskill the workforce and enhance digital literacy, a new approach to collaboration between business units and IT units is essential. To explore the nature and architecture of these programs, we conducted a multicase study involving 18 firms and interviewed 22 individuals leading or shaping their respective initiatives. Our analysis revealed 20 measures, categorized into five key collaboration mechanisms: self-empowerment, ideation generation, coordinated scaling, project execution, and professional catalyst. Additionally, we identified four distinct modes of business-IT collaboration within the context of citizen development. Our contribution is two-fold: this study provides comprehensive insights into the operational dynamics of citizen development programs, which remain under-explored, and it offers practical guidance for fostering business-IT collaboration.</t>
  </si>
  <si>
    <t>Citizen Development, Democratization of IT, Low-Code, Business-IT Collaboration</t>
  </si>
  <si>
    <t>10.24251/HICSS.2025.054</t>
  </si>
  <si>
    <t>Low-code development platforms (LCDPs) empower employees throughout the entire organization to develop and operate their own digital solutions. Yet, many organizations lack the necessary knowledge and experience to successfully manage LCDP adoption. Applying design science research, this study develops and evaluates a comprehensive socio-technical framework that methodically supports organizations in navigating their LCDP adoption process in a structured, end-to-end manner. The results present a theoretically grounded and practically validated LCDP maturity model (LCDPMM), detailing 23 organizational capabilities across six distinct maturity levels and incorporating 33 LCDP-specific artifacts. This study strengthens theoretical foundations, provides guidelines for future research on LCDP and citizen development adoption, and introduces a research methodology for information systems science to develop similar frameworks for other emerging technologies. For IT managers, it offers structured guidance for understanding and managing LCDP adoption, enhanced by practical recommendations for effectively applying the LCDPMM within their organizations.</t>
  </si>
  <si>
    <t>Low-Code Development Platforms, Citizen Development, Maturity Model, IT Management, IT Governance</t>
  </si>
  <si>
    <t>Low-code  development platforms (LCDPs)  were transforming software development by enabling individuals with limited coding skills to create applications. This was particularly relevant  for  Small  and  Medium-Sized  Advertising  Agencies  (SMAs)  striving  for  efficiency, agility, and digital innovation in a competitive market. However, the adoption of LCDPs in SMAs was influenced by various technological, organizational, and economic factors. This study aimed to identify the key factors influencing the adoption of LCDPs in SMAs and provide  practical guidance for  their implementation. A mixed-methods approach  was employed,  incorporating  both  quantitative  and  qualitative  research  methods.  Data  were collected from 112 respondents, comprising IT developers and non-IT personnel in SMAs, through  a  questionnaire  and  in-depth  interviews.  Multiple  linear  regression  analysis  was conducted to determine the significant predictors of LCDP adoption.The results revealed that cost considerations (β= 0.211) and perceived security risks (β= 0.260) emerged as the most significant factors influencing LCDP adoption in SMAs. While perceived efficiency, ease of use, and reduced IT dependency were also contributing factors, their influence was less pronounced than cost and security concerns.The study concluded that SMAs were increasingly recognizing the potential of LCDPs to  enhance  digital  innovation  and  operational  efficiency.  However,  successful  adoption hinged  on  addressing  economic  factors,  such  as  providing  affordable  pricing  models,  and fostering trust by prioritizing robust security features and transparent communication about data  protection.  These  findings  provided  valuable  insights  for  LCDP  providers  and  SMAs, guiding the development and implementation of these platforms to maximize their potential in the dynamic advertising industry.</t>
  </si>
  <si>
    <t>Low-Code Development Platforms,Factors Affecting, Small and Medium-Sized, Low-Code Technology Adoption</t>
  </si>
  <si>
    <t>https://doi.org/10.14456/ajfld.2024.9</t>
  </si>
  <si>
    <t>Low-Code Development Platforms (LCDPs) enable business and information technology (IT) employees to develop and operate IT solutions. However, adopting LCDPs is challenging as organizations lack strategic orientation and experience. To achieve an organizational maturity that realizes LCDP opportunities and mitigates risks, a structured management approach is necessary. This publication aims to provide a starting point of such an approach by developing a maturity model and deriving key consideration for LCDP adoption. We conduct an exploratory study, involving both practitioners and scientists. The findings indicate that LCDP adoption requires the maturation of 23 capabilities. Initial steps in a practical adoption roadmap include establishing an adaptive LCDP governance and organizational structures. Organizations can then select and operate LCDP(s), empower usage, and integrate them into their enterprise architecture management. The study enhances LCDP research by proposing a theory-based framework and future research considerations. Practitioners can apply the findings to start company-specific LCDP management.</t>
  </si>
  <si>
    <t>Low-Code Development Platform, Citizen Development, Organizational Capabilities, Maturity Model, COBIT, Socio-Technical Systems Model, IT Governance</t>
  </si>
  <si>
    <t>One of the most important factors in promoting digital transformation is accelerating the digital transformation process while ensuring quality and efficiency. This research therefore seeks to measure the effectiveness of Low-code Development Platforms (LCDPs), in driving government digital transformation, specifically through a comparative analysis of OutSystems and .NET MVC models. The central focus is on assessing various factors, with a keen eye on three essential metrics: Development Time (DT), Number of Lines of Code (NLC), and Number of Methods (NM). The study aims to discern the efficiency needs of government, influencing the development of applications that align with organizational objectives. By using the Low-code Development Platforms (LCDPs), capabilities embedded in OutSystems and .NET MVC, a thorough comparison will be conducted to carefully examine precise differences and evaluate impact through DT, NLC, and NM. On the other side of these technical aspects, the research tries to provide insightful guidance for decision-makers, aiding them in selecting the most fitting platform for digital transformation initiatives within the government and the public sector</t>
  </si>
  <si>
    <t>Outsystems, .NET, MVC, LCDP, Low-Code, Development, Platforms, Government, Digital Transformation.</t>
  </si>
  <si>
    <t>https://doi.org/10.1109/ACCESS.2023.3325092</t>
  </si>
  <si>
    <t>Database</t>
  </si>
  <si>
    <t>IEEE Xplore</t>
  </si>
  <si>
    <t>ACM DL</t>
  </si>
  <si>
    <t>AIS eLibrary</t>
  </si>
  <si>
    <t>GI DL</t>
  </si>
  <si>
    <t>DBLP</t>
  </si>
  <si>
    <t>QGS Pool</t>
  </si>
  <si>
    <t>Date Exclude</t>
  </si>
  <si>
    <t>Fulltext/Language Exclude</t>
  </si>
  <si>
    <t>Primary Exclude</t>
  </si>
  <si>
    <t>Peer-reviewed Exclude</t>
  </si>
  <si>
    <t>SE Context Exclude</t>
  </si>
  <si>
    <t>Relevance Exclude</t>
  </si>
  <si>
    <t>Included</t>
  </si>
  <si>
    <t>Database Selection for SLR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</si>
</sst>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b/>
      <sz val="11"/>
      <color theme="1"/>
      <name val="Calibri"/>
      <family val="2"/>
      <scheme val="minor"/>
    </font>
    <font>
      <b/>
      <sz val="11"/>
      <color theme="3"/>
      <name val="Calibri"/>
      <family val="2"/>
      <scheme val="minor"/>
    </font>
    <font>
      <i/>
      <sz val="10"/>
      <color theme="1"/>
      <name val="Calibri"/>
      <family val="2"/>
      <scheme val="minor"/>
    </font>
    <font>
      <b/>
      <i/>
      <sz val="10"/>
      <color theme="1"/>
      <name val="Calibri"/>
      <family val="2"/>
      <scheme val="minor"/>
    </font>
    <font>
      <sz val="10"/>
      <color theme="1"/>
      <name val="Calibri"/>
      <family val="2"/>
      <scheme val="minor"/>
    </font>
    <font>
      <sz val="8"/>
      <name val="Calibri"/>
      <family val="2"/>
      <scheme val="minor"/>
    </font>
    <font>
      <b/>
      <sz val="11"/>
      <color theme="2"/>
      <name val="Calibri"/>
      <family val="2"/>
      <scheme val="minor"/>
    </font>
    <font>
      <sz val="11"/>
      <color theme="2" tint="-0.499984740745262"/>
      <name val="Calibri"/>
      <family val="2"/>
      <scheme val="minor"/>
    </font>
    <font>
      <b/>
      <sz val="11"/>
      <name val="Calibri"/>
      <family val="2"/>
      <scheme val="minor"/>
    </font>
    <font>
      <sz val="11"/>
      <name val="Calibri"/>
      <family val="2"/>
      <scheme val="minor"/>
    </font>
    <font>
      <sz val="11"/>
      <color rgb="FF333333"/>
      <name val="Arial"/>
      <family val="2"/>
    </font>
    <font>
      <u/>
      <sz val="11"/>
      <color theme="10"/>
      <name val="Calibri"/>
      <family val="2"/>
      <scheme val="minor"/>
    </font>
  </fonts>
  <fills count="5">
    <fill>
      <patternFill patternType="none"/>
    </fill>
    <fill>
      <patternFill patternType="gray125"/>
    </fill>
    <fill>
      <patternFill patternType="solid">
        <fgColor theme="6" tint="-0.499984740745262"/>
        <bgColor indexed="64"/>
      </patternFill>
    </fill>
    <fill>
      <patternFill patternType="solid">
        <fgColor theme="2"/>
        <bgColor indexed="64"/>
      </patternFill>
    </fill>
    <fill>
      <patternFill patternType="solid">
        <fgColor theme="3"/>
        <bgColor indexed="64"/>
      </patternFill>
    </fill>
  </fills>
  <borders count="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style="thin">
        <color theme="0"/>
      </top>
      <bottom/>
      <diagonal/>
    </border>
  </borders>
  <cellStyleXfs count="2">
    <xf numFmtId="0" fontId="0" fillId="0" borderId="0"/>
    <xf numFmtId="0" fontId="13" fillId="0" borderId="0" applyNumberFormat="0" applyFill="0" applyBorder="0" applyAlignment="0" applyProtection="0"/>
  </cellStyleXfs>
  <cellXfs count="30">
    <xf numFmtId="0" fontId="0" fillId="0" borderId="0" xfId="0"/>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xf>
    <xf numFmtId="0" fontId="6" fillId="0" borderId="1" xfId="0" applyFont="1" applyBorder="1" applyAlignment="1">
      <alignment horizontal="left" vertical="center"/>
    </xf>
    <xf numFmtId="0" fontId="4" fillId="0" borderId="1" xfId="0" applyFont="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2"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4" fillId="0" borderId="0" xfId="0" applyFont="1" applyAlignment="1">
      <alignment horizontal="left" vertical="center" wrapText="1"/>
    </xf>
    <xf numFmtId="0" fontId="3" fillId="3" borderId="0" xfId="0" applyFont="1" applyFill="1"/>
    <xf numFmtId="0" fontId="3" fillId="3" borderId="0" xfId="0" applyFont="1" applyFill="1" applyAlignment="1">
      <alignment horizontal="left"/>
    </xf>
    <xf numFmtId="0" fontId="8" fillId="4" borderId="0" xfId="0" applyFont="1" applyFill="1"/>
    <xf numFmtId="0" fontId="8" fillId="4" borderId="0" xfId="0" applyFont="1" applyFill="1" applyAlignment="1">
      <alignment horizontal="left"/>
    </xf>
    <xf numFmtId="0" fontId="0" fillId="0" borderId="0" xfId="0" applyAlignment="1">
      <alignment wrapText="1"/>
    </xf>
    <xf numFmtId="0" fontId="9" fillId="0" borderId="0" xfId="0" applyFont="1" applyAlignment="1">
      <alignment wrapText="1"/>
    </xf>
    <xf numFmtId="0" fontId="9" fillId="0" borderId="0" xfId="0" applyFont="1"/>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1" applyAlignment="1">
      <alignment wrapText="1"/>
    </xf>
    <xf numFmtId="0" fontId="13" fillId="0" borderId="0" xfId="1"/>
    <xf numFmtId="0" fontId="10" fillId="0" borderId="0" xfId="0" applyFont="1" applyAlignment="1">
      <alignment vertical="center" wrapText="1"/>
    </xf>
    <xf numFmtId="0" fontId="11" fillId="0" borderId="0" xfId="0" applyFont="1" applyAlignment="1">
      <alignment vertical="center" wrapText="1"/>
    </xf>
    <xf numFmtId="0" fontId="0" fillId="0" borderId="0" xfId="0" applyAlignment="1">
      <alignment vertical="center"/>
    </xf>
    <xf numFmtId="0" fontId="2" fillId="0" borderId="0" xfId="0" applyFont="1"/>
  </cellXfs>
  <cellStyles count="2">
    <cellStyle name="Link" xfId="1" builtinId="8"/>
    <cellStyle name="Standard" xfId="0" builtinId="0"/>
  </cellStyles>
  <dxfs count="2">
    <dxf>
      <fill>
        <patternFill>
          <bgColor theme="9" tint="0.79998168889431442"/>
        </patternFill>
      </fill>
    </dxf>
    <dxf>
      <fill>
        <patternFill>
          <bgColor rgb="FFFF9999"/>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doi.org/10.1109/ACCESS.2023.3325092" TargetMode="External"/><Relationship Id="rId3" Type="http://schemas.openxmlformats.org/officeDocument/2006/relationships/hyperlink" Target="https://doi.org/10.18420/inf2024_138" TargetMode="External"/><Relationship Id="rId7" Type="http://schemas.openxmlformats.org/officeDocument/2006/relationships/hyperlink" Target="https://hdl.handle.net/10125/106444" TargetMode="External"/><Relationship Id="rId2" Type="http://schemas.openxmlformats.org/officeDocument/2006/relationships/hyperlink" Target="https://hdl.handle.net/10125/108890" TargetMode="External"/><Relationship Id="rId1" Type="http://schemas.openxmlformats.org/officeDocument/2006/relationships/hyperlink" Target="https://doi.org/10.1145/3652620.3688332" TargetMode="External"/><Relationship Id="rId6" Type="http://schemas.openxmlformats.org/officeDocument/2006/relationships/hyperlink" Target="https://doi.org/10.1109/ACCESS.2023.3258539" TargetMode="External"/><Relationship Id="rId5" Type="http://schemas.openxmlformats.org/officeDocument/2006/relationships/hyperlink" Target="https://doi.org/10.14456/ajfld.2024.9" TargetMode="External"/><Relationship Id="rId4" Type="http://schemas.openxmlformats.org/officeDocument/2006/relationships/hyperlink" Target="https://doi.org/10.1365/s40702-023-0102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5"/>
  <sheetViews>
    <sheetView tabSelected="1" zoomScale="70" zoomScaleNormal="70" workbookViewId="0">
      <pane ySplit="1" topLeftCell="A2" activePane="bottomLeft" state="frozen"/>
      <selection pane="bottomLeft" activeCell="A2" sqref="A2"/>
    </sheetView>
  </sheetViews>
  <sheetFormatPr baseColWidth="10" defaultColWidth="8.88671875" defaultRowHeight="14.4" x14ac:dyDescent="0.3"/>
  <cols>
    <col min="1" max="1" width="10.77734375" style="11" bestFit="1" customWidth="1"/>
    <col min="2" max="2" width="64.44140625" style="12" customWidth="1"/>
    <col min="3" max="3" width="46.77734375" style="11" bestFit="1" customWidth="1"/>
    <col min="4" max="4" width="6.88671875" style="11" bestFit="1" customWidth="1"/>
    <col min="5" max="5" width="91.21875" style="11" bestFit="1" customWidth="1"/>
    <col min="6" max="6" width="12.77734375" style="11" bestFit="1" customWidth="1"/>
    <col min="7" max="7" width="21.77734375" style="11" bestFit="1" customWidth="1"/>
    <col min="8" max="8" width="16.77734375" style="11" bestFit="1" customWidth="1"/>
    <col min="9" max="9" width="17.77734375" style="11" bestFit="1" customWidth="1"/>
    <col min="10" max="10" width="27.88671875" style="11" bestFit="1" customWidth="1"/>
    <col min="11" max="11" width="16.88671875" style="11" hidden="1" customWidth="1"/>
    <col min="12" max="12" width="21" style="11" bestFit="1" customWidth="1"/>
    <col min="13" max="13" width="24.109375" style="11" bestFit="1" customWidth="1"/>
    <col min="14" max="14" width="46.77734375" style="11" bestFit="1" customWidth="1"/>
    <col min="15" max="15" width="21.88671875" style="11" bestFit="1" customWidth="1"/>
    <col min="16" max="16" width="195.77734375" style="11" bestFit="1" customWidth="1"/>
    <col min="17" max="16384" width="8.88671875" style="11"/>
  </cols>
  <sheetData>
    <row r="1" spans="1:16" s="10" customFormat="1" x14ac:dyDescent="0.3">
      <c r="A1" s="8" t="s">
        <v>0</v>
      </c>
      <c r="B1" s="9" t="s">
        <v>1</v>
      </c>
      <c r="C1" s="8" t="s">
        <v>2</v>
      </c>
      <c r="D1" s="8" t="s">
        <v>3</v>
      </c>
      <c r="E1" s="8" t="s">
        <v>4</v>
      </c>
      <c r="F1" s="8" t="s">
        <v>5</v>
      </c>
      <c r="G1" s="8" t="s">
        <v>7</v>
      </c>
      <c r="H1" s="8" t="s">
        <v>67</v>
      </c>
      <c r="I1" s="8" t="s">
        <v>6</v>
      </c>
      <c r="J1" s="8" t="s">
        <v>8</v>
      </c>
      <c r="K1" s="8" t="s">
        <v>10</v>
      </c>
      <c r="L1" s="8" t="s">
        <v>70</v>
      </c>
      <c r="M1" s="8" t="s">
        <v>9</v>
      </c>
      <c r="N1" s="8" t="s">
        <v>69</v>
      </c>
      <c r="O1" s="8" t="s">
        <v>28</v>
      </c>
      <c r="P1" s="8" t="s">
        <v>11</v>
      </c>
    </row>
    <row r="2" spans="1:16" ht="28.8" x14ac:dyDescent="0.3">
      <c r="A2" s="1" t="s">
        <v>29</v>
      </c>
      <c r="B2" s="2" t="s">
        <v>30</v>
      </c>
      <c r="C2" s="2" t="s">
        <v>31</v>
      </c>
      <c r="D2" s="1">
        <v>2024</v>
      </c>
      <c r="E2" s="1" t="s">
        <v>32</v>
      </c>
      <c r="F2" s="1" t="s">
        <v>33</v>
      </c>
      <c r="G2" s="1" t="s">
        <v>35</v>
      </c>
      <c r="H2" s="1" t="s">
        <v>34</v>
      </c>
      <c r="I2" s="1" t="s">
        <v>34</v>
      </c>
      <c r="J2" s="1" t="str">
        <f>IF(AND(OR(F2="English", F2="German"), I2="Yes",G2="Yes",H2="Yes"),"Yes","No")</f>
        <v>No</v>
      </c>
      <c r="K2" s="1"/>
      <c r="L2" s="1"/>
      <c r="M2" s="1"/>
      <c r="N2" s="6"/>
      <c r="O2" s="1" t="s">
        <v>35</v>
      </c>
      <c r="P2" s="1" t="s">
        <v>39</v>
      </c>
    </row>
    <row r="3" spans="1:16" ht="55.2" x14ac:dyDescent="0.3">
      <c r="A3" s="1" t="s">
        <v>36</v>
      </c>
      <c r="B3" s="2" t="s">
        <v>37</v>
      </c>
      <c r="C3" s="2" t="s">
        <v>38</v>
      </c>
      <c r="D3" s="1">
        <v>2023</v>
      </c>
      <c r="E3" s="1" t="s">
        <v>40</v>
      </c>
      <c r="F3" s="1" t="s">
        <v>33</v>
      </c>
      <c r="G3" s="1" t="s">
        <v>34</v>
      </c>
      <c r="H3" s="1" t="s">
        <v>34</v>
      </c>
      <c r="I3" s="1" t="s">
        <v>34</v>
      </c>
      <c r="J3" s="1" t="str">
        <f>IF(AND(OR(F3="English", F3="German"), I3="Yes",G3="Yes",H3="Yes"),"Yes","No")</f>
        <v>Yes</v>
      </c>
      <c r="K3" s="1" t="s">
        <v>22</v>
      </c>
      <c r="L3" s="1" t="s">
        <v>34</v>
      </c>
      <c r="M3" s="1" t="s">
        <v>15</v>
      </c>
      <c r="N3" s="7" t="s">
        <v>112</v>
      </c>
      <c r="O3" s="1" t="s">
        <v>34</v>
      </c>
      <c r="P3" s="1" t="s">
        <v>41</v>
      </c>
    </row>
    <row r="4" spans="1:16" ht="124.2" x14ac:dyDescent="0.3">
      <c r="A4" s="1" t="s">
        <v>42</v>
      </c>
      <c r="B4" s="2" t="s">
        <v>43</v>
      </c>
      <c r="C4" s="2" t="s">
        <v>44</v>
      </c>
      <c r="D4" s="1">
        <v>2024</v>
      </c>
      <c r="E4" s="1" t="s">
        <v>45</v>
      </c>
      <c r="F4" s="1" t="s">
        <v>33</v>
      </c>
      <c r="G4" s="1" t="s">
        <v>34</v>
      </c>
      <c r="H4" s="1" t="s">
        <v>34</v>
      </c>
      <c r="I4" s="1" t="s">
        <v>34</v>
      </c>
      <c r="J4" s="1" t="str">
        <f t="shared" ref="J4:J41" si="0">IF(AND(OR(F4="English", F4="German"), I4="Yes",G4="Yes",H4="Yes"),"Yes","No")</f>
        <v>Yes</v>
      </c>
      <c r="K4" s="1" t="s">
        <v>46</v>
      </c>
      <c r="L4" s="1" t="s">
        <v>34</v>
      </c>
      <c r="M4" s="1" t="s">
        <v>16</v>
      </c>
      <c r="N4" s="7" t="s">
        <v>113</v>
      </c>
      <c r="O4" s="1" t="s">
        <v>34</v>
      </c>
      <c r="P4" s="1" t="s">
        <v>47</v>
      </c>
    </row>
    <row r="5" spans="1:16" ht="54" customHeight="1" x14ac:dyDescent="0.3">
      <c r="A5" s="1" t="s">
        <v>48</v>
      </c>
      <c r="B5" s="2" t="s">
        <v>49</v>
      </c>
      <c r="C5" s="2" t="s">
        <v>50</v>
      </c>
      <c r="D5" s="1">
        <v>2023</v>
      </c>
      <c r="E5" s="1" t="s">
        <v>51</v>
      </c>
      <c r="F5" s="1" t="s">
        <v>33</v>
      </c>
      <c r="G5" s="1" t="s">
        <v>35</v>
      </c>
      <c r="H5" s="1" t="s">
        <v>35</v>
      </c>
      <c r="I5" s="1" t="s">
        <v>34</v>
      </c>
      <c r="J5" s="1" t="str">
        <f t="shared" si="0"/>
        <v>No</v>
      </c>
      <c r="K5" s="1"/>
      <c r="L5" s="1"/>
      <c r="M5" s="1"/>
      <c r="N5" s="6"/>
      <c r="O5" s="1" t="s">
        <v>35</v>
      </c>
      <c r="P5" s="1" t="s">
        <v>52</v>
      </c>
    </row>
    <row r="6" spans="1:16" ht="61.2" customHeight="1" x14ac:dyDescent="0.3">
      <c r="A6" s="1" t="s">
        <v>53</v>
      </c>
      <c r="B6" s="2" t="s">
        <v>54</v>
      </c>
      <c r="C6" s="2" t="s">
        <v>55</v>
      </c>
      <c r="D6" s="1">
        <v>2021</v>
      </c>
      <c r="E6" s="2" t="s">
        <v>56</v>
      </c>
      <c r="F6" s="1" t="s">
        <v>33</v>
      </c>
      <c r="G6" s="1" t="s">
        <v>34</v>
      </c>
      <c r="H6" s="1" t="s">
        <v>34</v>
      </c>
      <c r="I6" s="2" t="s">
        <v>34</v>
      </c>
      <c r="J6" s="1" t="str">
        <f t="shared" si="0"/>
        <v>Yes</v>
      </c>
      <c r="K6" s="1"/>
      <c r="L6" s="1"/>
      <c r="M6" s="1"/>
      <c r="N6" s="6"/>
      <c r="O6" s="1" t="s">
        <v>35</v>
      </c>
      <c r="P6" s="1" t="s">
        <v>57</v>
      </c>
    </row>
    <row r="7" spans="1:16" ht="85.2" customHeight="1" x14ac:dyDescent="0.3">
      <c r="A7" s="1" t="s">
        <v>58</v>
      </c>
      <c r="B7" s="2" t="s">
        <v>59</v>
      </c>
      <c r="C7" s="2" t="s">
        <v>60</v>
      </c>
      <c r="D7" s="1">
        <v>2021</v>
      </c>
      <c r="E7" s="2" t="s">
        <v>61</v>
      </c>
      <c r="F7" s="1" t="s">
        <v>33</v>
      </c>
      <c r="G7" s="1" t="s">
        <v>34</v>
      </c>
      <c r="H7" s="1" t="s">
        <v>34</v>
      </c>
      <c r="I7" s="2" t="s">
        <v>34</v>
      </c>
      <c r="J7" s="1" t="str">
        <f t="shared" si="0"/>
        <v>Yes</v>
      </c>
      <c r="K7" s="1"/>
      <c r="L7" s="1"/>
      <c r="M7" s="1"/>
      <c r="N7" s="6"/>
      <c r="O7" s="1" t="s">
        <v>35</v>
      </c>
      <c r="P7" s="1" t="s">
        <v>57</v>
      </c>
    </row>
    <row r="8" spans="1:16" ht="117.6" customHeight="1" x14ac:dyDescent="0.3">
      <c r="A8" s="1" t="s">
        <v>62</v>
      </c>
      <c r="B8" s="2" t="s">
        <v>63</v>
      </c>
      <c r="C8" s="2" t="s">
        <v>64</v>
      </c>
      <c r="D8" s="1">
        <v>2024</v>
      </c>
      <c r="E8" s="2" t="s">
        <v>65</v>
      </c>
      <c r="F8" s="1" t="s">
        <v>33</v>
      </c>
      <c r="G8" s="1" t="s">
        <v>34</v>
      </c>
      <c r="H8" s="1" t="s">
        <v>34</v>
      </c>
      <c r="I8" s="2" t="s">
        <v>34</v>
      </c>
      <c r="J8" s="1" t="str">
        <f t="shared" si="0"/>
        <v>Yes</v>
      </c>
      <c r="K8" s="1" t="s">
        <v>22</v>
      </c>
      <c r="L8" s="1" t="s">
        <v>34</v>
      </c>
      <c r="M8" s="1" t="s">
        <v>15</v>
      </c>
      <c r="N8" s="7" t="s">
        <v>114</v>
      </c>
      <c r="O8" s="1" t="s">
        <v>34</v>
      </c>
      <c r="P8" s="1" t="s">
        <v>66</v>
      </c>
    </row>
    <row r="9" spans="1:16" ht="82.8" x14ac:dyDescent="0.3">
      <c r="A9" s="3" t="s">
        <v>72</v>
      </c>
      <c r="B9" s="12" t="s">
        <v>71</v>
      </c>
      <c r="C9" s="4" t="s">
        <v>38</v>
      </c>
      <c r="D9" s="3">
        <v>2023</v>
      </c>
      <c r="E9" s="5" t="s">
        <v>40</v>
      </c>
      <c r="F9" s="3" t="s">
        <v>33</v>
      </c>
      <c r="G9" s="3" t="s">
        <v>34</v>
      </c>
      <c r="H9" s="3" t="s">
        <v>34</v>
      </c>
      <c r="I9" s="4" t="s">
        <v>34</v>
      </c>
      <c r="J9" s="3" t="str">
        <f t="shared" si="0"/>
        <v>Yes</v>
      </c>
      <c r="K9" s="11" t="s">
        <v>22</v>
      </c>
      <c r="L9" s="11" t="s">
        <v>34</v>
      </c>
      <c r="M9" s="11" t="s">
        <v>16</v>
      </c>
      <c r="N9" s="13" t="s">
        <v>115</v>
      </c>
      <c r="O9" s="3" t="s">
        <v>34</v>
      </c>
      <c r="P9" s="3" t="s">
        <v>73</v>
      </c>
    </row>
    <row r="10" spans="1:16" s="1" customFormat="1" ht="28.8" x14ac:dyDescent="0.3">
      <c r="A10" s="1" t="s">
        <v>75</v>
      </c>
      <c r="B10" s="2" t="s">
        <v>74</v>
      </c>
      <c r="C10" s="1" t="s">
        <v>76</v>
      </c>
      <c r="D10" s="1">
        <v>2023</v>
      </c>
      <c r="F10" s="1" t="s">
        <v>33</v>
      </c>
      <c r="G10" s="1" t="s">
        <v>34</v>
      </c>
      <c r="H10" s="1" t="s">
        <v>35</v>
      </c>
      <c r="J10" s="1" t="str">
        <f t="shared" si="0"/>
        <v>No</v>
      </c>
      <c r="N10" s="6"/>
      <c r="O10" s="1" t="s">
        <v>35</v>
      </c>
      <c r="P10" s="1" t="s">
        <v>77</v>
      </c>
    </row>
    <row r="11" spans="1:16" s="1" customFormat="1" ht="43.2" x14ac:dyDescent="0.3">
      <c r="A11" s="1" t="s">
        <v>79</v>
      </c>
      <c r="B11" s="2" t="s">
        <v>78</v>
      </c>
      <c r="C11" s="1" t="s">
        <v>80</v>
      </c>
      <c r="D11" s="1">
        <v>2024</v>
      </c>
      <c r="E11" s="2" t="s">
        <v>81</v>
      </c>
      <c r="F11" s="1" t="s">
        <v>33</v>
      </c>
      <c r="G11" s="1" t="s">
        <v>34</v>
      </c>
      <c r="H11" s="1" t="s">
        <v>34</v>
      </c>
      <c r="I11" s="2" t="s">
        <v>35</v>
      </c>
      <c r="J11" s="1" t="str">
        <f t="shared" si="0"/>
        <v>No</v>
      </c>
      <c r="N11" s="6"/>
      <c r="O11" s="1" t="s">
        <v>35</v>
      </c>
      <c r="P11" s="1" t="s">
        <v>96</v>
      </c>
    </row>
    <row r="12" spans="1:16" s="1" customFormat="1" x14ac:dyDescent="0.3">
      <c r="A12" s="1" t="s">
        <v>82</v>
      </c>
      <c r="B12" s="2" t="s">
        <v>92</v>
      </c>
      <c r="C12" s="1" t="s">
        <v>93</v>
      </c>
      <c r="D12" s="1">
        <v>2025</v>
      </c>
      <c r="E12" s="1" t="s">
        <v>94</v>
      </c>
      <c r="F12" s="1" t="s">
        <v>33</v>
      </c>
      <c r="G12" s="1" t="s">
        <v>34</v>
      </c>
      <c r="H12" s="1" t="s">
        <v>35</v>
      </c>
      <c r="I12" s="1" t="s">
        <v>35</v>
      </c>
      <c r="J12" s="1" t="str">
        <f t="shared" si="0"/>
        <v>No</v>
      </c>
      <c r="N12" s="6"/>
      <c r="O12" s="1" t="s">
        <v>35</v>
      </c>
      <c r="P12" s="1" t="s">
        <v>95</v>
      </c>
    </row>
    <row r="13" spans="1:16" s="1" customFormat="1" ht="330" customHeight="1" x14ac:dyDescent="0.3">
      <c r="A13" s="1" t="s">
        <v>83</v>
      </c>
      <c r="B13" s="2" t="s">
        <v>97</v>
      </c>
      <c r="C13" s="2" t="s">
        <v>98</v>
      </c>
      <c r="D13" s="1">
        <v>2021</v>
      </c>
      <c r="E13" s="1" t="s">
        <v>99</v>
      </c>
      <c r="F13" s="1" t="s">
        <v>33</v>
      </c>
      <c r="G13" s="1" t="s">
        <v>34</v>
      </c>
      <c r="H13" s="1" t="s">
        <v>34</v>
      </c>
      <c r="I13" s="1" t="s">
        <v>34</v>
      </c>
      <c r="J13" s="1" t="str">
        <f t="shared" si="0"/>
        <v>Yes</v>
      </c>
      <c r="K13" s="1" t="s">
        <v>22</v>
      </c>
      <c r="L13" s="1" t="s">
        <v>34</v>
      </c>
      <c r="M13" s="1" t="s">
        <v>15</v>
      </c>
      <c r="N13" s="7" t="s">
        <v>116</v>
      </c>
      <c r="O13" s="1" t="s">
        <v>35</v>
      </c>
      <c r="P13" s="1" t="s">
        <v>102</v>
      </c>
    </row>
    <row r="14" spans="1:16" s="1" customFormat="1" ht="28.8" x14ac:dyDescent="0.3">
      <c r="A14" s="1" t="s">
        <v>84</v>
      </c>
      <c r="B14" s="2" t="s">
        <v>100</v>
      </c>
      <c r="C14" s="2" t="s">
        <v>101</v>
      </c>
      <c r="D14" s="1">
        <v>2025</v>
      </c>
      <c r="E14" s="1" t="s">
        <v>103</v>
      </c>
      <c r="F14" s="1" t="s">
        <v>33</v>
      </c>
      <c r="G14" s="1" t="s">
        <v>34</v>
      </c>
      <c r="H14" s="1" t="s">
        <v>35</v>
      </c>
      <c r="I14" s="1" t="s">
        <v>34</v>
      </c>
      <c r="J14" s="1" t="str">
        <f t="shared" si="0"/>
        <v>No</v>
      </c>
      <c r="N14" s="6"/>
      <c r="O14" s="1" t="s">
        <v>35</v>
      </c>
      <c r="P14" s="1" t="s">
        <v>77</v>
      </c>
    </row>
    <row r="15" spans="1:16" s="1" customFormat="1" ht="96.6" x14ac:dyDescent="0.3">
      <c r="A15" s="1" t="s">
        <v>85</v>
      </c>
      <c r="B15" s="2" t="s">
        <v>104</v>
      </c>
      <c r="C15" s="2" t="s">
        <v>105</v>
      </c>
      <c r="D15" s="1">
        <v>2024</v>
      </c>
      <c r="E15" s="1" t="s">
        <v>106</v>
      </c>
      <c r="F15" s="1" t="s">
        <v>33</v>
      </c>
      <c r="G15" s="1" t="s">
        <v>34</v>
      </c>
      <c r="H15" s="1" t="s">
        <v>34</v>
      </c>
      <c r="I15" s="1" t="s">
        <v>34</v>
      </c>
      <c r="J15" s="1" t="str">
        <f t="shared" si="0"/>
        <v>Yes</v>
      </c>
      <c r="K15" s="1" t="s">
        <v>107</v>
      </c>
      <c r="L15" s="1" t="s">
        <v>34</v>
      </c>
      <c r="M15" s="1" t="s">
        <v>15</v>
      </c>
      <c r="N15" s="7" t="s">
        <v>117</v>
      </c>
      <c r="O15" s="1" t="s">
        <v>34</v>
      </c>
    </row>
    <row r="16" spans="1:16" s="1" customFormat="1" ht="207" x14ac:dyDescent="0.3">
      <c r="A16" s="1" t="s">
        <v>86</v>
      </c>
      <c r="B16" s="2" t="s">
        <v>108</v>
      </c>
      <c r="C16" s="2" t="s">
        <v>109</v>
      </c>
      <c r="D16" s="1">
        <v>2023</v>
      </c>
      <c r="E16" s="1" t="s">
        <v>110</v>
      </c>
      <c r="F16" s="1" t="s">
        <v>111</v>
      </c>
      <c r="G16" s="1" t="s">
        <v>34</v>
      </c>
      <c r="H16" s="1" t="s">
        <v>34</v>
      </c>
      <c r="I16" s="1" t="s">
        <v>34</v>
      </c>
      <c r="J16" s="1" t="str">
        <f t="shared" si="0"/>
        <v>Yes</v>
      </c>
      <c r="K16" s="1" t="s">
        <v>22</v>
      </c>
      <c r="L16" s="1" t="s">
        <v>34</v>
      </c>
      <c r="M16" s="1" t="s">
        <v>15</v>
      </c>
      <c r="N16" s="7" t="s">
        <v>229</v>
      </c>
      <c r="O16" s="1" t="s">
        <v>34</v>
      </c>
      <c r="P16" s="1" t="s">
        <v>118</v>
      </c>
    </row>
    <row r="17" spans="1:16" s="1" customFormat="1" ht="28.8" x14ac:dyDescent="0.3">
      <c r="A17" s="1" t="s">
        <v>87</v>
      </c>
      <c r="B17" s="2" t="s">
        <v>119</v>
      </c>
      <c r="C17" s="1" t="s">
        <v>120</v>
      </c>
      <c r="D17" s="1">
        <v>2022</v>
      </c>
      <c r="E17" s="1" t="s">
        <v>121</v>
      </c>
      <c r="F17" s="1" t="s">
        <v>33</v>
      </c>
      <c r="G17" s="1" t="s">
        <v>34</v>
      </c>
      <c r="H17" s="1" t="s">
        <v>34</v>
      </c>
      <c r="I17" s="1" t="s">
        <v>35</v>
      </c>
      <c r="J17" s="1" t="str">
        <f t="shared" si="0"/>
        <v>No</v>
      </c>
      <c r="O17" s="1" t="s">
        <v>35</v>
      </c>
      <c r="P17" s="1" t="s">
        <v>122</v>
      </c>
    </row>
    <row r="18" spans="1:16" s="1" customFormat="1" ht="28.8" x14ac:dyDescent="0.3">
      <c r="A18" s="1" t="s">
        <v>88</v>
      </c>
      <c r="B18" s="2" t="s">
        <v>123</v>
      </c>
      <c r="C18" s="2" t="s">
        <v>124</v>
      </c>
      <c r="D18" s="1">
        <v>2025</v>
      </c>
      <c r="E18" s="2" t="s">
        <v>125</v>
      </c>
      <c r="F18" s="1" t="s">
        <v>33</v>
      </c>
      <c r="G18" s="1" t="s">
        <v>35</v>
      </c>
      <c r="H18" s="1" t="s">
        <v>35</v>
      </c>
      <c r="I18" s="1" t="s">
        <v>34</v>
      </c>
      <c r="J18" s="1" t="str">
        <f t="shared" si="0"/>
        <v>No</v>
      </c>
      <c r="O18" s="1" t="s">
        <v>35</v>
      </c>
      <c r="P18" s="1" t="s">
        <v>52</v>
      </c>
    </row>
    <row r="19" spans="1:16" s="1" customFormat="1" ht="82.8" x14ac:dyDescent="0.3">
      <c r="A19" s="1" t="s">
        <v>89</v>
      </c>
      <c r="B19" s="2" t="s">
        <v>126</v>
      </c>
      <c r="C19" s="2" t="s">
        <v>127</v>
      </c>
      <c r="D19" s="1">
        <v>2025</v>
      </c>
      <c r="E19" s="2" t="s">
        <v>128</v>
      </c>
      <c r="F19" s="1" t="s">
        <v>33</v>
      </c>
      <c r="G19" s="1" t="s">
        <v>34</v>
      </c>
      <c r="H19" s="1" t="s">
        <v>34</v>
      </c>
      <c r="I19" s="1" t="s">
        <v>34</v>
      </c>
      <c r="J19" s="1" t="str">
        <f t="shared" si="0"/>
        <v>Yes</v>
      </c>
      <c r="L19" s="1" t="s">
        <v>34</v>
      </c>
      <c r="M19" s="1" t="s">
        <v>15</v>
      </c>
      <c r="N19" s="7" t="s">
        <v>198</v>
      </c>
      <c r="O19" s="1" t="s">
        <v>34</v>
      </c>
      <c r="P19" s="1" t="s">
        <v>129</v>
      </c>
    </row>
    <row r="20" spans="1:16" s="1" customFormat="1" ht="43.8" customHeight="1" x14ac:dyDescent="0.3">
      <c r="A20" s="1" t="s">
        <v>90</v>
      </c>
      <c r="B20" s="2" t="s">
        <v>130</v>
      </c>
      <c r="C20" s="1" t="s">
        <v>131</v>
      </c>
      <c r="D20" s="1">
        <v>2023</v>
      </c>
      <c r="E20" s="1" t="s">
        <v>132</v>
      </c>
      <c r="F20" s="1" t="s">
        <v>33</v>
      </c>
      <c r="G20" s="1" t="s">
        <v>34</v>
      </c>
      <c r="H20" s="1" t="s">
        <v>35</v>
      </c>
      <c r="I20" s="1" t="s">
        <v>35</v>
      </c>
      <c r="J20" s="1" t="str">
        <f t="shared" si="0"/>
        <v>No</v>
      </c>
      <c r="O20" s="1" t="s">
        <v>35</v>
      </c>
      <c r="P20" s="1" t="s">
        <v>133</v>
      </c>
    </row>
    <row r="21" spans="1:16" s="1" customFormat="1" x14ac:dyDescent="0.3">
      <c r="A21" s="1" t="s">
        <v>91</v>
      </c>
      <c r="B21" s="2" t="s">
        <v>134</v>
      </c>
      <c r="C21" s="2" t="s">
        <v>135</v>
      </c>
      <c r="D21" s="1">
        <v>2025</v>
      </c>
      <c r="E21" s="1" t="s">
        <v>136</v>
      </c>
      <c r="F21" s="1" t="s">
        <v>33</v>
      </c>
      <c r="G21" s="1" t="s">
        <v>34</v>
      </c>
      <c r="H21" s="1" t="s">
        <v>35</v>
      </c>
      <c r="I21" s="1" t="s">
        <v>34</v>
      </c>
      <c r="J21" s="1" t="str">
        <f t="shared" si="0"/>
        <v>No</v>
      </c>
      <c r="O21" s="1" t="s">
        <v>35</v>
      </c>
      <c r="P21" s="1" t="s">
        <v>77</v>
      </c>
    </row>
    <row r="22" spans="1:16" s="1" customFormat="1" ht="28.8" x14ac:dyDescent="0.3">
      <c r="A22" s="1" t="s">
        <v>138</v>
      </c>
      <c r="B22" s="2" t="s">
        <v>148</v>
      </c>
      <c r="C22" s="2" t="s">
        <v>149</v>
      </c>
      <c r="D22" s="1">
        <v>2022</v>
      </c>
      <c r="E22" s="1" t="s">
        <v>150</v>
      </c>
      <c r="F22" s="1" t="s">
        <v>33</v>
      </c>
      <c r="G22" s="1" t="s">
        <v>34</v>
      </c>
      <c r="H22" s="1" t="s">
        <v>35</v>
      </c>
      <c r="J22" s="1" t="str">
        <f t="shared" si="0"/>
        <v>No</v>
      </c>
      <c r="O22" s="1" t="s">
        <v>35</v>
      </c>
      <c r="P22" s="1" t="s">
        <v>77</v>
      </c>
    </row>
    <row r="23" spans="1:16" s="1" customFormat="1" x14ac:dyDescent="0.3">
      <c r="A23" s="1" t="s">
        <v>139</v>
      </c>
      <c r="B23" s="2" t="s">
        <v>151</v>
      </c>
      <c r="C23" s="2" t="s">
        <v>152</v>
      </c>
      <c r="D23" s="1">
        <v>2020</v>
      </c>
      <c r="E23" s="2" t="s">
        <v>153</v>
      </c>
      <c r="F23" s="1" t="s">
        <v>33</v>
      </c>
      <c r="G23" s="1" t="s">
        <v>34</v>
      </c>
      <c r="J23" s="1" t="str">
        <f t="shared" si="0"/>
        <v>No</v>
      </c>
      <c r="O23" s="1" t="s">
        <v>35</v>
      </c>
      <c r="P23" s="1" t="s">
        <v>154</v>
      </c>
    </row>
    <row r="24" spans="1:16" s="1" customFormat="1" ht="267" customHeight="1" x14ac:dyDescent="0.3">
      <c r="A24" s="1" t="s">
        <v>140</v>
      </c>
      <c r="B24" s="2" t="s">
        <v>155</v>
      </c>
      <c r="C24" s="2" t="s">
        <v>156</v>
      </c>
      <c r="D24" s="1">
        <v>2025</v>
      </c>
      <c r="E24" s="1" t="s">
        <v>157</v>
      </c>
      <c r="F24" s="1" t="s">
        <v>33</v>
      </c>
      <c r="G24" s="1" t="s">
        <v>34</v>
      </c>
      <c r="H24" s="1" t="s">
        <v>34</v>
      </c>
      <c r="I24" s="1" t="s">
        <v>34</v>
      </c>
      <c r="J24" s="1" t="str">
        <f t="shared" si="0"/>
        <v>Yes</v>
      </c>
      <c r="K24" s="1" t="s">
        <v>158</v>
      </c>
      <c r="L24" s="1" t="s">
        <v>34</v>
      </c>
      <c r="M24" s="1" t="s">
        <v>16</v>
      </c>
      <c r="N24" s="7" t="s">
        <v>197</v>
      </c>
      <c r="O24" s="1" t="s">
        <v>34</v>
      </c>
      <c r="P24" s="1" t="s">
        <v>159</v>
      </c>
    </row>
    <row r="25" spans="1:16" s="1" customFormat="1" x14ac:dyDescent="0.3">
      <c r="A25" s="1" t="s">
        <v>141</v>
      </c>
      <c r="B25" s="2" t="s">
        <v>160</v>
      </c>
      <c r="C25" s="2" t="s">
        <v>161</v>
      </c>
      <c r="D25" s="1">
        <v>2024</v>
      </c>
      <c r="E25" s="1" t="s">
        <v>162</v>
      </c>
      <c r="F25" s="1" t="s">
        <v>33</v>
      </c>
      <c r="G25" s="1" t="s">
        <v>34</v>
      </c>
      <c r="H25" s="1" t="s">
        <v>35</v>
      </c>
      <c r="J25" s="1" t="str">
        <f t="shared" si="0"/>
        <v>No</v>
      </c>
      <c r="O25" s="1" t="s">
        <v>35</v>
      </c>
      <c r="P25" s="1" t="s">
        <v>77</v>
      </c>
    </row>
    <row r="26" spans="1:16" s="1" customFormat="1" x14ac:dyDescent="0.3">
      <c r="A26" s="1" t="s">
        <v>142</v>
      </c>
      <c r="B26" s="2" t="s">
        <v>163</v>
      </c>
      <c r="C26" s="1" t="s">
        <v>164</v>
      </c>
      <c r="D26" s="1">
        <v>2023</v>
      </c>
      <c r="E26" s="1" t="s">
        <v>165</v>
      </c>
      <c r="F26" s="1" t="s">
        <v>33</v>
      </c>
      <c r="G26" s="1" t="s">
        <v>34</v>
      </c>
      <c r="H26" s="1" t="s">
        <v>34</v>
      </c>
      <c r="I26" s="1" t="s">
        <v>35</v>
      </c>
      <c r="J26" s="1" t="str">
        <f t="shared" si="0"/>
        <v>No</v>
      </c>
      <c r="O26" s="1" t="s">
        <v>35</v>
      </c>
      <c r="P26" s="1" t="s">
        <v>166</v>
      </c>
    </row>
    <row r="27" spans="1:16" s="1" customFormat="1" ht="28.8" x14ac:dyDescent="0.3">
      <c r="A27" s="1" t="s">
        <v>143</v>
      </c>
      <c r="B27" s="2" t="s">
        <v>167</v>
      </c>
      <c r="C27" s="2" t="s">
        <v>168</v>
      </c>
      <c r="D27" s="1">
        <v>2020</v>
      </c>
      <c r="E27" s="2" t="s">
        <v>169</v>
      </c>
      <c r="F27" s="1" t="s">
        <v>33</v>
      </c>
      <c r="G27" s="1" t="s">
        <v>34</v>
      </c>
      <c r="H27" s="1" t="s">
        <v>34</v>
      </c>
      <c r="I27" s="1" t="s">
        <v>34</v>
      </c>
      <c r="J27" s="1" t="str">
        <f t="shared" si="0"/>
        <v>Yes</v>
      </c>
      <c r="O27" s="1" t="s">
        <v>35</v>
      </c>
      <c r="P27" s="1" t="s">
        <v>154</v>
      </c>
    </row>
    <row r="28" spans="1:16" s="1" customFormat="1" ht="28.8" x14ac:dyDescent="0.3">
      <c r="A28" s="1" t="s">
        <v>144</v>
      </c>
      <c r="B28" s="2" t="s">
        <v>170</v>
      </c>
      <c r="C28" s="2" t="s">
        <v>171</v>
      </c>
      <c r="D28" s="1">
        <v>2020</v>
      </c>
      <c r="E28" s="2" t="s">
        <v>172</v>
      </c>
      <c r="F28" s="1" t="s">
        <v>33</v>
      </c>
      <c r="G28" s="1" t="s">
        <v>34</v>
      </c>
      <c r="H28" s="1" t="s">
        <v>34</v>
      </c>
      <c r="I28" s="1" t="s">
        <v>34</v>
      </c>
      <c r="J28" s="1" t="str">
        <f t="shared" si="0"/>
        <v>Yes</v>
      </c>
      <c r="O28" s="1" t="s">
        <v>35</v>
      </c>
      <c r="P28" s="1" t="s">
        <v>154</v>
      </c>
    </row>
    <row r="29" spans="1:16" s="1" customFormat="1" x14ac:dyDescent="0.3">
      <c r="A29" s="1" t="s">
        <v>145</v>
      </c>
      <c r="B29" s="2" t="s">
        <v>173</v>
      </c>
      <c r="C29" s="2" t="s">
        <v>174</v>
      </c>
      <c r="D29" s="1">
        <v>2023</v>
      </c>
      <c r="E29" s="1" t="s">
        <v>175</v>
      </c>
      <c r="F29" s="1" t="s">
        <v>33</v>
      </c>
      <c r="G29" s="1" t="s">
        <v>35</v>
      </c>
      <c r="H29" s="1" t="s">
        <v>35</v>
      </c>
      <c r="I29" s="1" t="s">
        <v>34</v>
      </c>
      <c r="J29" s="1" t="str">
        <f t="shared" si="0"/>
        <v>No</v>
      </c>
      <c r="O29" s="1" t="s">
        <v>35</v>
      </c>
      <c r="P29" s="1" t="s">
        <v>77</v>
      </c>
    </row>
    <row r="30" spans="1:16" s="1" customFormat="1" x14ac:dyDescent="0.3">
      <c r="A30" s="1" t="s">
        <v>146</v>
      </c>
      <c r="B30" s="2" t="s">
        <v>176</v>
      </c>
      <c r="C30" s="2" t="s">
        <v>38</v>
      </c>
      <c r="D30" s="1">
        <v>2022</v>
      </c>
      <c r="E30" s="1" t="s">
        <v>177</v>
      </c>
      <c r="F30" s="1" t="s">
        <v>33</v>
      </c>
      <c r="G30" s="1" t="s">
        <v>34</v>
      </c>
      <c r="H30" s="1" t="s">
        <v>35</v>
      </c>
      <c r="I30" s="1" t="s">
        <v>34</v>
      </c>
      <c r="J30" s="1" t="str">
        <f t="shared" si="0"/>
        <v>No</v>
      </c>
      <c r="O30" s="1" t="s">
        <v>35</v>
      </c>
      <c r="P30" s="1" t="s">
        <v>178</v>
      </c>
    </row>
    <row r="31" spans="1:16" s="1" customFormat="1" x14ac:dyDescent="0.3">
      <c r="A31" s="1" t="s">
        <v>147</v>
      </c>
      <c r="B31" s="2" t="s">
        <v>228</v>
      </c>
      <c r="C31" s="1" t="s">
        <v>179</v>
      </c>
      <c r="D31" s="1">
        <v>2021</v>
      </c>
      <c r="E31" s="1" t="s">
        <v>180</v>
      </c>
      <c r="F31" s="1" t="s">
        <v>33</v>
      </c>
      <c r="G31" s="1" t="s">
        <v>34</v>
      </c>
      <c r="H31" s="1" t="s">
        <v>35</v>
      </c>
      <c r="I31" s="1" t="s">
        <v>34</v>
      </c>
      <c r="J31" s="1" t="str">
        <f t="shared" si="0"/>
        <v>No</v>
      </c>
      <c r="O31" s="1" t="s">
        <v>35</v>
      </c>
      <c r="P31" s="1" t="s">
        <v>178</v>
      </c>
    </row>
    <row r="32" spans="1:16" s="1" customFormat="1" ht="362.4" customHeight="1" x14ac:dyDescent="0.3">
      <c r="A32" s="1" t="s">
        <v>181</v>
      </c>
      <c r="B32" s="2" t="s">
        <v>191</v>
      </c>
      <c r="C32" s="2" t="s">
        <v>192</v>
      </c>
      <c r="D32" s="1">
        <v>2024</v>
      </c>
      <c r="E32" s="1" t="s">
        <v>193</v>
      </c>
      <c r="F32" s="1" t="s">
        <v>33</v>
      </c>
      <c r="G32" s="1" t="s">
        <v>34</v>
      </c>
      <c r="H32" s="1" t="s">
        <v>34</v>
      </c>
      <c r="I32" s="1" t="s">
        <v>35</v>
      </c>
      <c r="J32" s="1" t="str">
        <f t="shared" si="0"/>
        <v>No</v>
      </c>
      <c r="K32" s="1" t="s">
        <v>46</v>
      </c>
      <c r="L32" s="2"/>
      <c r="N32" s="7"/>
      <c r="O32" s="1" t="s">
        <v>35</v>
      </c>
    </row>
    <row r="33" spans="1:16" s="1" customFormat="1" ht="165.6" x14ac:dyDescent="0.3">
      <c r="A33" s="1" t="s">
        <v>182</v>
      </c>
      <c r="B33" s="2" t="s">
        <v>194</v>
      </c>
      <c r="C33" s="1" t="s">
        <v>195</v>
      </c>
      <c r="D33" s="1">
        <v>2024</v>
      </c>
      <c r="E33" s="1" t="s">
        <v>196</v>
      </c>
      <c r="F33" s="1" t="s">
        <v>33</v>
      </c>
      <c r="G33" s="1" t="s">
        <v>34</v>
      </c>
      <c r="H33" s="1" t="s">
        <v>34</v>
      </c>
      <c r="I33" s="1" t="s">
        <v>34</v>
      </c>
      <c r="J33" s="1" t="str">
        <f t="shared" si="0"/>
        <v>Yes</v>
      </c>
      <c r="K33" s="1" t="s">
        <v>158</v>
      </c>
      <c r="L33" s="1" t="s">
        <v>34</v>
      </c>
      <c r="M33" s="1" t="s">
        <v>16</v>
      </c>
      <c r="N33" s="7" t="s">
        <v>199</v>
      </c>
      <c r="O33" s="1" t="s">
        <v>34</v>
      </c>
      <c r="P33" s="1" t="s">
        <v>200</v>
      </c>
    </row>
    <row r="34" spans="1:16" s="1" customFormat="1" ht="43.2" x14ac:dyDescent="0.3">
      <c r="A34" s="1" t="s">
        <v>183</v>
      </c>
      <c r="B34" s="2" t="s">
        <v>201</v>
      </c>
      <c r="C34" s="2" t="s">
        <v>202</v>
      </c>
      <c r="D34" s="1">
        <v>2024</v>
      </c>
      <c r="E34" s="1" t="s">
        <v>203</v>
      </c>
      <c r="F34" s="1" t="s">
        <v>33</v>
      </c>
      <c r="G34" s="1" t="s">
        <v>34</v>
      </c>
      <c r="H34" s="1" t="s">
        <v>34</v>
      </c>
      <c r="I34" s="1" t="s">
        <v>35</v>
      </c>
      <c r="J34" s="1" t="str">
        <f t="shared" si="0"/>
        <v>No</v>
      </c>
      <c r="K34" s="1" t="s">
        <v>23</v>
      </c>
      <c r="N34" s="7"/>
      <c r="O34" s="1" t="s">
        <v>35</v>
      </c>
    </row>
    <row r="35" spans="1:16" s="1" customFormat="1" ht="28.8" x14ac:dyDescent="0.3">
      <c r="A35" s="1" t="s">
        <v>184</v>
      </c>
      <c r="B35" s="2" t="s">
        <v>204</v>
      </c>
      <c r="C35" s="1" t="s">
        <v>205</v>
      </c>
      <c r="D35" s="1">
        <v>2024</v>
      </c>
      <c r="E35" s="1" t="s">
        <v>206</v>
      </c>
      <c r="F35" s="1" t="s">
        <v>33</v>
      </c>
      <c r="G35" s="1" t="s">
        <v>34</v>
      </c>
      <c r="H35" s="1" t="s">
        <v>34</v>
      </c>
      <c r="I35" s="1" t="s">
        <v>34</v>
      </c>
      <c r="J35" s="1" t="str">
        <f t="shared" si="0"/>
        <v>Yes</v>
      </c>
      <c r="L35" s="1" t="s">
        <v>35</v>
      </c>
      <c r="O35" s="1" t="s">
        <v>35</v>
      </c>
      <c r="P35" s="1" t="s">
        <v>207</v>
      </c>
    </row>
    <row r="36" spans="1:16" s="1" customFormat="1" ht="56.4" customHeight="1" x14ac:dyDescent="0.3">
      <c r="A36" s="1" t="s">
        <v>185</v>
      </c>
      <c r="B36" s="2" t="s">
        <v>208</v>
      </c>
      <c r="C36" s="2" t="s">
        <v>209</v>
      </c>
      <c r="D36" s="1">
        <v>2022</v>
      </c>
      <c r="E36" s="1" t="s">
        <v>210</v>
      </c>
      <c r="F36" s="1" t="s">
        <v>33</v>
      </c>
      <c r="G36" s="1" t="s">
        <v>34</v>
      </c>
      <c r="H36" s="1" t="s">
        <v>34</v>
      </c>
      <c r="I36" s="1" t="s">
        <v>34</v>
      </c>
      <c r="J36" s="1" t="str">
        <f t="shared" si="0"/>
        <v>Yes</v>
      </c>
      <c r="O36" s="1" t="s">
        <v>35</v>
      </c>
      <c r="P36" s="1" t="s">
        <v>154</v>
      </c>
    </row>
    <row r="37" spans="1:16" s="1" customFormat="1" ht="49.8" customHeight="1" x14ac:dyDescent="0.3">
      <c r="A37" s="1" t="s">
        <v>186</v>
      </c>
      <c r="B37" s="2" t="s">
        <v>211</v>
      </c>
      <c r="C37" s="2" t="s">
        <v>212</v>
      </c>
      <c r="D37" s="1">
        <v>2020</v>
      </c>
      <c r="E37" s="1" t="s">
        <v>213</v>
      </c>
      <c r="F37" s="1" t="s">
        <v>33</v>
      </c>
      <c r="G37" s="1" t="s">
        <v>34</v>
      </c>
      <c r="H37" s="1" t="s">
        <v>35</v>
      </c>
      <c r="I37" s="1" t="s">
        <v>34</v>
      </c>
      <c r="J37" s="1" t="str">
        <f t="shared" si="0"/>
        <v>No</v>
      </c>
      <c r="O37" s="1" t="s">
        <v>35</v>
      </c>
      <c r="P37" s="1" t="s">
        <v>154</v>
      </c>
    </row>
    <row r="38" spans="1:16" s="1" customFormat="1" ht="28.8" x14ac:dyDescent="0.3">
      <c r="A38" s="1" t="s">
        <v>187</v>
      </c>
      <c r="B38" s="2" t="s">
        <v>214</v>
      </c>
      <c r="C38" s="1" t="s">
        <v>215</v>
      </c>
      <c r="D38" s="1" t="s">
        <v>68</v>
      </c>
      <c r="E38" s="1" t="s">
        <v>68</v>
      </c>
      <c r="F38" s="1" t="s">
        <v>68</v>
      </c>
      <c r="G38" s="1" t="s">
        <v>68</v>
      </c>
      <c r="H38" s="1" t="s">
        <v>68</v>
      </c>
      <c r="I38" s="1" t="s">
        <v>68</v>
      </c>
      <c r="J38" s="1" t="str">
        <f t="shared" si="0"/>
        <v>No</v>
      </c>
      <c r="O38" s="1" t="s">
        <v>35</v>
      </c>
      <c r="P38" s="1" t="s">
        <v>216</v>
      </c>
    </row>
    <row r="39" spans="1:16" s="1" customFormat="1" ht="28.8" x14ac:dyDescent="0.3">
      <c r="A39" s="1" t="s">
        <v>188</v>
      </c>
      <c r="B39" s="2" t="s">
        <v>217</v>
      </c>
      <c r="C39" s="1" t="s">
        <v>218</v>
      </c>
      <c r="D39" s="1">
        <v>2024</v>
      </c>
      <c r="E39" s="1" t="s">
        <v>219</v>
      </c>
      <c r="F39" s="1" t="s">
        <v>33</v>
      </c>
      <c r="G39" s="1" t="s">
        <v>34</v>
      </c>
      <c r="H39" s="1" t="s">
        <v>35</v>
      </c>
      <c r="I39" s="1" t="s">
        <v>35</v>
      </c>
      <c r="J39" s="1" t="str">
        <f t="shared" si="0"/>
        <v>No</v>
      </c>
      <c r="O39" s="1" t="s">
        <v>35</v>
      </c>
      <c r="P39" s="1" t="s">
        <v>220</v>
      </c>
    </row>
    <row r="40" spans="1:16" s="1" customFormat="1" x14ac:dyDescent="0.3">
      <c r="A40" s="1" t="s">
        <v>189</v>
      </c>
      <c r="B40" s="2" t="s">
        <v>221</v>
      </c>
      <c r="C40" s="2" t="s">
        <v>222</v>
      </c>
      <c r="D40" s="1">
        <v>2025</v>
      </c>
      <c r="E40" s="1" t="s">
        <v>223</v>
      </c>
      <c r="F40" s="1" t="s">
        <v>33</v>
      </c>
      <c r="G40" s="1" t="s">
        <v>34</v>
      </c>
      <c r="H40" s="1" t="s">
        <v>34</v>
      </c>
      <c r="I40" s="1" t="s">
        <v>35</v>
      </c>
      <c r="J40" s="1" t="str">
        <f t="shared" si="0"/>
        <v>No</v>
      </c>
      <c r="O40" s="1" t="s">
        <v>35</v>
      </c>
      <c r="P40" s="1" t="s">
        <v>224</v>
      </c>
    </row>
    <row r="41" spans="1:16" s="1" customFormat="1" x14ac:dyDescent="0.3">
      <c r="A41" s="1" t="s">
        <v>190</v>
      </c>
      <c r="B41" s="2" t="s">
        <v>225</v>
      </c>
      <c r="C41" s="1" t="s">
        <v>226</v>
      </c>
      <c r="D41" s="1">
        <v>2024</v>
      </c>
      <c r="E41" s="2" t="s">
        <v>227</v>
      </c>
      <c r="F41" s="1" t="s">
        <v>33</v>
      </c>
      <c r="G41" s="1" t="s">
        <v>34</v>
      </c>
      <c r="H41" s="1" t="s">
        <v>35</v>
      </c>
      <c r="I41" s="1" t="s">
        <v>34</v>
      </c>
      <c r="J41" s="1" t="str">
        <f t="shared" si="0"/>
        <v>No</v>
      </c>
      <c r="O41" s="1" t="s">
        <v>35</v>
      </c>
      <c r="P41" s="1" t="s">
        <v>77</v>
      </c>
    </row>
    <row r="42" spans="1:16" s="1" customFormat="1" x14ac:dyDescent="0.3">
      <c r="B42" s="2"/>
    </row>
    <row r="43" spans="1:16" s="1" customFormat="1" x14ac:dyDescent="0.3">
      <c r="B43" s="2"/>
    </row>
    <row r="44" spans="1:16" s="1" customFormat="1" x14ac:dyDescent="0.3">
      <c r="B44" s="2"/>
    </row>
    <row r="45" spans="1:16" s="1" customFormat="1" x14ac:dyDescent="0.3">
      <c r="B45" s="2"/>
    </row>
  </sheetData>
  <autoFilter ref="A1:P41" xr:uid="{00000000-0001-0000-0000-000000000000}"/>
  <phoneticPr fontId="7" type="noConversion"/>
  <conditionalFormatting sqref="A2:P50">
    <cfRule type="expression" dxfId="1" priority="5">
      <formula>$O2="No"</formula>
    </cfRule>
    <cfRule type="expression" dxfId="0" priority="6">
      <formula>$O2="Yes"</formula>
    </cfRule>
  </conditionalFormatting>
  <dataValidations count="2">
    <dataValidation type="list" allowBlank="1" showInputMessage="1" showErrorMessage="1" sqref="I2:I22 G2:H25 G26:G32 H26:H34" xr:uid="{0CE01EA3-9C8D-401A-9E4C-00A2363B8733}">
      <formula1>"Yes, No"</formula1>
    </dataValidation>
    <dataValidation type="list" allowBlank="1" showInputMessage="1" showErrorMessage="1" sqref="F2:F26 G2:G32 H2:H34" xr:uid="{DB5133D8-8071-4BBA-B7D6-8FEB610EA33D}">
      <formula1>"English, German, Other"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51A07FB-C558-4BEB-8A50-E6306D5BB710}">
          <x14:formula1>
            <xm:f>'Dropdown Lists'!$A$1:$A$5</xm:f>
          </x14:formula1>
          <xm:sqref>M2:M22</xm:sqref>
        </x14:dataValidation>
        <x14:dataValidation type="list" allowBlank="1" showInputMessage="1" showErrorMessage="1" xr:uid="{01FBE62C-7F89-469E-86D7-AB2E9F762851}">
          <x14:formula1>
            <xm:f>'Dropdown Lists'!$D$1:$D$3</xm:f>
          </x14:formula1>
          <xm:sqref>K2:L2 K5:L14 K16:L22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6AABB-EC0F-4B48-AFD9-707B329966D8}">
  <dimension ref="A1:G11"/>
  <sheetViews>
    <sheetView workbookViewId="0">
      <selection activeCell="B18" sqref="B18"/>
    </sheetView>
  </sheetViews>
  <sheetFormatPr baseColWidth="10" defaultRowHeight="14.4" x14ac:dyDescent="0.3"/>
  <cols>
    <col min="1" max="1" width="24.6640625" bestFit="1" customWidth="1"/>
    <col min="2" max="2" width="123" customWidth="1"/>
    <col min="3" max="3" width="96.33203125" customWidth="1"/>
    <col min="4" max="4" width="5" bestFit="1" customWidth="1"/>
    <col min="5" max="5" width="74" bestFit="1" customWidth="1"/>
    <col min="6" max="6" width="18.77734375" bestFit="1" customWidth="1"/>
    <col min="7" max="7" width="187.77734375" bestFit="1" customWidth="1"/>
    <col min="8" max="10" width="3.88671875" bestFit="1" customWidth="1"/>
    <col min="11" max="11" width="8.88671875" bestFit="1" customWidth="1"/>
    <col min="12" max="12" width="18.77734375" bestFit="1" customWidth="1"/>
    <col min="13" max="13" width="255.77734375" bestFit="1" customWidth="1"/>
  </cols>
  <sheetData>
    <row r="1" spans="1:7" x14ac:dyDescent="0.3">
      <c r="A1" s="16" t="s">
        <v>137</v>
      </c>
      <c r="B1" s="17">
        <f>COUNTIF('Criteria Check_Pilot Study'!O2:O41,"Yes")</f>
        <v>9</v>
      </c>
    </row>
    <row r="2" spans="1:7" x14ac:dyDescent="0.3">
      <c r="A2" s="14" t="s">
        <v>0</v>
      </c>
      <c r="B2" s="15" t="s">
        <v>1</v>
      </c>
      <c r="C2" s="14" t="s">
        <v>2</v>
      </c>
      <c r="D2" s="14" t="s">
        <v>3</v>
      </c>
      <c r="E2" s="14" t="s">
        <v>4</v>
      </c>
      <c r="F2" s="14" t="s">
        <v>9</v>
      </c>
      <c r="G2" s="14" t="s">
        <v>11</v>
      </c>
    </row>
    <row r="3" spans="1:7" x14ac:dyDescent="0.3">
      <c r="A3" t="str" cm="1">
        <f t="array" ref="A3:E11">_xlfn._xlws.FILTER('Criteria Check_Pilot Study'!A:E,'Criteria Check_Pilot Study'!O:O="Yes")</f>
        <v>PS2</v>
      </c>
      <c r="B3" t="str">
        <v>Practitioners’ Perceptions on the Adoption of Low Code Development Platforms</v>
      </c>
      <c r="C3" t="str">
        <v>Sebastian Käss; Susanne Strahringer; Markus Westner</v>
      </c>
      <c r="D3">
        <v>2023</v>
      </c>
      <c r="E3" t="str">
        <v>IEEE Access</v>
      </c>
      <c r="F3" t="str" cm="1">
        <f t="array" ref="F3:F11">_xlfn._xlws.FILTER('Criteria Check_Pilot Study'!M:M,'Criteria Check_Pilot Study'!O:O="Yes")</f>
        <v>Relevant</v>
      </c>
      <c r="G3" t="str" cm="1">
        <f t="array" ref="G3:G11">_xlfn._xlws.FILTER('Criteria Check_Pilot Study'!P:P, 'Criteria Check_Pilot Study'!O:O="Yes")</f>
        <v>Empirical evidence (interviews, delphi-study) on the adoption drivers and inhibitors of LCDP</v>
      </c>
    </row>
    <row r="4" spans="1:7" x14ac:dyDescent="0.3">
      <c r="A4" t="str">
        <v>PS3</v>
      </c>
      <c r="B4" t="str">
        <v>Low-code vs. the developer: An empirical study on the developer experience and efficiency of a no-code platform</v>
      </c>
      <c r="C4" t="str">
        <v>Till Guthardt, Jens Kosiol, Oliver Hohlfeld</v>
      </c>
      <c r="D4">
        <v>2024</v>
      </c>
      <c r="E4" t="str">
        <v>MODELS Companion '24</v>
      </c>
      <c r="F4" t="str">
        <v>Highly Relevant</v>
      </c>
      <c r="G4" t="str">
        <v>Highly Relevant for RQ1 (potential barriers in the business context); Moderately relevant for RQ2 (compares effectiveness of results between citizen developer and experienced programmers but both using NCDP)</v>
      </c>
    </row>
    <row r="5" spans="1:7" x14ac:dyDescent="0.3">
      <c r="A5" t="str">
        <v>PS7</v>
      </c>
      <c r="B5" t="str">
        <v>Unleash the Power of Citizen Development: Leveraging Organizational Capabilities for Successful Low-Code Development Platform Adoption</v>
      </c>
      <c r="C5" t="str">
        <v>Niculin Prinz, Melanie Huber, Justus Leonhardt, Constanze Riedinger</v>
      </c>
      <c r="D5">
        <v>2024</v>
      </c>
      <c r="E5" t="str">
        <v>Proceedings of the 57th Hawaii International Conference on System Sciences | 2024</v>
      </c>
      <c r="F5" t="str">
        <v>Relevant</v>
      </c>
      <c r="G5" t="str">
        <v>Addresses success factors for the adoption of LCDP in organizations</v>
      </c>
    </row>
    <row r="6" spans="1:7" x14ac:dyDescent="0.3">
      <c r="A6" t="str">
        <v>PS8</v>
      </c>
      <c r="B6" t="str">
        <v>A Multiple Mini Case Study on the Adoption of Low Code Development Platforms in Work Systems</v>
      </c>
      <c r="C6" t="str">
        <v>Sebastian Käss; Susanne Strahringer; Markus Westner</v>
      </c>
      <c r="D6">
        <v>2023</v>
      </c>
      <c r="E6" t="str">
        <v>IEEE Access</v>
      </c>
      <c r="F6" t="str">
        <v>Highly Relevant</v>
      </c>
      <c r="G6" t="str">
        <v>Empirical research derives 7 starting points for LC adoption for practicioners</v>
      </c>
    </row>
    <row r="7" spans="1:7" x14ac:dyDescent="0.3">
      <c r="A7" t="str">
        <v>PS14</v>
      </c>
      <c r="B7" t="str">
        <v>‘To Code, or Not to Code’: Unpacking the Understanding and Difficulties of Citizen Development Programs</v>
      </c>
      <c r="C7" t="str">
        <v>Björn Binzer, Till Winkler</v>
      </c>
      <c r="D7">
        <v>2024</v>
      </c>
      <c r="E7" t="str">
        <v>INFORMATIK 2024 Conference Paper</v>
      </c>
      <c r="F7" t="str">
        <v>Relevant</v>
      </c>
      <c r="G7">
        <v>0</v>
      </c>
    </row>
    <row r="8" spans="1:7" x14ac:dyDescent="0.3">
      <c r="A8" t="str">
        <v>PS15</v>
      </c>
      <c r="B8" t="str">
        <v>Citizen Development als Treiber der digitalen Transformation – Aktuelle Ansätze bei der Adoption von Low-Code Development Plattformen</v>
      </c>
      <c r="C8" t="str">
        <v>Niculin Prinz, Melanie Huber, Constanze Riedinger &amp; Christopher Rentrop</v>
      </c>
      <c r="D8">
        <v>2023</v>
      </c>
      <c r="E8" t="str">
        <v>HMD Praxis der Wirtschaftsinformatik</v>
      </c>
      <c r="F8" t="str">
        <v>Relevant</v>
      </c>
      <c r="G8" t="str">
        <v>praktische Adoptionsansätze, Experteninterviews, organisationelle Ansätze und Unterschiede</v>
      </c>
    </row>
    <row r="9" spans="1:7" x14ac:dyDescent="0.3">
      <c r="A9" t="str">
        <v>PS18</v>
      </c>
      <c r="B9" t="str">
        <v>Bridging Business and IT Through Low-Code/No-Code: Insights into Business-IT Collaboration in Enterprise Citizen Developer Programs</v>
      </c>
      <c r="C9" t="str">
        <v>Björn Binzer, Daniel Fürstenau, Till Winkler</v>
      </c>
      <c r="D9">
        <v>2025</v>
      </c>
      <c r="E9" t="str">
        <v>Proceedings of the 58th Hawaii International Conference on System Sciences | 2025</v>
      </c>
      <c r="F9" t="str">
        <v>Relevant</v>
      </c>
      <c r="G9" t="str">
        <v>Multi-case study, partially addresses RQ2</v>
      </c>
    </row>
    <row r="10" spans="1:7" x14ac:dyDescent="0.3">
      <c r="A10" t="str">
        <v>PS23</v>
      </c>
      <c r="B10" t="str">
        <v>A Maturity Model for Managing Low-Code Development Platform Adoption</v>
      </c>
      <c r="C10" t="str">
        <v>Niculin Prinz, Carsten Felden, Melanie Huber, Christopher Rentrop, Constanze Riedinger, Stephan Zimmermann</v>
      </c>
      <c r="D10">
        <v>2025</v>
      </c>
      <c r="E10" t="str">
        <v>PACIS 2025 Proceedings</v>
      </c>
      <c r="F10" t="str">
        <v>Highly Relevant</v>
      </c>
      <c r="G10" t="str">
        <v>Addresses adoption factors and state of research</v>
      </c>
    </row>
    <row r="11" spans="1:7" x14ac:dyDescent="0.3">
      <c r="A11" t="str">
        <v>PS32</v>
      </c>
      <c r="B11" t="str">
        <v>Towards a Maturity Model for Adopting Low-Code Development Platforms</v>
      </c>
      <c r="C11" t="str">
        <v>Niculin Prinz, Stephan Zimmermann</v>
      </c>
      <c r="D11">
        <v>2024</v>
      </c>
      <c r="E11" t="str">
        <v>PACIS 2024 Proceedings</v>
      </c>
      <c r="F11" t="str">
        <v>Highly Relevant</v>
      </c>
      <c r="G11" t="str">
        <v>Study involves both practicioners and scientists, brdiging context between RQ1 and RQ3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ADF46-CE07-4E48-8265-3A9FA1DBE575}">
  <dimension ref="A1:H24"/>
  <sheetViews>
    <sheetView topLeftCell="A2" zoomScale="70" zoomScaleNormal="70" workbookViewId="0">
      <selection activeCell="B12" sqref="B12"/>
    </sheetView>
  </sheetViews>
  <sheetFormatPr baseColWidth="10" defaultRowHeight="14.4" x14ac:dyDescent="0.3"/>
  <cols>
    <col min="1" max="1" width="7.88671875" style="18" bestFit="1" customWidth="1"/>
    <col min="2" max="2" width="31" style="18" customWidth="1"/>
    <col min="3" max="3" width="29.6640625" style="18" customWidth="1"/>
    <col min="4" max="4" width="25.6640625" style="18" customWidth="1"/>
    <col min="5" max="5" width="5.44140625" style="18" bestFit="1" customWidth="1"/>
    <col min="6" max="6" width="42.77734375" style="18" customWidth="1"/>
    <col min="7" max="7" width="255.77734375" style="18" bestFit="1" customWidth="1"/>
    <col min="8" max="8" width="19.5546875" style="18" bestFit="1" customWidth="1"/>
  </cols>
  <sheetData>
    <row r="1" spans="1:8" ht="28.8" x14ac:dyDescent="0.3">
      <c r="A1" s="21" t="s">
        <v>230</v>
      </c>
      <c r="B1" s="21" t="s">
        <v>1</v>
      </c>
      <c r="C1" s="21" t="s">
        <v>2</v>
      </c>
      <c r="D1" s="21" t="s">
        <v>4</v>
      </c>
      <c r="E1" s="21" t="s">
        <v>3</v>
      </c>
      <c r="F1" s="21" t="s">
        <v>231</v>
      </c>
      <c r="G1" s="21" t="s">
        <v>232</v>
      </c>
      <c r="H1" s="21" t="s">
        <v>233</v>
      </c>
    </row>
    <row r="2" spans="1:8" ht="72" x14ac:dyDescent="0.3">
      <c r="A2" s="22" t="s">
        <v>36</v>
      </c>
      <c r="B2" s="22" t="s">
        <v>37</v>
      </c>
      <c r="C2" s="22" t="s">
        <v>38</v>
      </c>
      <c r="D2" s="22" t="s">
        <v>40</v>
      </c>
      <c r="E2" s="22">
        <v>2023</v>
      </c>
      <c r="F2" s="25" t="s">
        <v>235</v>
      </c>
      <c r="G2" s="23" t="s">
        <v>236</v>
      </c>
      <c r="H2" s="18" t="s">
        <v>237</v>
      </c>
    </row>
    <row r="3" spans="1:8" ht="72" x14ac:dyDescent="0.3">
      <c r="A3" s="22" t="s">
        <v>42</v>
      </c>
      <c r="B3" s="22" t="s">
        <v>43</v>
      </c>
      <c r="C3" s="22" t="s">
        <v>44</v>
      </c>
      <c r="D3" s="22" t="s">
        <v>45</v>
      </c>
      <c r="E3" s="22">
        <v>2024</v>
      </c>
      <c r="F3" s="24" t="s">
        <v>234</v>
      </c>
      <c r="G3" s="22" t="s">
        <v>239</v>
      </c>
      <c r="H3" s="22" t="s">
        <v>238</v>
      </c>
    </row>
    <row r="4" spans="1:8" ht="129.6" x14ac:dyDescent="0.3">
      <c r="A4" s="22" t="s">
        <v>62</v>
      </c>
      <c r="B4" s="22" t="s">
        <v>63</v>
      </c>
      <c r="C4" s="22" t="s">
        <v>64</v>
      </c>
      <c r="D4" s="22" t="s">
        <v>65</v>
      </c>
      <c r="E4" s="22">
        <v>2024</v>
      </c>
      <c r="F4" s="24" t="s">
        <v>240</v>
      </c>
      <c r="G4" s="22" t="s">
        <v>241</v>
      </c>
      <c r="H4" s="22" t="s">
        <v>242</v>
      </c>
    </row>
    <row r="5" spans="1:8" ht="57.6" x14ac:dyDescent="0.3">
      <c r="A5" s="22" t="s">
        <v>72</v>
      </c>
      <c r="B5" s="22" t="s">
        <v>71</v>
      </c>
      <c r="C5" s="22" t="s">
        <v>38</v>
      </c>
      <c r="D5" s="22" t="s">
        <v>40</v>
      </c>
      <c r="E5" s="22">
        <v>2023</v>
      </c>
      <c r="F5" s="24" t="s">
        <v>263</v>
      </c>
      <c r="G5" s="22" t="s">
        <v>243</v>
      </c>
      <c r="H5" s="18" t="s">
        <v>244</v>
      </c>
    </row>
    <row r="6" spans="1:8" ht="72" x14ac:dyDescent="0.3">
      <c r="A6" s="22" t="s">
        <v>85</v>
      </c>
      <c r="B6" s="22" t="s">
        <v>104</v>
      </c>
      <c r="C6" s="22" t="s">
        <v>105</v>
      </c>
      <c r="D6" s="22" t="s">
        <v>106</v>
      </c>
      <c r="E6" s="22">
        <v>2024</v>
      </c>
      <c r="F6" s="24" t="s">
        <v>245</v>
      </c>
      <c r="G6" s="22" t="s">
        <v>246</v>
      </c>
      <c r="H6" s="22" t="s">
        <v>247</v>
      </c>
    </row>
    <row r="7" spans="1:8" ht="70.2" customHeight="1" x14ac:dyDescent="0.3">
      <c r="A7" s="22" t="s">
        <v>86</v>
      </c>
      <c r="B7" s="22" t="s">
        <v>108</v>
      </c>
      <c r="C7" s="22" t="s">
        <v>109</v>
      </c>
      <c r="D7" s="22" t="s">
        <v>110</v>
      </c>
      <c r="E7" s="22">
        <v>2023</v>
      </c>
      <c r="F7" s="24" t="s">
        <v>248</v>
      </c>
      <c r="G7" s="18" t="s">
        <v>249</v>
      </c>
      <c r="H7" s="18" t="s">
        <v>250</v>
      </c>
    </row>
    <row r="8" spans="1:8" ht="72" x14ac:dyDescent="0.3">
      <c r="A8" s="22" t="s">
        <v>89</v>
      </c>
      <c r="B8" s="22" t="s">
        <v>126</v>
      </c>
      <c r="C8" s="22" t="s">
        <v>127</v>
      </c>
      <c r="D8" s="22" t="s">
        <v>128</v>
      </c>
      <c r="E8" s="22">
        <v>2025</v>
      </c>
      <c r="F8" s="24" t="s">
        <v>253</v>
      </c>
      <c r="G8" s="18" t="s">
        <v>251</v>
      </c>
      <c r="H8" s="22" t="s">
        <v>252</v>
      </c>
    </row>
    <row r="9" spans="1:8" ht="100.8" x14ac:dyDescent="0.3">
      <c r="A9" s="22" t="s">
        <v>140</v>
      </c>
      <c r="B9" s="22" t="s">
        <v>155</v>
      </c>
      <c r="C9" s="22" t="s">
        <v>156</v>
      </c>
      <c r="D9" s="22" t="s">
        <v>157</v>
      </c>
      <c r="E9" s="22">
        <v>2025</v>
      </c>
      <c r="F9" s="22"/>
      <c r="G9" s="18" t="s">
        <v>254</v>
      </c>
      <c r="H9" s="18" t="s">
        <v>255</v>
      </c>
    </row>
    <row r="10" spans="1:8" ht="70.2" customHeight="1" x14ac:dyDescent="0.3">
      <c r="A10" s="22" t="s">
        <v>181</v>
      </c>
      <c r="B10" s="22" t="s">
        <v>191</v>
      </c>
      <c r="C10" s="22" t="s">
        <v>192</v>
      </c>
      <c r="D10" s="22" t="s">
        <v>193</v>
      </c>
      <c r="E10" s="22">
        <v>2024</v>
      </c>
      <c r="F10" s="24" t="s">
        <v>258</v>
      </c>
      <c r="G10" s="22" t="s">
        <v>256</v>
      </c>
      <c r="H10" s="22" t="s">
        <v>257</v>
      </c>
    </row>
    <row r="11" spans="1:8" ht="129.6" x14ac:dyDescent="0.3">
      <c r="A11" s="22" t="s">
        <v>182</v>
      </c>
      <c r="B11" s="22" t="s">
        <v>194</v>
      </c>
      <c r="C11" s="22" t="s">
        <v>195</v>
      </c>
      <c r="D11" s="22" t="s">
        <v>196</v>
      </c>
      <c r="E11" s="22">
        <v>2024</v>
      </c>
      <c r="F11" s="22"/>
      <c r="G11" s="18" t="s">
        <v>259</v>
      </c>
      <c r="H11" s="18" t="s">
        <v>260</v>
      </c>
    </row>
    <row r="12" spans="1:8" ht="86.4" x14ac:dyDescent="0.3">
      <c r="A12" s="22" t="s">
        <v>183</v>
      </c>
      <c r="B12" s="22" t="s">
        <v>201</v>
      </c>
      <c r="C12" s="22" t="s">
        <v>202</v>
      </c>
      <c r="D12" s="22" t="s">
        <v>203</v>
      </c>
      <c r="E12" s="22">
        <v>2024</v>
      </c>
      <c r="F12" s="22"/>
      <c r="G12" s="22" t="s">
        <v>261</v>
      </c>
      <c r="H12" s="22" t="s">
        <v>262</v>
      </c>
    </row>
    <row r="14" spans="1:8" x14ac:dyDescent="0.3">
      <c r="A14" s="19"/>
      <c r="B14" s="20"/>
      <c r="C14" s="20"/>
      <c r="D14" s="20"/>
      <c r="E14" s="19"/>
      <c r="F14" s="19"/>
      <c r="G14" s="19"/>
      <c r="H14" s="19"/>
    </row>
    <row r="15" spans="1:8" x14ac:dyDescent="0.3">
      <c r="C15"/>
      <c r="D15"/>
    </row>
    <row r="16" spans="1:8" x14ac:dyDescent="0.3">
      <c r="C16"/>
      <c r="D16"/>
    </row>
    <row r="17" spans="1:8" x14ac:dyDescent="0.3">
      <c r="A17" s="19"/>
      <c r="B17" s="19"/>
      <c r="C17" s="20"/>
      <c r="D17" s="19"/>
      <c r="E17" s="19"/>
      <c r="F17" s="19"/>
      <c r="G17" s="19"/>
      <c r="H17" s="19"/>
    </row>
    <row r="18" spans="1:8" x14ac:dyDescent="0.3">
      <c r="C18"/>
      <c r="D18"/>
    </row>
    <row r="19" spans="1:8" x14ac:dyDescent="0.3">
      <c r="A19" s="19"/>
      <c r="B19" s="19"/>
      <c r="C19" s="19"/>
      <c r="D19" s="19"/>
      <c r="E19" s="19"/>
      <c r="F19" s="19"/>
      <c r="G19" s="19"/>
      <c r="H19" s="19"/>
    </row>
    <row r="20" spans="1:8" x14ac:dyDescent="0.3">
      <c r="A20" s="19"/>
      <c r="B20" s="19"/>
      <c r="C20" s="20"/>
      <c r="D20" s="20"/>
      <c r="E20" s="19"/>
      <c r="F20" s="19"/>
      <c r="G20" s="19"/>
      <c r="H20" s="19"/>
    </row>
    <row r="21" spans="1:8" x14ac:dyDescent="0.3">
      <c r="A21" s="19"/>
      <c r="B21" s="20"/>
      <c r="C21" s="20"/>
      <c r="D21" s="19"/>
      <c r="E21" s="19"/>
      <c r="F21" s="19"/>
      <c r="G21" s="19"/>
      <c r="H21" s="19"/>
    </row>
    <row r="22" spans="1:8" x14ac:dyDescent="0.3">
      <c r="A22" s="19"/>
      <c r="B22" s="20"/>
      <c r="C22" s="20"/>
      <c r="D22" s="19"/>
      <c r="E22" s="19"/>
      <c r="F22" s="19"/>
      <c r="G22" s="19"/>
      <c r="H22" s="19"/>
    </row>
    <row r="23" spans="1:8" x14ac:dyDescent="0.3">
      <c r="A23" s="19"/>
      <c r="B23" s="19"/>
      <c r="C23" s="19"/>
      <c r="D23" s="19"/>
      <c r="E23" s="19"/>
      <c r="F23" s="19"/>
      <c r="G23" s="19"/>
      <c r="H23" s="19"/>
    </row>
    <row r="24" spans="1:8" x14ac:dyDescent="0.3">
      <c r="A24" s="19"/>
      <c r="B24" s="20"/>
      <c r="C24" s="20"/>
      <c r="D24" s="20"/>
      <c r="E24" s="19"/>
      <c r="F24" s="19"/>
      <c r="G24" s="19"/>
      <c r="H24" s="19"/>
    </row>
  </sheetData>
  <hyperlinks>
    <hyperlink ref="F3" r:id="rId1" xr:uid="{608C8B7B-D4E0-400A-8EF4-680AAF926814}"/>
    <hyperlink ref="F8" r:id="rId2" display="https://hdl.handle.net/10125/108890" xr:uid="{996F83EB-D6F1-4A72-A82F-DF49D4D039C6}"/>
    <hyperlink ref="F6" r:id="rId3" xr:uid="{F1D132F6-B5E2-487B-A72D-CAE3900D1D64}"/>
    <hyperlink ref="F7" r:id="rId4" xr:uid="{A8FA6950-D477-442E-B2C3-B97F5928222F}"/>
    <hyperlink ref="F10" r:id="rId5" xr:uid="{17BDFD36-030B-477D-8200-DCFAD9DFC434}"/>
    <hyperlink ref="F2" r:id="rId6" xr:uid="{6D444F9A-5706-426A-8C00-08E013979988}"/>
    <hyperlink ref="F4" r:id="rId7" xr:uid="{F97C031A-13F8-4AF7-8E0D-4B8ACF2D1AC5}"/>
    <hyperlink ref="F5" r:id="rId8" xr:uid="{B892F166-6F09-4EA0-8751-F3D26F4AD92B}"/>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AF07-4DA5-4948-92D0-7C5955F4012D}">
  <dimension ref="A1:H10"/>
  <sheetViews>
    <sheetView workbookViewId="0">
      <selection activeCell="G2" sqref="G2"/>
    </sheetView>
  </sheetViews>
  <sheetFormatPr baseColWidth="10" defaultRowHeight="14.4" x14ac:dyDescent="0.3"/>
  <cols>
    <col min="1" max="1" width="11.5546875" style="28"/>
    <col min="2" max="2" width="15.5546875" customWidth="1"/>
    <col min="3" max="3" width="13.6640625" style="28" customWidth="1"/>
    <col min="4" max="4" width="22.109375" style="28" customWidth="1"/>
    <col min="8" max="8" width="13.77734375" bestFit="1" customWidth="1"/>
  </cols>
  <sheetData>
    <row r="1" spans="1:8" x14ac:dyDescent="0.3">
      <c r="A1" s="26" t="s">
        <v>230</v>
      </c>
      <c r="B1" s="21" t="s">
        <v>1</v>
      </c>
      <c r="C1" s="26" t="s">
        <v>2</v>
      </c>
      <c r="D1" s="26" t="s">
        <v>4</v>
      </c>
      <c r="E1" s="21" t="s">
        <v>264</v>
      </c>
      <c r="H1" s="29" t="s">
        <v>278</v>
      </c>
    </row>
    <row r="2" spans="1:8" ht="86.4" x14ac:dyDescent="0.3">
      <c r="A2" s="27" t="s">
        <v>36</v>
      </c>
      <c r="B2" s="22" t="s">
        <v>37</v>
      </c>
      <c r="C2" s="27" t="s">
        <v>38</v>
      </c>
      <c r="D2" s="27" t="s">
        <v>40</v>
      </c>
      <c r="E2" s="27" t="s">
        <v>265</v>
      </c>
      <c r="H2" t="str" cm="1">
        <f t="array" ref="H2:H6">_xlfn.UNIQUE(E2:E10)</f>
        <v>IEEE Xplore</v>
      </c>
    </row>
    <row r="3" spans="1:8" ht="100.8" x14ac:dyDescent="0.3">
      <c r="A3" s="27" t="s">
        <v>42</v>
      </c>
      <c r="B3" s="22" t="s">
        <v>43</v>
      </c>
      <c r="C3" s="27" t="s">
        <v>44</v>
      </c>
      <c r="D3" s="27" t="s">
        <v>45</v>
      </c>
      <c r="E3" s="27" t="s">
        <v>266</v>
      </c>
      <c r="H3" t="str">
        <v>ACM DL</v>
      </c>
    </row>
    <row r="4" spans="1:8" ht="158.4" x14ac:dyDescent="0.3">
      <c r="A4" s="27" t="s">
        <v>62</v>
      </c>
      <c r="B4" s="22" t="s">
        <v>63</v>
      </c>
      <c r="C4" s="27" t="s">
        <v>64</v>
      </c>
      <c r="D4" s="27" t="s">
        <v>65</v>
      </c>
      <c r="E4" s="27" t="s">
        <v>267</v>
      </c>
      <c r="H4" t="str">
        <v>AIS eLibrary</v>
      </c>
    </row>
    <row r="5" spans="1:8" ht="100.8" x14ac:dyDescent="0.3">
      <c r="A5" s="27" t="s">
        <v>72</v>
      </c>
      <c r="B5" s="22" t="s">
        <v>71</v>
      </c>
      <c r="C5" s="27" t="s">
        <v>38</v>
      </c>
      <c r="D5" s="27" t="s">
        <v>40</v>
      </c>
      <c r="E5" s="27" t="s">
        <v>265</v>
      </c>
      <c r="H5" t="str">
        <v>GI DL</v>
      </c>
    </row>
    <row r="6" spans="1:8" ht="115.2" x14ac:dyDescent="0.3">
      <c r="A6" s="27" t="s">
        <v>85</v>
      </c>
      <c r="B6" s="22" t="s">
        <v>104</v>
      </c>
      <c r="C6" s="27" t="s">
        <v>105</v>
      </c>
      <c r="D6" s="27" t="s">
        <v>106</v>
      </c>
      <c r="E6" s="27" t="s">
        <v>268</v>
      </c>
      <c r="H6" t="str">
        <v>DBLP</v>
      </c>
    </row>
    <row r="7" spans="1:8" ht="144" x14ac:dyDescent="0.3">
      <c r="A7" s="27" t="s">
        <v>86</v>
      </c>
      <c r="B7" s="22" t="s">
        <v>108</v>
      </c>
      <c r="C7" s="27" t="s">
        <v>109</v>
      </c>
      <c r="D7" s="27" t="s">
        <v>110</v>
      </c>
      <c r="E7" s="27" t="s">
        <v>269</v>
      </c>
    </row>
    <row r="8" spans="1:8" ht="129.6" x14ac:dyDescent="0.3">
      <c r="A8" s="27" t="s">
        <v>89</v>
      </c>
      <c r="B8" s="22" t="s">
        <v>126</v>
      </c>
      <c r="C8" s="27" t="s">
        <v>127</v>
      </c>
      <c r="D8" s="27" t="s">
        <v>128</v>
      </c>
      <c r="E8" s="27" t="s">
        <v>267</v>
      </c>
    </row>
    <row r="9" spans="1:8" ht="155.4" customHeight="1" x14ac:dyDescent="0.3">
      <c r="A9" s="27" t="s">
        <v>140</v>
      </c>
      <c r="B9" s="22" t="s">
        <v>155</v>
      </c>
      <c r="C9" s="27" t="s">
        <v>156</v>
      </c>
      <c r="D9" s="27" t="s">
        <v>157</v>
      </c>
      <c r="E9" s="27" t="s">
        <v>267</v>
      </c>
    </row>
    <row r="10" spans="1:8" ht="86.4" x14ac:dyDescent="0.3">
      <c r="A10" s="27" t="s">
        <v>182</v>
      </c>
      <c r="B10" s="22" t="s">
        <v>194</v>
      </c>
      <c r="C10" s="27" t="s">
        <v>195</v>
      </c>
      <c r="D10" s="27" t="s">
        <v>196</v>
      </c>
      <c r="E10" s="27" t="s">
        <v>267</v>
      </c>
    </row>
  </sheetData>
  <autoFilter ref="A1:E10" xr:uid="{7C26AF07-4DA5-4948-92D0-7C5955F4012D}"/>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A88E-B4EA-40C6-9202-33754E2CC52E}">
  <dimension ref="A1:H2"/>
  <sheetViews>
    <sheetView workbookViewId="0">
      <selection activeCell="B11" sqref="B11"/>
    </sheetView>
  </sheetViews>
  <sheetFormatPr baseColWidth="10" defaultRowHeight="14.4" x14ac:dyDescent="0.3"/>
  <cols>
    <col min="2" max="2" width="12.109375" bestFit="1" customWidth="1"/>
    <col min="3" max="3" width="23.88671875" bestFit="1" customWidth="1"/>
    <col min="4" max="4" width="14.6640625" bestFit="1" customWidth="1"/>
    <col min="5" max="5" width="21.21875" bestFit="1" customWidth="1"/>
    <col min="6" max="6" width="17.33203125" bestFit="1" customWidth="1"/>
    <col min="7" max="7" width="17.109375" bestFit="1" customWidth="1"/>
    <col min="8" max="8" width="8.44140625" bestFit="1" customWidth="1"/>
  </cols>
  <sheetData>
    <row r="1" spans="1:8" x14ac:dyDescent="0.3">
      <c r="A1" t="s">
        <v>270</v>
      </c>
      <c r="B1" t="s">
        <v>271</v>
      </c>
      <c r="C1" t="s">
        <v>272</v>
      </c>
      <c r="D1" t="s">
        <v>273</v>
      </c>
      <c r="E1" t="s">
        <v>274</v>
      </c>
      <c r="F1" t="s">
        <v>275</v>
      </c>
      <c r="G1" t="s">
        <v>276</v>
      </c>
      <c r="H1" t="s">
        <v>277</v>
      </c>
    </row>
    <row r="2" spans="1:8" x14ac:dyDescent="0.3">
      <c r="A2">
        <v>40</v>
      </c>
      <c r="B2">
        <v>13</v>
      </c>
      <c r="C2">
        <v>4</v>
      </c>
      <c r="D2">
        <v>8</v>
      </c>
      <c r="E2">
        <v>5</v>
      </c>
      <c r="F2">
        <v>1</v>
      </c>
      <c r="G2">
        <v>0</v>
      </c>
      <c r="H2">
        <f>A2-(SUM(B2:G2))</f>
        <v>9</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439C-532A-4720-9472-3350083C5087}">
  <dimension ref="A1:E5"/>
  <sheetViews>
    <sheetView workbookViewId="0">
      <selection activeCell="D6" sqref="D6"/>
    </sheetView>
  </sheetViews>
  <sheetFormatPr baseColWidth="10" defaultRowHeight="14.4" x14ac:dyDescent="0.3"/>
  <cols>
    <col min="1" max="1" width="18.77734375" bestFit="1" customWidth="1"/>
    <col min="2" max="2" width="63.21875" bestFit="1" customWidth="1"/>
  </cols>
  <sheetData>
    <row r="1" spans="1:5" x14ac:dyDescent="0.3">
      <c r="A1" t="s">
        <v>12</v>
      </c>
      <c r="B1" t="s">
        <v>17</v>
      </c>
      <c r="D1" t="s">
        <v>22</v>
      </c>
      <c r="E1" t="s">
        <v>25</v>
      </c>
    </row>
    <row r="2" spans="1:5" x14ac:dyDescent="0.3">
      <c r="A2" t="s">
        <v>13</v>
      </c>
      <c r="B2" t="s">
        <v>18</v>
      </c>
      <c r="D2" t="s">
        <v>23</v>
      </c>
      <c r="E2" t="s">
        <v>26</v>
      </c>
    </row>
    <row r="3" spans="1:5" x14ac:dyDescent="0.3">
      <c r="A3" t="s">
        <v>14</v>
      </c>
      <c r="B3" t="s">
        <v>19</v>
      </c>
      <c r="D3" t="s">
        <v>24</v>
      </c>
      <c r="E3" t="s">
        <v>27</v>
      </c>
    </row>
    <row r="4" spans="1:5" x14ac:dyDescent="0.3">
      <c r="A4" t="s">
        <v>15</v>
      </c>
      <c r="B4" t="s">
        <v>20</v>
      </c>
    </row>
    <row r="5" spans="1:5" x14ac:dyDescent="0.3">
      <c r="A5" t="s">
        <v>16</v>
      </c>
      <c r="B5" t="s">
        <v>21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Criteria Check_Pilot Study</vt:lpstr>
      <vt:lpstr>QGS Corpus</vt:lpstr>
      <vt:lpstr>QGS Details</vt:lpstr>
      <vt:lpstr>Database Selection</vt:lpstr>
      <vt:lpstr>Exclusion Metrics</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laras</dc:creator>
  <cp:lastModifiedBy>Schwabe, Lara</cp:lastModifiedBy>
  <dcterms:created xsi:type="dcterms:W3CDTF">2015-06-05T18:19:34Z</dcterms:created>
  <dcterms:modified xsi:type="dcterms:W3CDTF">2025-11-23T18:22:49Z</dcterms:modified>
</cp:coreProperties>
</file>