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laras\Desktop\"/>
    </mc:Choice>
  </mc:AlternateContent>
  <xr:revisionPtr revIDLastSave="0" documentId="13_ncr:1_{23CFFBDC-CFF2-4D8E-8D2F-8ACFB5A89B10}" xr6:coauthVersionLast="47" xr6:coauthVersionMax="47" xr10:uidLastSave="{00000000-0000-0000-0000-000000000000}"/>
  <bookViews>
    <workbookView xWindow="-108" yWindow="-108" windowWidth="23256" windowHeight="13896" xr2:uid="{00000000-000D-0000-FFFF-FFFF00000000}"/>
  </bookViews>
  <sheets>
    <sheet name="Data Extraction Table" sheetId="1" r:id="rId1"/>
    <sheet name="Summary tables" sheetId="2" r:id="rId2"/>
  </sheets>
  <definedNames>
    <definedName name="_xlnm._FilterDatabase" localSheetId="0" hidden="1">'Data Extraction Table'!$A$2:$J$64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2" l="1"/>
  <c r="H4" i="2"/>
  <c r="H2" i="2"/>
  <c r="G4" i="2"/>
  <c r="G3" i="2"/>
  <c r="G2" i="2"/>
  <c r="M26" i="1"/>
  <c r="M32" i="1"/>
  <c r="M34" i="1"/>
  <c r="M7" i="1"/>
  <c r="M59" i="1"/>
  <c r="M39" i="1"/>
  <c r="M40" i="1"/>
  <c r="M29" i="1"/>
  <c r="M21" i="1"/>
  <c r="M54" i="1"/>
  <c r="M55" i="1"/>
  <c r="M16" i="1"/>
  <c r="M5" i="1"/>
  <c r="M63" i="1"/>
  <c r="M64" i="1"/>
  <c r="M58" i="1"/>
  <c r="M60" i="1"/>
  <c r="M31" i="1"/>
  <c r="M23" i="1"/>
  <c r="M36" i="1"/>
  <c r="M37" i="1"/>
  <c r="M19" i="1"/>
  <c r="M25" i="1"/>
  <c r="M33" i="1"/>
  <c r="M44" i="1"/>
  <c r="M46" i="1"/>
  <c r="M48" i="1"/>
  <c r="M49" i="1"/>
  <c r="M50" i="1"/>
  <c r="M53" i="1"/>
  <c r="M56" i="1"/>
  <c r="M57" i="1"/>
  <c r="M6" i="1"/>
  <c r="M9" i="1"/>
  <c r="M13" i="1"/>
  <c r="M14" i="1"/>
  <c r="M15" i="1"/>
  <c r="M17" i="1"/>
  <c r="M11" i="1"/>
  <c r="M62" i="1"/>
  <c r="M61" i="1"/>
  <c r="M35" i="1"/>
  <c r="M12" i="1"/>
  <c r="M38" i="1"/>
  <c r="M41" i="1"/>
  <c r="M42" i="1"/>
  <c r="M20" i="1"/>
  <c r="M22" i="1"/>
  <c r="M24" i="1"/>
  <c r="M27" i="1"/>
  <c r="M28" i="1"/>
  <c r="M30" i="1"/>
  <c r="M43" i="1"/>
  <c r="M45" i="1"/>
  <c r="M47" i="1"/>
  <c r="M51" i="1"/>
  <c r="M52" i="1"/>
  <c r="M3" i="1"/>
  <c r="M18" i="1"/>
  <c r="M4" i="1"/>
  <c r="M8" i="1"/>
  <c r="M10" i="1"/>
  <c r="L26" i="1"/>
  <c r="L32" i="1"/>
  <c r="L34" i="1"/>
  <c r="L7" i="1"/>
  <c r="L59" i="1"/>
  <c r="L39" i="1"/>
  <c r="L40" i="1"/>
  <c r="L29" i="1"/>
  <c r="L21" i="1"/>
  <c r="L54" i="1"/>
  <c r="L55" i="1"/>
  <c r="L16" i="1"/>
  <c r="L5" i="1"/>
  <c r="L63" i="1"/>
  <c r="L64" i="1"/>
  <c r="L58" i="1"/>
  <c r="L60" i="1"/>
  <c r="L31" i="1"/>
  <c r="L23" i="1"/>
  <c r="L36" i="1"/>
  <c r="L37" i="1"/>
  <c r="L19" i="1"/>
  <c r="L25" i="1"/>
  <c r="L33" i="1"/>
  <c r="L44" i="1"/>
  <c r="L46" i="1"/>
  <c r="L48" i="1"/>
  <c r="L49" i="1"/>
  <c r="L50" i="1"/>
  <c r="L53" i="1"/>
  <c r="L56" i="1"/>
  <c r="L57" i="1"/>
  <c r="L6" i="1"/>
  <c r="L9" i="1"/>
  <c r="L13" i="1"/>
  <c r="L14" i="1"/>
  <c r="L15" i="1"/>
  <c r="L17" i="1"/>
  <c r="L11" i="1"/>
  <c r="L62" i="1"/>
  <c r="L61" i="1"/>
  <c r="L35" i="1"/>
  <c r="L12" i="1"/>
  <c r="L38" i="1"/>
  <c r="L41" i="1"/>
  <c r="L42" i="1"/>
  <c r="L20" i="1"/>
  <c r="L22" i="1"/>
  <c r="L24" i="1"/>
  <c r="L27" i="1"/>
  <c r="L28" i="1"/>
  <c r="L30" i="1"/>
  <c r="L43" i="1"/>
  <c r="L45" i="1"/>
  <c r="L47" i="1"/>
  <c r="L51" i="1"/>
  <c r="L52" i="1"/>
  <c r="L3" i="1"/>
  <c r="L18" i="1"/>
  <c r="L4" i="1"/>
  <c r="L8" i="1"/>
  <c r="L10" i="1"/>
  <c r="K26" i="1"/>
  <c r="K32" i="1"/>
  <c r="K34" i="1"/>
  <c r="K7" i="1"/>
  <c r="K59" i="1"/>
  <c r="K39" i="1"/>
  <c r="K40" i="1"/>
  <c r="K29" i="1"/>
  <c r="K21" i="1"/>
  <c r="K54" i="1"/>
  <c r="K55" i="1"/>
  <c r="K16" i="1"/>
  <c r="K5" i="1"/>
  <c r="K63" i="1"/>
  <c r="K64" i="1"/>
  <c r="K58" i="1"/>
  <c r="K60" i="1"/>
  <c r="K31" i="1"/>
  <c r="K23" i="1"/>
  <c r="K36" i="1"/>
  <c r="K37" i="1"/>
  <c r="K19" i="1"/>
  <c r="K25" i="1"/>
  <c r="K33" i="1"/>
  <c r="K44" i="1"/>
  <c r="K46" i="1"/>
  <c r="K48" i="1"/>
  <c r="K49" i="1"/>
  <c r="K50" i="1"/>
  <c r="K53" i="1"/>
  <c r="K56" i="1"/>
  <c r="K57" i="1"/>
  <c r="K6" i="1"/>
  <c r="K9" i="1"/>
  <c r="K13" i="1"/>
  <c r="K14" i="1"/>
  <c r="K15" i="1"/>
  <c r="K17" i="1"/>
  <c r="K11" i="1"/>
  <c r="K62" i="1"/>
  <c r="K61" i="1"/>
  <c r="K35" i="1"/>
  <c r="K12" i="1"/>
  <c r="K38" i="1"/>
  <c r="K41" i="1"/>
  <c r="K42" i="1"/>
  <c r="K20" i="1"/>
  <c r="K22" i="1"/>
  <c r="K24" i="1"/>
  <c r="K27" i="1"/>
  <c r="K28" i="1"/>
  <c r="K30" i="1"/>
  <c r="K43" i="1"/>
  <c r="K45" i="1"/>
  <c r="K47" i="1"/>
  <c r="K51" i="1"/>
  <c r="K52" i="1"/>
  <c r="K3" i="1"/>
  <c r="K18" i="1"/>
  <c r="K4" i="1"/>
  <c r="K8" i="1"/>
  <c r="K10" i="1"/>
  <c r="B3" i="2" l="1"/>
  <c r="C3" i="2" s="1"/>
  <c r="B2" i="2"/>
  <c r="C2" i="2" s="1"/>
  <c r="B4" i="2"/>
  <c r="C4" i="2" s="1"/>
</calcChain>
</file>

<file path=xl/sharedStrings.xml><?xml version="1.0" encoding="utf-8"?>
<sst xmlns="http://schemas.openxmlformats.org/spreadsheetml/2006/main" count="586" uniqueCount="446">
  <si>
    <t>Study ID</t>
  </si>
  <si>
    <t>Title</t>
  </si>
  <si>
    <t>Authors</t>
  </si>
  <si>
    <t>Year</t>
  </si>
  <si>
    <t>Venue</t>
  </si>
  <si>
    <t>Research Method</t>
  </si>
  <si>
    <t>Key Findings</t>
  </si>
  <si>
    <t>Mapped RQ</t>
  </si>
  <si>
    <t>DB05</t>
  </si>
  <si>
    <t>Bridging Business and IT Through Low-Code/No-Code: Insights into Business-IT Collaboration in Enterprise Citizen Developer Programs.</t>
  </si>
  <si>
    <t>Björn Binzer; Daniel Fürstenau; Till J. Winkler</t>
  </si>
  <si>
    <t>HICSS</t>
  </si>
  <si>
    <t>How is business-IT collaboration in firm-wide citizen development programs organized?</t>
  </si>
  <si>
    <t>Multi-case study across 18 firms engaged in citizen development programs.;Conducted interviews with 22 individuals who lead or influence such programs to gather qualitative insights.</t>
  </si>
  <si>
    <t>Identified 20 collaboration measures across five mechanisms (self-empowerment, ideation generation, coordinated scaling, project execution, professional catalyst); identified four distinct modes of business-IT collaboration; provides practical guidance for enhancing business-IT collaboration through citizen development initiatives.</t>
  </si>
  <si>
    <t>DB07</t>
  </si>
  <si>
    <t>A Multiple Mini Case Study on the Adoption of Low Code Development Platforms in Work Systems.</t>
  </si>
  <si>
    <t>Sebastian Käss; Susanne Strahringer; Markus Westner</t>
  </si>
  <si>
    <t>IEEE Access Vol. 11</t>
  </si>
  <si>
    <t>What factors determine low-code development platform (LCDP) adoption in work systems? Which combinations of these factors lead to LCDP adoption in work systems?</t>
  </si>
  <si>
    <t>Multiple mini case study, with 36 cases across large organizations using semi-structured interviews of decision-makers, analyzed using a combinatorial framework combining Socio-Technical Systems theory and the Technology-Organizational-Environment (TOE) model</t>
  </si>
  <si>
    <t>Three archetypes for LCDP adoption identified (Application Development Democratisers, Synergy Realisers, IT Resource Shortage Mitigators) and one for non-adoption (Intricacy Adversaries); LCDP adoption is driven by combinations of factors (especially expected efficiency improvements, application sophistication, compatibility, and IT capabilities), while too high application sophistication is a sufficient factor for non-adoption; joint optimization of technical and social subsystems is important for adoption, and practitioners should use these findings to structure LCDP adoption decisions.</t>
  </si>
  <si>
    <t>RQ1, RQ2</t>
  </si>
  <si>
    <t>DB13</t>
  </si>
  <si>
    <t>Citizen Development als Treiber der digitalen Transformation - Aktuelle Ansätze bei der Adoption von Low-Code Development Plattformen.</t>
  </si>
  <si>
    <t>Niculin Prinz; Melanie Huber; Constanze Riedinger; Christopher Rentrop</t>
  </si>
  <si>
    <t>HMD Prax. Wirtsch. Vol. 61</t>
  </si>
  <si>
    <t>Wie sehen PraktikerInnen das Thema LCDP?; Wie führen Organisationen LCDPs ein?; Wie nutzen Organisationen aktuell LCDPs?</t>
  </si>
  <si>
    <t>Qualitative empirical interview study with 21 interviews of citizen development and low-code/no-code leaders from 16 companies, analyzed to identify recurring drivers and phased models</t>
  </si>
  <si>
    <t>Identified several principal drivers (such as efficiency, innovation, digitalization strategies) for citizen development and a four-phase model for citizen development initiatives, offering detailed insight into how these initiatives mature and which conditions facilitate their success.</t>
  </si>
  <si>
    <t>DB16</t>
  </si>
  <si>
    <t>RQ1: What are drivers and inhibitors of LCDP adoption? RQ2: What is the importance of these drivers and inhibitors for LCDP adoption?</t>
  </si>
  <si>
    <t>Semi-structured qualitative interviews and a ranking-type Delphi study with 17 experts (consultants, line managers, and sales executives) to empirically identify, categorize, and rank drivers and inhibitors for LCDP adoption</t>
  </si>
  <si>
    <t>Identified 12 drivers and 19 inhibitors for LCDP adoption, including six new drivers and six new inhibitors not previously covered in literature, and revealed that consensus among experts is highest for the most and least important drivers/inhibitors while relative importance for others is context-dependent (e.g., organization, adopted platform, expert background); findings provide empirical validation and a nuanced ranking to support decision-making for practitioners considering LCDP adoption.</t>
  </si>
  <si>
    <t>RQ1</t>
  </si>
  <si>
    <t>DB17</t>
  </si>
  <si>
    <t>EDALoCo: Enhancing the accessibility of blockchains through a low-code approach to the development of event-driven applications for smart contract management.</t>
  </si>
  <si>
    <t>Jesús Rosa-Bilbao; Juan Boubeta-Puig; Adrian Rutle</t>
  </si>
  <si>
    <t>Comput. Stand. Interfaces Vol. 84</t>
  </si>
  <si>
    <t>This paper aims to propose a low-code approach, called EDALoCo, that allows software developers, who are non-blockchain experts, to develop event-driven applications for easily compiling, deploying, monitoring, and interacting with smart contracts in real time.</t>
  </si>
  <si>
    <t>Design and implementation of a technical solution (EDALoCo) as an open-source extension for Node-RED, followed by demonstration and evaluation in a real-world IoT blockchain case study tracking vaccine temperatures using Ethereum smart contracts on a lightweight device (Raspberry Pi), with both functional and performance assessment</t>
  </si>
  <si>
    <t>Demonstrates that EDALoCo enables non-blockchain-expert developers to model, deploy, monitor, and interact with smart contracts using a graphical low-code interface; applications can run on lightweight devices; records are made immutable and traceable on the blockchain; performance evaluation shows low resource requirements, validating feasibility for real-world, resource-constrained domains.</t>
  </si>
  <si>
    <t>DB18</t>
  </si>
  <si>
    <t>Evaluating the usability of a system implemented on a DEMO based low-code platform.</t>
  </si>
  <si>
    <t>David Aveiro; Vítor Freitas</t>
  </si>
  <si>
    <t>PoEM Companion</t>
  </si>
  <si>
    <t>The study presented in this paper aims to validate and assess the usability of DISME in terms of the final user of an information system.</t>
  </si>
  <si>
    <t>Comprehensive usability assessment conducted after implementing an Information System for Cognitive Rehabilitation (NexusBRaNT) within the DEMO-based low-code platform DISME. Employed both qualitative (Think Aloud method) and quantitative (System Usability Scale) techniques with ten health professionals in psychology to gather user feedback and measure usability scores</t>
  </si>
  <si>
    <t>The Think Aloud method revealed the platform to be engaging, intuitive, visually appealing, and user-friendly, while providing suggestions for further improvements. The System Usability Scale assessment produced a high average usability score of 89.25, indicating a favorable overall user experience. The study concludes that DISME enables rapid and effective implementation of information systems with high user satisfaction, though results should be interpreted cautiously due to the small sample size.</t>
  </si>
  <si>
    <t>DB20</t>
  </si>
  <si>
    <t>Anomaly Detection and Business Process Orchestration for Low-Code Platform in Power System Based on Deep-Cross Model With Data Balancing.</t>
  </si>
  <si>
    <t>Jin Huang; Ming Sheng Xu; Chang Ming Zhu; Guo An Wang</t>
  </si>
  <si>
    <t>IEEE Access Vol. 13</t>
  </si>
  <si>
    <t>This paper presents an innovative approach to anomaly detection in electric vehicle (EV) charging platforms, centered around four key innovations that significantly advance the field of charging infrastructure security,</t>
  </si>
  <si>
    <t>Designed and validated a multi-component technical framework that integrates a statistically robust data balancing technique, a novel deep learning architecture (xDeepCIN), a hierarchical feature interaction mechanism, and an adaptive processing framework for asynchronous heterogeneous data streams. The approach was tested on extensive real-world datasets from third-party EV charging platforms and several public datasets, evaluating performance using metrics like AUC and F1-score.</t>
  </si>
  <si>
    <t>The proposed framework achieved up to 47% improvement in detection accuracy through data balancing, 28% reduction in feature sparsity, 35% improvement in anomaly pattern recognition, and 62% reduction in detection latency, with an AUC of 0.93 and F1-score of 0.97. It demonstrated robust performance across different anomaly types, scalability with large data volumes and high feature dimensions, and the ability to prevent an estimated 85% of serious infrastructure failures in the growing EV charging market in China.</t>
  </si>
  <si>
    <t>DB23</t>
  </si>
  <si>
    <t>Understanding Low-Code Evolution, Adoption and Ecosystem for Software Development.</t>
  </si>
  <si>
    <t>Syed Asad Ali Naqvi; Paul Drews</t>
  </si>
  <si>
    <t>ICSOB Companion</t>
  </si>
  <si>
    <t>RQ1: What is low-code? RQ2: Why and how do organizations adopt low-code? RQ3: What are the current low-code ecosystems and future research directions for low-code?</t>
  </si>
  <si>
    <t>Combined literature review (analyzing over 100 low-code publications) and a mixed-methods empirical approach, including 18 semi-structured expert interviews, 654 user reviews analysis, and multiple case studies in private and public sector settings; also includes ecosystem mapping using technology partnership data for 16 leading platforms and impact analysis for generative AI</t>
  </si>
  <si>
    <t>Identifies six main research streams in low-code literature and offers a synthesized definition; develops a model of factors supporting or hindering low-code adoption; provides use cases for low-code in established organizations and public sector crises; maps the current technology ecosystem with nine types of technology partnerships and over 1,000 relationships; preliminary findings suggest generative AI is both a complement and a challenge to the low-code ecosystem, with future research directions outlined.</t>
  </si>
  <si>
    <t>AS01</t>
  </si>
  <si>
    <t>Lightweight Shackles Still Bind: Lock-In Effects In Low-Code Development</t>
  </si>
  <si>
    <t>Peter Alois François</t>
  </si>
  <si>
    <t>ICIS 2025 Proceedings</t>
  </si>
  <si>
    <t>The main objective of the article is to investigate "the different mechanisms leading to lock-in when employing low-code automation." The article specifically seeks to explain "how and when these lock-in effects arise" in organizations using low-code development platforms (LCDP) (verbatim from the introduction)</t>
  </si>
  <si>
    <t>The study employs a mixed-method approach: (1) A structured literature review on low-code and lock-in, following grounded theory procedures to build an initial model, and (2) validation and refinement of findings through seven semi-structured expert interviews with practitioners from organizations in varied industries, analyzed via system dynamics (using Senge's 'shifting the burden' model)</t>
  </si>
  <si>
    <t>Five distinct system dynamics loops/mechanisms were conceptualized as central to low-code-lock-in:
IT-Cleansing-Loop (removing unfit core systems, no low-code, no lock-in)
Low-Code-Add-On-Loop (using LCDP as a quick fix, reducing the incentive to fundamentally solve core issues)
System-Lock-In-Loop (lock-in from proprietary components, non-transferable knowledge, institutionalized processes, and specialized staff)
Core-Reliance-Loop (tight, sometimes hidden, integration with core IT, making change more challenging)
Low-Code-Becomes-Core-Loop (gradual complexity and relevance growth until low-code becomes as rigid as traditional core IT)
The model reveals that lock-in mechanisms in low-code development differ from those in traditional IT, resulting from the interaction of technical, social, and managerial factors. The findings offer practical guidance for low-code governance, highlight risks of losing flexibility over time, and inform strategic decisions on the adoption, scaling, and discontinuance of LCDP in organizations.</t>
  </si>
  <si>
    <t>AS03</t>
  </si>
  <si>
    <t>A Maturity Model for Managing Low-Code Development Platform Adoption</t>
  </si>
  <si>
    <t>Niculin Prinz, Carsten Felden, Melanie Huber, Christopher Rentrop, Constanze Riedinger, et al.</t>
  </si>
  <si>
    <t>PACIS 2025 Proceedings</t>
  </si>
  <si>
    <t>How can organizations be methodically supported in adopting LCDPs?</t>
  </si>
  <si>
    <t> Design science research (DSR) methodology was applied in six phases, including literature reviews, 16 semi-structured expert interviews, an in-depth organizational study, two focus group sessions, three expert workshops, and four demonstration and evaluation case studies in varied sectors, all triangulated for validity</t>
  </si>
  <si>
    <t> Developed and validated a comprehensive socio-technical LCDP Maturity Model (LCDPMM) containing 23 organizational capabilities across six maturity levels and 33 LCDP-specific artifacts; the model gives organizations a structured end-to-end framework for managing LCDP adoption, is empirically demonstrated across four companies, and shown to effectively guide assessment, goal-setting, and governance, with flexibility for organizational context and strategic alignment.</t>
  </si>
  <si>
    <t>AS18</t>
  </si>
  <si>
    <t>How GuideCom Used the Cognigy.AI Low-Code Platform to Develop an AI-Based Smart Assistant</t>
  </si>
  <si>
    <t>Imke Grashoff, Jan Recker</t>
  </si>
  <si>
    <t>MIS Quarterly Executive</t>
  </si>
  <si>
    <t>The article investigates the role of low-code development platforms in enabling and constraining AI-based business solution development, asking: "How do low-code AI development platforms enable and constrain the development of AI-based business solutions in practice?"</t>
  </si>
  <si>
    <t>Qualitative in-depth case study of GuideCom, a medium-sized German software firm, developing an AI-based smart assistant using the Cognigy.AI low-code platform; data was gathered through 15 semi-structured interviews, participant observation, workshops, document analysis, and system demos over a 16-month innovation project involving both the vendor and a client partner bank</t>
  </si>
  <si>
    <t>Low-code platforms enabled quick prototyping, lowered programming barriers, and fostered collaboration between IT and business stakeholders; persistent constraints were found in integrating with existing (especially HR) systems, maintaining platform autonomy and data locality, and expanding the developed solution to new clients or contexts; expertise in architecture, integration, and data handling remained essential despite the visual and accessible interface; the case demonstrates that low-code reduces but does not eliminate AI and software development challenges; CIOs and project leads need to weigh benefits in democratization and speed against technical dependencies, scaling, and governance complexities when adopting low-code AI platforms.</t>
  </si>
  <si>
    <t>AS19</t>
  </si>
  <si>
    <t>Low-Coders, No-Coders, and Citizen Developers in Demand: Examining Knowledge, Skills, and Abilities Through a Job Market Analysis</t>
  </si>
  <si>
    <t>Björn Binzer, Till J. Winkler</t>
  </si>
  <si>
    <t>Wirtschaftsinformatik 2023 Proceedings</t>
  </si>
  <si>
    <t>What knowledge, skills, and abilities do employers seek in prospective employees for effective utilization of low-code and no-code technologies?</t>
  </si>
  <si>
    <t>Empirical topic modeling analysis of 113,106 job postings (reduced to 1,632 unique relevant documents) crawled from Indeed.com, with preprocessing, translation, and advanced text mining techniques applied to extract and conceptualize demanded knowledge, skills, and abilities (KSAs) for LCNC and citizen development roles</t>
  </si>
  <si>
    <t>Identified 34 KSA topics needed for low-code/no-code work, covering platform-specific knowledge (e.g., Power Platform, Salesforce, Mendix), broad business skills (e.g., collaboration, communication, consulting, change management, entrepreneurial mindset), and technology skills (e.g., automation, RPA, analytics, programming, agile, integration, user experience); findings demonstrate that organizations require a broad mix of business and technical skills—contradicting the notion of low-code jobs requiring little or no technical background; integration, platform-specific learning, and automation knowledge are central, suggesting LCNC jobs often blend IT and business requirements regardless of “no-code” labels.</t>
  </si>
  <si>
    <t>AS21</t>
  </si>
  <si>
    <t>The Promise and Perils of Low-Code AI Platforms</t>
  </si>
  <si>
    <t>Maria Kandaurova, Daniel A. Skog, Petra M. Bosch-Sijtsema</t>
  </si>
  <si>
    <t>The article investigates the promise and challenges of low-code AI platforms for enterprise conversational AI, explicitly asking what problems arise when organizations adopt these platforms and which assumptions about low-code AI lead to successful or problematic implementations (verbatim: the study aims to reveal “three significant challenges linked to fundamental assumptions about low-code approaches”)</t>
  </si>
  <si>
    <t>Longitudinal embedded multi-case study of four multinational companies (energy, automotive, and retail sectors) implementing the same low-code conversational AI platform (CAIP); data sources included 13 semi-structured interviews with IT and business leads, domain experts, developers, as well as documents, press releases, blogs, and presentations; analysis combined open, axial, and selective coding for empirical rigor</t>
  </si>
  <si>
    <t>Found three major practical challenges: (1) low-code platforms still require non-trivial technical and AI knowledge for operational applications, especially for business and domain experts; (2) actual adaptability and tailoring to complex business contexts is demanding and takes longer than promised—processes must often be standardized or reengineered; (3) integration with legacy IT and data systems is considerably more complex than “plug and play” marketing claims suggest, often requiring dedicated infrastructure and data harmonization; the study recommends empirically testing AI platforms before adoption, investing in training and cross-functional collaboration, analyzing and standardizing business processes ahead of automation, and thoroughly assessing integration and data requirements before deployment.</t>
  </si>
  <si>
    <t>AS27</t>
  </si>
  <si>
    <t>Engaging Business Students with “Low-Code” Model Driven Development: Self-Efficacy Beliefs in an Introductory MIS Course</t>
  </si>
  <si>
    <t>Kathie Wright, Yvonne Antonucci, Laura Anderson, Andrene Townsend</t>
  </si>
  <si>
    <t>Hawaii International Conference on System Sciences 2023 (HICSS-56)</t>
  </si>
  <si>
    <t>How does the use of a low-code/no-code (LCNC) platform in an introductory MIS survey course affect students’ self-efficacy beliefs?; How does the use of LCNC tools relate to MIS student learning outcomes?; Does the use of an LCNC platform increase interest in application development or the MIS major?</t>
  </si>
  <si>
    <t>Paired pre- and post-survey empirical study of student self-efficacy and learning outcomes using general computer self-efficacy (GCSE) and low-code self-efficacy (LCSE) measures; research context was the Mendix model-driven development platform incorporated into business school MIS classes at two mid-Atlantic U.S. universities, with survey analysis across multiple instructors and delivery modes; statistical analysis included Wilcoxon Signed Ranks tests, factor analysis, and qualitative student feedback</t>
  </si>
  <si>
    <t>Students’ general and low-code-specific self-efficacy significantly increased after completing the LCNC app development module; gains in self-efficacy mapped positively to higher-order student learning outcomes and were linked to increased interest in both further low-code development and pursuing an MIS major; gender and prior programming-related differences in self-efficacy were reduced post-exercise, and the Mendix-based “Free as a Bird” case supported experiential learning about core MIS concepts and roles; LCNC platform use encourages student engagement and confidence with complex technology topics, suggests value in broader curriculum integration, and highlights positive implications for future skills development in business graduates.</t>
  </si>
  <si>
    <t>AS28</t>
  </si>
  <si>
    <t>EXPLORING METACOGNITIVE LEARNING ON LOW-CODE DEVELOPMENT PLATFORMS</t>
  </si>
  <si>
    <t>Rui Huang, Yuzhu Li</t>
  </si>
  <si>
    <t>SAIS 2025 Proceedings</t>
  </si>
  <si>
    <t>The article investigates how individual application self-efficacy and strategic/metacognitive scaffolding features of low-code platforms influence the development of metacognitive skills in citizen developers; it asks whether application self-efficacy directly and interactively (with metacognitive scaffolding) affects metacognitive skills, and if those skills in turn impact perceived learning outcomes</t>
  </si>
  <si>
    <t>Experimental study involving a web application development task using a low-code development platform; 120 undergraduate business students completed the task and participated in the experiment; quantitative data were analyzed using SPSS Amos to confirm hypothesized relationships between self-efficacy, scaffolding, metacognition, and learning outcomes</t>
  </si>
  <si>
    <t>Higher application self-efficacy has a significant positive effect on student metacognition skills; the presence of metacognitive scaffolding features (such as visual interfaces, templates, and debugging tools) in the low-code platform amplifies this effect; improved metacognitive skills in turn increase students’ perceived learning outcomes; the findings support the value of integrating metacognitive scaffolding in low-code learning environments and suggest self-efficacy and platform features jointly foster reflective, self-regulated learning practices in citizen development training.</t>
  </si>
  <si>
    <t>AS29</t>
  </si>
  <si>
    <t>An Investigation of Why Low Code Platforms Provide Answers and New Challenges</t>
  </si>
  <si>
    <t>Edona Elshan, Ernestine Dickhaut, Philipp Alexander Ebel</t>
  </si>
  <si>
    <t>What opportunities and challenges of low-code platforms can be identified in SMEs?</t>
  </si>
  <si>
    <t>Qualitative empirical study using 28 semi-structured expert interviews with practitioners from small and medium-sized enterprises (SMEs) using low-code platforms, combined with a literature review; interviews coded and analyzed for thematic consensus and saturation</t>
  </si>
  <si>
    <t>Key opportunities identified for SMEs include closer IT/business collaboration, faster prototyping, lowering the barrier to tech development, increased agility, relief of IT by transferring simple developments to business users, empowerment of employees, rapid digitization and modernization, improved competitiveness, and increased client satisfaction; key challenges identified are vendor lock-in and dependency, resistance (by management, IT, and new users), the risk of shadow IT, limited platform functionality for complex use cases, technical debt due to rapid development, UI uniformity issues, and the need for new governance structures; the study recommends early persuasion of key stakeholders, structured use case planning, and establishing a “center of excellence” to manage citizen development successfully in SMEs.</t>
  </si>
  <si>
    <t>AS41</t>
  </si>
  <si>
    <t>Teaching Tip: Using No-Code AI to Teach Machine Learning in Higher Education</t>
  </si>
  <si>
    <t>Leif Sundberg, Jonny Holmström</t>
  </si>
  <si>
    <t>Journal of Information Systems Education</t>
  </si>
  <si>
    <t>RQ1: How can no-code AI be used to teach machine learning in non-technical educational programs?; RQ2: What are the benefits and challenges of using no-code AI in education?</t>
  </si>
  <si>
    <t>Qualitative case study in a master's level “AI for Business” course at a Swedish university; students with diverse educational backgrounds participated in a group-based ML assignment using a no-code AI platform, and data was collected through observations, student feedback, written assignments, and evaluations; analysis followed thematic coding to extract learning outcomes, benefits, and challenges</t>
  </si>
  <si>
    <t>No-code AI platforms facilitated meaningful hands-on ML learning for non-technical students, allowing focus on practical tasks like data collection, modeling, and evaluation; key benefits included lowering the coding barrier, enabling problem- and case-centered learning, and fostering data awareness and collaboration; challenges included the need for thoughtful case and platform selection, user management complexities, and ensuring all students could engage fully; the approach empowered non-coders to experiment with ML, but instructors should provide scaffolding for group work, realistic data tasks, and critical reflection on ML’s applications and limitations.</t>
  </si>
  <si>
    <t>AS46</t>
  </si>
  <si>
    <t>LOW-CODE DRIVEN BACKSOURCING: A PHENOMENON-FOCUSED CASE STUDY</t>
  </si>
  <si>
    <t>Johanne Thunes, Alexander Kempton</t>
  </si>
  <si>
    <t>15th Scandinavian Conference on Information Systems</t>
  </si>
  <si>
    <t>What is low-code driven backsourcing and what distinguishes it from traditional IS backsourcing?</t>
  </si>
  <si>
    <t>The study conceptualizes low-code driven backsourcing as the replacement of vendor-built systems with internally developed solutions by small teams using low-code platforms; main drivers include cost savings, greater control, and flexibility, with the approach enabled by combining domain experts and core IT staff; low-code allows rapid solution development but requires organizational buy-in and a foundation of technical expertise; the approach shifts barriers traditionally associated with backsourcing to new knowledge and resource requirements (especially for platform and security fundamentals) and introduces new risks such as vendor platform lock-in; case evidence suggests low-code backsourcing can empower domain experts, improve fit to local needs, and lower overall backsource barriers in suitable public sector contexts, but ongoing dependency on the low-code platform vendor remains a constraint.</t>
  </si>
  <si>
    <t>Phenomenon-focused qualitative case study of a platform unit in a large Scandinavian municipality; data collected through 8 days of participant observation, 62 meetings, and 9 in-depth interviews with interdisciplinary developers, core developers, and architects; analysis combined observations, field notes, and interviews to construct and refine the concept of low-code driven backsourcing</t>
  </si>
  <si>
    <t>RQ2</t>
  </si>
  <si>
    <t>AS51</t>
  </si>
  <si>
    <t>Supporting Subject Matter Experts as Developers: Towards a Framework for Decentralized Robotic Process Automation Development</t>
  </si>
  <si>
    <t>Julia Eggers, Judith Wewerka, Altus Viljoen, Helmut Krcmar</t>
  </si>
  <si>
    <t>What is a software development framework for decentralized RPA projects supporting SMEs in their roles and responsibilities?</t>
  </si>
  <si>
    <t>Design Science Research (DSR) approach using literature analysis, 14 semi-structured expert interviews, and a focus group conducted in two iterations (first: identification of challenges in decentralized RPA through interviews in a large automotive company; second: framework development and evaluation via literature and practitioner input)</t>
  </si>
  <si>
    <t>Six key challenges identified for SMEs in decentralized RPA (insufficient understanding of RPA, incomplete analysis/documentation, lack of IT knowledge, maintenance burdens, balancing developer/operational roles, administrative overhead); the resulting framework for decentralized RPA projects features: (1) assignment of four essential roles (end-user, RPA manager, RPA citizen developer, CoE); (2) an agile process with four iterative phases (selection/initiation, analysis/design, implementation/testing, operation/maintenance); (3) practical guidance for role/responsibility assignment, training, coordination, scheduling, and support; the framework addresses the unique organizational and technical hurdles faced by non-IT experts, enabling successful local process automation if embedded in proper governance structures and supported by an RPA Center of Excellence.</t>
  </si>
  <si>
    <t>AS54</t>
  </si>
  <si>
    <t>Special Issue Editorial: Transforming Business with Low-Code and No-Code</t>
  </si>
  <si>
    <t>Noel Carroll, Jonny Holmström, Sabine Matook</t>
  </si>
  <si>
    <t>As an editorial introduction, this article does not pose new research questions but synthesizes core questions driving the special issue, including: How do low-code and no-code (LCNC) platforms transform business processes, democratize software development, and shape citizen development? What are the key benefits, challenges, and opportunities in their adoption and integration with AI and digital transformation initiatives?</t>
  </si>
  <si>
    <t>Editorial synthesis of themes and findings from five peer-reviewed case studies and empirical research articles in the special issue; draws on practitioner-oriented evidence from diverse sectors, as well as supporting market reports and systematic literature reviews to contextualize the LCNC paradigm shift and its managerial implications</t>
  </si>
  <si>
    <t> LCNC platforms enable non-technical users to participate in application development, accelerate digital innovation, and facilitate cross-functional collaboration and rapid prototyping; main challenges are security, technical debt, vendor lock-in, and process/IT alignment for governance; LCNC success depends on organizational strategy, robust governance, training, and integrating platforms into legacy IT and business operations; opportunities are seen in hyper-automation, employee empowerment, enhanced agility, and leveraging AI for process automation and analytics, with future competitiveness relying on robust upskilling and cross-IT/business collaboration as LCNC and GenAI adoption rise; practical recommendations across the special issue are summarized in a synthesized theme table by people, process, and technology dimensions.</t>
  </si>
  <si>
    <t>RQ1, RQ3</t>
  </si>
  <si>
    <t>AS68</t>
  </si>
  <si>
    <t>Experiential Learning for Citizen Developers</t>
  </si>
  <si>
    <t>Sabine Matook, Yazhu Maggie Wang, Michael Axelsen</t>
  </si>
  <si>
    <t>Business &amp; Information Systems Engineering</t>
  </si>
  <si>
    <t>What impact do experiential learning (ExL) factors - specifically authenticity, active learning, self-relevance, and utility - have on the metacognitive reflections of students learning low-code systems development as citizen developers?; How does team-based learning moderate the relationship between ExL factors and metacognitive reflections?</t>
  </si>
  <si>
    <t>Quantitative survey study with n=443 postgraduate business students in a large Australian IS course; all students completed a real-world low-code app development project for a not-for-profit client using Mendix; data on ExL factors and metacognitive reflections were collected via validated multi-item scales and analyzed using partial least squares structural equation modeling (PLS-SEM) and moderation analysis</t>
  </si>
  <si>
    <t>All four ExL factors (authenticity, active learning, self-relevance, utility) had significant positive effects on students’ metacognitive reflections; team-based learning only significantly strengthened the effect of self-relevance on metacognitive reflection and unexpectedly reduced the effect of authenticity; results suggest that embedded, practice-based low-code development experiences foster metacognitive skills for lifelong IT learning and that the interplay of individual relevance and teamwork is complex in digital/remote educational environments; educators and organizations should intentionally design for both practice and higher-order reflection to optimally prepare citizen developers and business technologists.</t>
  </si>
  <si>
    <t>AS70</t>
  </si>
  <si>
    <t>Industry-based IT Certifications in Higher Education Institutions: A Stakeholder Perspective</t>
  </si>
  <si>
    <t>Jayan Kurian, Zeena Alsamarra’I, Simon Thompson, Luke Nguyen-Hoan, Rosetta Romano</t>
  </si>
  <si>
    <t>Proceedings of the 2023 AIS SIGED International Conference on Information Systems Education and Research</t>
  </si>
  <si>
    <t> The article examines the opportunities and challenges of integrating industry-based IT certifications (IBCs), including low-code development credentials, into higher education, with a focus on the impact for diverse stakeholders in the HEI ecosystem (verbatim: "to understand the ecosystem of industry-based certifications in the context of HEI" and "explore the challenges and potential of IBC to create value ... to stakeholders in the ecosystem")</t>
  </si>
  <si>
    <t>Stakeholder-centric opinion paper using case study insights from an Australian university; analysis grounded in curriculum theory and a value framework; data were drawn from described institutional implementation of a Business Architect certification module embedded into bachelor’s and master’s degrees, evaluated via reflective analysis on stakeholder impact, and visualized using a rainbow diagram to map stakeholder influence and affectedness</t>
  </si>
  <si>
    <t> Benefits for learners include industry recognition, employability, access to real-world tools, and transferable digital skills; challenges involve workload, alignment between certification and curriculum, and the vendor-specific versus generic skill transfer dilemma; educators gain professional development opportunities but face recurring upskilling needs, integration challenges, and assessment issues; employers value ready-trained graduates but may need to retrain for vendor/tool mismatches; HEIs enhance graduate employability and industry ties but encounter administrative and cost burdens; for optimal impact, authors recommend tailored curriculum integration, alignment of certification and learning outcomes, and ongoing collaboration with certification providers to maintain relevance and value for all stakeholders.</t>
  </si>
  <si>
    <t>AS73</t>
  </si>
  <si>
    <t>Metacognitive skills in low-code app development: Work-integrated learning in information systems development</t>
  </si>
  <si>
    <t>Sabine Matook, Yazhu Maggie Wang, Nuria Koeppel, Simon Guerin</t>
  </si>
  <si>
    <t>Journal of Information Technology</t>
  </si>
  <si>
    <t>The main question is how students learn and develop “learning-to-learn” (metacognitive) skills in a work-integrated learning (WIL) course using a low-code platform; Study 1 asks what impact learner-oriented factors (self-efficacy, motivation) and task-oriented factors (autonomy, strategic approach) have on metacognitive skills in low-code WIL, and in turn, how metacognition affects learning outcomes (knowledge confidence, app delivery, grade); Study 2 explores how students experience metacognitive learning and technology-enhanced scaffolds during real-world low-code projects</t>
  </si>
  <si>
    <t>Mixed-method study in a simulated WIL IS course at an Australian university with 417 business postgraduates; Study 1 is a quantitative survey analyzing relationships between metacognition, predictors, and outcomes; Study 2 is a qualitative analysis of reflective essays and app artifacts to understand learning experiences and the impact of low-code tools and scaffolds</t>
  </si>
  <si>
    <t>Motivation, autonomy, and a strategic (goal-oriented) approach are significantly positively related to students’ metacognitive skills, but self-efficacy is not; metacognitive skills are strongly linked to improved knowledge confidence, superior app delivery, and better grades; qualitative results show that technology-enhanced scaffolding and active reflection support metacognitive growth in digital real-world IS development; findings highlight that low-code WIL combining client-based projects, agile practices, and supportive technology builds metacognition—essential for digital workplace readiness and lifelong learning.</t>
  </si>
  <si>
    <t>AS143</t>
  </si>
  <si>
    <t>Teaching Tip: Using Text Analytics AI Insights in Microsoft Power BI Desktop to Score Sentiments, Extract Key Phrases, and Discover Unstructured Data Patterns</t>
  </si>
  <si>
    <t>Chang Liu, Charles Downing</t>
  </si>
  <si>
    <t>How can no-code AI-driven text analytics (using Microsoft Power BI Desktop) be effectively taught to business students for sentiment analysis and key phrase extraction of unstructured data?; What are the benefits, outcomes, and student perceptions of learning text analytics using a no-code approach in a business intelligence course? (drawn from article’s objectives and survey section)</t>
  </si>
  <si>
    <t>Teaching case study implemented as a module in a graduate business intelligence course for MIS majors—students used Power BI’s no-code AI Insights features to analyze past student exit surveys for sentiment and themes; post-exercise feedback was collected via survey measuring student confidence, perceived accuracy, speed, and ease of use compared with code-based text analytics; approach and findings explained step-by-step in teaching narrative and discussion</t>
  </si>
  <si>
    <t>Students lacking strong programming backgrounds were able to use Power BI's AI-driven, no-code text analytics functions to extract sentiment, key phrases, and data patterns quickly and confidently; compared to traditional coding-based methods, the no-code approach was judged faster, easier to use, and just as accurate for relevant tasks; participants expressed higher confidence and a strong preference for no-code tools in solving text analytics problems after the exercise; instructional recommendations include grounding students in database concepts, emphasizing data quality, and encouraging further exploration of advanced AI features in Power BI Desktop for scalable, practical BI education.</t>
  </si>
  <si>
    <t>GI03</t>
  </si>
  <si>
    <t>ADOxx: Eine Low-Code-Plattform für die Entwicklung von Modellierungswerkzeugen</t>
  </si>
  <si>
    <t>Völz, Alexander; Amlashi, Danial M.; Burzynski, Patrik; Utz, Wilfrid</t>
  </si>
  <si>
    <t>HMD Praxis der Wirtschaftsinformatik: Vol. 61, No. 5</t>
  </si>
  <si>
    <t>The article seeks to show how low-code approaches—in particular, the ADOxx open-source metamodeling platform—support the development and adaptation of modeling methods for conceptual modeling; specifically, what requirements and functional characteristics such a platform must fulfill to enable intuitive, domain-specific modeling tool development and support ongoing method evolution in a technical and business context (verbatim: "Der vorliegende Beitrag zielt darauf ab, Low-Code-Konzepte im Rahmen der Metamodellierungsplattform ADOxx anzuwenden, um zu demonstrieren, wie der vorgestellte Ansatz eine schnelle Implementierung von neuen sowie eine iterative Anpassung von bestehenden Modellierungsmethoden ermglicht und somit zugnglicher macht.")</t>
  </si>
  <si>
    <t>The research adopts a design/conceptual method, describing the evolution and prototypical implementation of low-code features ("drag-and-drop" editor, point-and-click, reuse functions) for metamodeling in ADOxx, based on the iterative requirements gathered from building and analyzing over 50 modeling tools on different versions of the platform; includes conceptual analysis, tool demonstration (Drone Tour Guide case), and systematic comparison with general low-code platform requirements from software engineering literature</t>
  </si>
  <si>
    <t> The ADOxx platform enables both method engineers and domain experts (even with limited technical skills) to create and adapt modeling tools through visual, low-code interactions; the platform meets core low-code requirements such as graphical design, reusable components, interoperability, API/data integration, extensibility, and flexible deployment; key metaconcepts (instantiation, visualization, individualization, implementation) are supported by platform and external tools, as illustrated in comparative figures and tables; despite lowering barriers, some technical knowledge is still needed for advanced operations; embedding low-code into metamodeling enhances method/tool agility, democratizes tool building across domains, and supports faster adaptation to new business or technology needs—future work will address seamless external system integration and AI-assisted modeling support.</t>
  </si>
  <si>
    <t>GI04</t>
  </si>
  <si>
    <t>Extra Difficulties of Automated Testing in Low-Code Development</t>
  </si>
  <si>
    <t>Israt, Fahmida; Prechelt, Lutz</t>
  </si>
  <si>
    <t>Softwaretechnik-Trends Band 45, Heft 3</t>
  </si>
  <si>
    <t>What are the specific challenges of implementing test-driven development (TDD) and behavior-driven development (BDD) within low-code platform automated test frameworks (ATFs)?; What can be done to overcome these challenges and improve the effectiveness of TDD and BDD in low-code ATFs?</t>
  </si>
  <si>
    <t>Qualitative case study and experience report on automated testing in ServiceNow’s low-code platform (ATF), supported by literature review and practical feedback from industry experts; analysis categorizes TDD and BDD challenges and explores solutions through documentation review, project experience, and comparison with existing research</t>
  </si>
  <si>
    <t>TDD is hindered by UI-centric, post-development test design in ATFs, making it difficult to define test steps before code exists and to perform isolated unit testing; BDD faces issues translating Gherkin scenarios to UI-based tests, high maintenance burden due to frequent UI changes, and lack of integration with external BDD tools; manual and automated tests need hybrid strategies; platform-driven constraints complicate both test-first and collaborative, behavior-driven approaches; opportunities include integrating external TDD/BDD tools, developing adapters or APIs, leveraging natural language processing and generative AI for test authoring and maintenance, and improving debugging and reporting in ATFs; the article suggests clear technical directions to make low-code platform testing more robust, collaborative, and maintainable, with a call for future research and tool innovation.</t>
  </si>
  <si>
    <t>GI07</t>
  </si>
  <si>
    <t>Ein Werkzeug zur Analyse von Komplexität von Low-Code und No-Code Add-ons: Ein Design Science Ansatz</t>
  </si>
  <si>
    <t>Abendroth, Adrian; Bender, Benedict</t>
  </si>
  <si>
    <t>Which low-code or no-code (LCNC) platforms are best suited for companies given their specific functional requirements, especially as assessed through the complexity and breadth of available add-ons in their platform ecosystems?</t>
  </si>
  <si>
    <t>Design Science Research (DSR) approach; authors developed and empirically applied a new measurement instrument for add-on complexity in LCNC platform stores; 1483 add-ons from Microsoft Power Apps, Outsystems, and Pega were analyzed using a coding guide, complexity scale, and manual classification; demonstrative and reliability analysis provided for methodology evaluation</t>
  </si>
  <si>
    <t>Add-on store complexity is a decisive factor in the suitability of LCNC platforms for business requirements—platforms with broader, more complex add-ons cover more unique business needs and offer more flexibility; the measurement tool categorizes add-ons into five complexity levels (from “very low” to “very high”), linked to technical and domain requirements; more complex add-ons (e.g., integrations, security, advanced data features) demand deeper expertise and are less common; the instrument enables companies to make informed decisions about platform adoption by matching add-on store complexity profiles with their digitalization goals; results suggest that no single platform dominates, and platform fit depends heavily on the match between organizational requirements and ecosystem diversity—not just on core product features; authors call for further research into automated (NLP-based) complexity analysis and evaluation of non-public, company-specific add-ons.</t>
  </si>
  <si>
    <t>GI13</t>
  </si>
  <si>
    <t>A Use Case and Method for Migrating a Low Code Business Information System to a Custom Three Tier Application</t>
  </si>
  <si>
    <t>Konersmann, Marco</t>
  </si>
  <si>
    <t>Softwaretechnik-Trends Band 45, Heft 2</t>
  </si>
  <si>
    <t>What are the practical methods and challenges for migrating a business information system from a low-code platform to a custom three-tier architecture in industry?; What degree of automation is feasible for such migrations, and what process structure best supports iterative, risk-sensitive transitions in evolving business demands?</t>
  </si>
  <si>
    <t>The article presents an industry case study of a business information system initially developed on a low-code PaaS platform and describes a structured, incremental migration approach to a custom three-tier software architecture; the migration method is detailed and illustrated with the specific project’s development and operational context; technical steps and migration layers are discussed and reflected from the authors’ experience with real-world use and transformation</t>
  </si>
  <si>
    <t> Low-code platforms are highly effective for rapid prototyping, cross-functional solution exploration, and early-stage business IT enablement, but increasing complexity of requirements, performance, and quality drive up the customization burden—eventually outpacing low-code’s efficiency; the described incremental migration method works by moving “vertical” functional slices and “horizontal” architecture layers (first data, then logic, then UI), using automation where possible but manual re-coding otherwise, especially for proprietary, UI, and logic components; challenges include lack of open standards and export functions in many low-code platforms, and high manual effort for non-standardized UI and logic; the process supports ongoing business operations, short feedback cycles, and risk control during migration; the approach is effective for smaller, well-bounded use cases, but further automation and broader applicability remain limited by platform restrictions and lack of standardization—future research is aimed at generalizing and scaling automation capabilities.</t>
  </si>
  <si>
    <t>GI14</t>
  </si>
  <si>
    <t>Mehr als ein Trend?: Wie Low-Code die digitale Transformation unterstützt</t>
  </si>
  <si>
    <t>Elshan, Edona; Binzer, Björn</t>
  </si>
  <si>
    <t>The article investigates the principles, benefits, challenges, and practical recommendations for implementing low-code development platforms to drive digital transformation in organizations; it also explores future research needs, especially the integration of AI and machine learning (verbatim: “In diesem Grundlagenbeitrag werden die Prinzipien, Vorteile und Herausforderungen der Low-Code-Entwicklung untersucht. ... Unsere Analyse basiert auf umfassender Literaturrecherche und über 30 Interviews mit Vertretern aus mehr als 20 Unternehmen.”)</t>
  </si>
  <si>
    <t>Literature review combined with over 30 semi-structured expert interviews from more than 20 companies using or piloting low-code platforms in diverse industries; results triangulated across research and practitioner perspectives to synthesize trends, outcomes, and approaches</t>
  </si>
  <si>
    <t>Low-code platforms substantially reduce software complexity, enhance innovation and cross-functional collaboration, and accelerate digital transformation by including business experts (citizen developers) in application development; key drivers are faster development cycles, IT resource relief, upskilling, and agile prototyping—platforms democratize and expand development beyond IT; main implementation challenges are technical restrictions, integration limits with legacy systems, governance gaps, insufficient skills, and heightened security/compliance risks—with vendor lock-in as a recurring concern; successful adoption requires careful platform-project fit, strong change management, tailored security/governance structures, and fostering an innovation culture; future priorities include AI/ML integration and new approaches to evaluating platform suitability and organizational impact as digital transformation accelerates.</t>
  </si>
  <si>
    <t>GI16</t>
  </si>
  <si>
    <t>Immersive Virtual Reality Training for Service Personnel in the Power Distribution Grid with Adaptable Training Environments</t>
  </si>
  <si>
    <t>Bolz, Pascal; Fehling, Dominic; Zdrallek, Markus</t>
  </si>
  <si>
    <t>23. Fachtagung Bildungstechnologien (DELFI 2025)</t>
  </si>
  <si>
    <t>How can immersive virtual reality (VR) be used to train power distribution system operators (DSOs) with adaptable, practice-oriented learning content, and how does a custom low-code authoring framework empower DSOs to independently develop and adapt training modules without programming or 3D modeling expertise?</t>
  </si>
  <si>
    <t>Conceptual framework development with user-centered design and a needs analysis; four DSOs engaged in qualitative needs assessment to guide system requirements; the VR platform (Virtual Energy System, VES) was developed and demonstrated using a low-code authoring toolkit, with a prototype showcasing a core safety training module; illustrative use case and tool design details provided</t>
  </si>
  <si>
    <t>: A custom low-code VR authoring platform enables DSOs to create, adapt, and deploy immersive training modules specific to evolving technical requirements, enhancing transferability of safety practices and procedural knowledge; learning modules are constructed from node-based behavior graphs for reusable, interactive scenarios; the platform lowers barriers to adoption, supports both guided and self-directed learning, and increases adaptability in line with new workflows, equipment, or regulations; immersive VR, structured with effective instructional models, helps bridge the gap between theory and practical operational routines, with ongoing work targeting usability, extensibility, and large-scale evaluation of training effectiveness for diverse DSO needs.</t>
  </si>
  <si>
    <t>GI17</t>
  </si>
  <si>
    <t>From Natural Language to Web Applications: Using Large Language Models for Model-Driven Software Engineering</t>
  </si>
  <si>
    <t>Netz, Lukas; Michael, Judith; Rumpe, Bernhard</t>
  </si>
  <si>
    <t>Modellierung 2024</t>
  </si>
  <si>
    <t>The article investigates whether and how large language models (LLMs) such as GPT-3.5 and GPT-4 can reliably generate correct domain-specific models (e.g., class diagrams) from informal, natural language requirements for use in model-driven software engineering practices; key questions involve evaluating reliability, correctness (syntactic and semantic), and process feasibility for non-technical domain experts using a domain-specific language (DSL) for web application development</t>
  </si>
  <si>
    <t>Systematic experimental evaluation involving multiple runs of informal requirement prompts provided to both GPT-3.5 and GPT-4, with models interpreted, parsed, and graded for syntactic and semantic validity in the CD4A DSL; methods included “zero-shot,” “one-shot,” and “few-shot” learning/testing, use case diversity, context fine-tuning, real exam scenarios, model adaptation, and comparison with student results; technical details and error patterns were also analyzed for process improvement</t>
  </si>
  <si>
    <t>GPT-4 and, to a lesser degree, GPT-3.5, can reliably generate syntactically valid and semantically meaningful DSL models given well-crafted prompts and context—success rates reach 95-99% in class diagram tasks when using examples and domain-specific instructions; one-shot and few-shot examples raise reliability compared to zero-shot; semantic correctness and model adaptability are high but not guaranteed—domain expert validation remains necessary; models can be extended, refined, and iteratively improved by LLMs using natural language requests, lowering the barrier for non-developers in model-driven workflows; challenges include non-determinism, variable output, unknown DSLs, limited context size, and incomplete training or prompt design; the approach dramatically increases the usability of model-driven engineering for subject matter experts and enables new tool chains for automated app generation from requirements, but still needs further research, better semantic checks, and enhancements in handling less common DSLs and larger models.Modellierung_24_S5_1_From_Natural_Language_to_Web_Applications__Using_Large_Language_Models_for_.pdf</t>
  </si>
  <si>
    <t>GI20</t>
  </si>
  <si>
    <t>Visualizing Model and Data Differences with Inline Diff Editors in an Enterprise Low-Code Platform</t>
  </si>
  <si>
    <t>Butting, Arvid; Greifenberg, Timo; Hölldobler, Katrin; Kehrer, Timo</t>
  </si>
  <si>
    <t>Modellierung 2024 Satellite Events</t>
  </si>
  <si>
    <t>How can model and data differences be effectively visualized and communicated in the context of enterprise low-code platforms, especially for non-programmer citizen developers; what approaches make diffing both accessible and integrated into visual low-code modeling environments?</t>
  </si>
  <si>
    <t>Conceptual and technical extension of previous model differencing approaches; method described in the paper builds on a bootstrapped modeling tool in the A12 enterprise low-code platform, introducing inline diff editors (rather than side-by-side diff view); solution was implemented in the Simple Model Editor, applied to practical use cases in large-scale, data-driven enterprise low-code applications; focus is on reducing user interface complexity and enabling collaborative comparison, history, and refactoring workflows for various model types</t>
  </si>
  <si>
    <t>Inline diff editors derived from original low-code editor models allow users—including citizen developers—to see added, removed, and modified elements highlighted directly in their working visual modeling environment, eliminating the accidental complexity of separate diff tools; approach works for both structural models (data, UI, behavior) and underlying application data, and improves collaborative and versioned modeling, especially when paired with Git-based histories; custom widgets, color-coding, and accessibility tags allow transparent tracking of changes, lowering barriers for non-technical users and boosting support for custom software engineering within low-code platforms; method increases efficiency for maintaining, evolving, and refactoring applications, and may generalize to related fields using visual and model-driven development.25_Visualizing_Model_and_Data_Differences_with_Inline_Diff_Editors_in_an_Enterprise_Low_Code_Pla.pdf</t>
  </si>
  <si>
    <t>GI22</t>
  </si>
  <si>
    <t>Entwicklung eines anbieterunabhängigen Lehrkonzeptes für Citizen Developer</t>
  </si>
  <si>
    <t>Fleschutz-Balarezo , Timo; Malzahn, Birte</t>
  </si>
  <si>
    <t>AKWI 2025</t>
  </si>
  <si>
    <t>The article develops a vendor-independent curriculum and modular digital learning platform to train citizen developers in low-code/no-code (LCNC) technologies; it explores which technical, organizational, and soft-skill competencies are essential for citizen developers and how these can be taught consistently across LCNC platforms—thus addressing how to overcome vendor lock-in, IT security, and governance challenges for sustainable workforce upskilling</t>
  </si>
  <si>
    <t>Conceptual design and requirements analysis for the digital curriculum and learning platform, with a cross-platform focus; platform and content requirements were derived from in-depth analysis of market-leading LCNC provider training materials (Appian, Mendix, OutSystems), literature synthesis, and guidelines for interoperability and gamification; technical and soft skills were clustered with the help of literature and AI (ChatGPT-4o) and compared to current vendor offerings; planned implementation will use Moodle, with a modular structure and SCORM/xAPI-based content for portability and accessibility</t>
  </si>
  <si>
    <t>The curriculum design separates general technical, organizational, and governance skills (e.g., process modeling, UI/UX, programming logic, security, data handling, agile practice, collaboration, change management) from platform-specific functions, thus reducing future lock-in and retraining costs; platform course modules are hierarchically structured for self-study or blended learning and are extensible by organizations to address local needs; SCORM/xAPI and accessibility standards ensure compatibility, while community features and gamification (points, leaderboards, awards) enhance engagement; initial content analysis finds large overlap in technical topics, but soft skills are underserviced in vendor modules; if broadly adopted, this approach supports sustainable, organization-wide upskilling for digital transformation, empowers non-technical employees, and helps harmonize IT governance for citizen developer initiatives.AKWI2025_shortpaper_16.pdf​</t>
  </si>
  <si>
    <t>GI24</t>
  </si>
  <si>
    <t>Developing an AI-enabled Industry 4.0 platform - Performance experiences on deploying AI onto an industrial edge device</t>
  </si>
  <si>
    <t>Eichelberger, Holger; Palmer, Gregory; Niederée, Claudia</t>
  </si>
  <si>
    <t>Softwaretechnik-Trends Band 43, Heft 1</t>
  </si>
  <si>
    <t>The article asks how a low-code based approach can support flexible and efficient deployment of AI functionality onto industrial edge devices in Industry 4.0 contexts; what are the performance trade-offs and technical implications of generating application code and services automatically and deploying them from a central server to heterogeneous edge hardware for use cases such as visual quality inspection in manufacturing</t>
  </si>
  <si>
    <t>The paper reports on the design and industrial deployment of the IIP-Ecosphere AI-enabled Industry 4.0 platform, using a model-based, low-code code generation and deployment mechanism; practical performance is measured in a real-world visual inspection demonstrator (robotic camera, edge hardware, OPC UA/AI integration), comparing edge device and PC execution times; results are analyzed and contextualized by benchmarking inference response times, memory usage, and system characteristics across automated and manual integration scenarios</t>
  </si>
  <si>
    <t>The low-code platform enables industry users to configure, generate, and deploy AI applications (e.g., visual quality inspection) with reduced programming effort and standardized workflows, bridging gaps between business requirements and technical implementation; AI functionality can be deployed on industrial edge devices, with average inference 3–4 times slower than on a desktop PC due to hardware constraints; automatic code generation and modular deployment accelerate development but still face bottlenecks on resource-limited edge hardware, especially containerized AI services; practical optimizations suggested include code modularization, selective use of AI frameworks, and leveraging specialized hardware (GPU/TPU) for industrial-grade deployment; findings validate the feasibility of low-code, AI-enabled, edge-based applications for smarter industry, but highlight ongoing challenges for performance and generalization beyond demonstration setups.</t>
  </si>
  <si>
    <t>GI25</t>
  </si>
  <si>
    <t>Retourenverhinderung durch gezielte Rabatte: Entwicklung eines KI-basierten Prototyps mit Low-Code-Technologie für den Kundendienst</t>
  </si>
  <si>
    <t>Stevenson, Anthony Boyd; Rieck, Julia</t>
  </si>
  <si>
    <t>This article explores how an AI-based, low-code prototype can optimize discount recommendations in customer service to proactively prevent product returns in e-commerce; it specifically addresses how such a system can aggregate historic case data and utilize case-based reasoning (CBR) to support agents in cost-effective, individualized discount decisions and what effects low-code platforms like myCBR have on the development efficiency and operational use of such solutions</t>
  </si>
  <si>
    <t>The research is a real-world case study at a German furniture and home accessories retailer; it describes the development process of a CBR-powered AI prototype with a web interface, implemented using the low-code platform myCBR; the system indexes and weights large volumes of historical transaction and return data for tailored recommendations, and is evaluated in six weeks of practical deployment with 47 difficult customer complaints processed by three experienced agents, measuring cost, acceptance, and effectiveness</t>
  </si>
  <si>
    <t>The prototype systematically leverages structured customer service data to generate tailored, efficient, and more economical discount offers, enabling agents to make standardized, data-driven decisions and reducing subjective bias; 78% of the suggested discounts (from a sample of 47 cases) were accepted by agents and, when implemented, reduced the average discount cost per complaint compared to manual agent decisions, yielding an average savings of €8.90 per use; use of the open-source, low-code platform myCBR resulted in rapid, low-cost development and flexible integration, although minor risks were identified (limited professional support, integration challenges, and possible performance limits in very complex scenarios); in sum, the study demonstrates that low-code CBR applications can support sustainability and cost efficiency in e-commerce returns management while requiring thoughtful integration planning and ongoing evaluation for scalability and robustness.s40702-024-01098-9.pdf</t>
  </si>
  <si>
    <t>GI27</t>
  </si>
  <si>
    <t>Professionelle Softwareentwicklung mit Low Code optimieren – eine Fallstudie</t>
  </si>
  <si>
    <t>Baumgarten, Christoph; Endl, Rainer; Stich, Silvan</t>
  </si>
  <si>
    <t>The article analyzes which factors ensure the successful realization of productivity and quality improvements in professional software development projects using low-code application platforms (LCAPs); it also compares two case projects to examine time, cost, quality, and flexibility outcomes linked to low-code, aiming to identify actionable organizational and technical influences for practical optimization (verbatim: “welche zeit-, kosten-, qualitäts- und flexibilitätsbezogenen Auswirkungen hat der Einsatz einer LCAP laut bestehender Literatur auf die professionelle Applikationsentwicklung? ... welche Einflussfaktoren aus den untersuchten Anwendungsfällen sichern und stärken das Optimierungspotenzial von LCAP in der Praxis?”)</t>
  </si>
  <si>
    <t>Systematic literature review on empirical studies of low-code usage in professional software development, mapped to the dimensions of time, cost, quality, and flexibility; followed by a comparative case study of two applied Mendix-based projects at a Swiss IT consultancy, using semi-structured interviews with experienced developers and project managers to extract influence factors, project outcomes, and best-practice recommendations</t>
  </si>
  <si>
    <t>Low-code platforms enable substantial acceleration of software development (project duration reduction by a factor of 2–4), especially for dynamic, frequently adapted business processes and where platform-provided abstraction levels and standard workflows are accepted without over-customization; financial benefits are clearest when platforms are strategically reused across several applications, costs can increase if excessive manual customization is needed; quality effects are mixed—collaborative, agile workflows and platform governance enhance requirements clarity and testing, but performance, advanced customization, maintenance, and integration with non-standard systems may become challenging; six main influence factors for maximizing benefits include: (1) choosing and using abstraction levels wisely, (2) fostering close iterative collaboration with clients, (3) strategic platform positioning, (4) careful project selection, (5) internal citizen development, and (6) robust platform evaluation for feature fit and support; results indicate optimal efficiency gains depend on “working with” the platform’s strengths, setting realistic expectations, and using citizen development to leverage domain knowledge and resource flexibility, but not all applications are equally suited for low-code, and vendor lock-in concerns and technical depth requirements persist.</t>
  </si>
  <si>
    <t>GI29</t>
  </si>
  <si>
    <t>Mit Low-Code vom digitalen Produktpass bis zur Automatisierung ganzer Wertschöpfungsketten</t>
  </si>
  <si>
    <t>Hennig, Stefan; Schulze, Bruno; Wallisch, Franz; Anke, Jürgen</t>
  </si>
  <si>
    <t>The article investigates how low-code integration platforms can be used to efficiently develop and deliver digital product passports (DPPs) and to automate value chains in German mid-sized manufacturing companies under market, regulatory, and workforce pressure; it also explores the boundaries and future potential of low-code and no-code, especially considering their interplay with artificial intelligence for business process digitalization and stakeholder-specific data provision</t>
  </si>
  <si>
    <t>Case study of a German aerospace machine component manufacturer using the TRANSCONNECT® low-code integration platform to aggregate, reveal, and link data across isolated IT systems for the purpose of constructing a digital product passport and automating key business processes; the study combines applied project documentation, stakeholder interviews, stepwise requirements engineering, process modeling, and implementation analysis to document practical outcomes and challenges</t>
  </si>
  <si>
    <t>The low-code platform enabled the company to create a DPP and automate several value chain steps with just 20 person-days of implementation, achieving rapid digitalization, stakeholder-targeted frontends, and API-based data integration and availability; bottlenecks included data isolation, manual processes, and coordination requirements, all reduced by visual process modeling, no-code frontend configuration, and cross-IT data orchestration; notable limitations exist for highly individualized interfaces, complex tech customization, and long-term code control—low-code best serves as a domain-specific, stakeholder-focused solution, yielding maximum efficiency gains for standard or semi-standard use cases rather than for platforms needing deep customization; further democratization is possible with no-code (for non-IT users) and with AI-assisted process design, but best results rely on well-defined hand-offs between domain experts (“citizen developers”) and IT professionals; combining low-code/no-code with generative AI may support the next stage of digital process democratization, but organizations must address governance, security, vendor lock-in, and skills requirements to maximize sustainable benefits.s40702-024-01097-w.pdf</t>
  </si>
  <si>
    <t>GI38</t>
  </si>
  <si>
    <t>Business Unit Development: Vorteile und Herausforderungen für beteiligte Mitarbeiter</t>
  </si>
  <si>
    <t>Scharpf, Dominik; Viljoen, Altus; Hein, Andreas; Krcmar, Helmut</t>
  </si>
  <si>
    <t>The article investigates (1) what individual benefits employees perceive from business unit development (BUD) with low-code/no-code platforms, (2) what challenges they face in this role, and (3) what measures are required to realize these benefits and address the challenges in practice (verbatim: "FF1 Welche Vorteile ergeben sich für Mitarbeiter durch das Business Unit Development? FF2 Mit welchen Herausforderungen sind Mitarbeiter durch das Business Unit Development konfrontiert? FF3 Welche Maßnahmen sind zur Realisierung der Vorteile aus dem Business Unit Development notwendig?")</t>
  </si>
  <si>
    <t>Qualitative single-case study of Stadtwerke München's (SWM) business unit development initiative, using semi-structured interviews with 12 active business unit developers and 4 IT managers, in addition to document analysis. The Gioia method was used for inductive qualitative coding and thematic analysis of interview transcripts.</t>
  </si>
  <si>
    <t>Employees identified multiple benefits from participating in business unit development, including increased efficiency and error reduction through process automation, improved work satisfaction, career advantages, knowledge gains, and better collaboration with IT. Challenges included technical barriers (learning programming, platform limitations, confusing error messages), added workload, lack of time for side projects, issues with responsibility and handover, and resistance or isolation from colleagues. Success factors for maximizing BUD impact include strategic identification of automation candidates, transparent career paths, management and IT support, focused training, and fostering a strong internal developer community for knowledge exchange and troubleshooting. The study provides actionable recommendations for organizations seeking to scale citizen development sustainably, highlighting the role of culture, support structures, and collaborative practices.</t>
  </si>
  <si>
    <t>GI39</t>
  </si>
  <si>
    <t>Die vier Phasen von Citizen Development-Initiativen: Treiber, Herausforderungen und Handlungsempfehlungen</t>
  </si>
  <si>
    <t>Binzer, Björn; Winkler, Till J.</t>
  </si>
  <si>
    <t> (1) What drives companies to launch citizen development initiatives with low-code/no-code platforms? (2) How can the different phases of a citizen development initiative be characterized and differentiated in practice?s40702-024-01088-x.pdf</t>
  </si>
  <si>
    <t> Qualitative empirical study involving 21 semi-structured interviews with citizen development leads from 16 early-adopting companies (mainly large organizations across Germany, the UK, the US, etc.), analyzed with open and axial coding to develop a four-phase model of citizen development introduction and scaling. Interviews explored strategy, onboarding, training, platform choices, governance, and cultural/organizational context.</t>
  </si>
  <si>
    <t>Companies initiate citizen development initiatives for five main reasons: (1) to advance employees’ digital skills, (2) to leverage existing IT tools and licenses (often already included in enterprise software packages), (3) to create a safer, more controlled environment for business innovation (reducing shadow IT), (4) to provide a modern, attractive work environment, and (5) to increase agility and flexibility in business units. The journey follows four phases: (1) Conception and planning (strategic vision, pilot teams, community building, and training design), (2) Standardization (internal marketing, expanding communities, early governance, and training), (3) Digital penetration (formal program integration, structured onboarding, cross-departmental strategies, evolving governance), and (4) Integral establishment (citizen development is a core digital competency, with automated governance, strong HR focus, and career paths for citizen developers). Major challenges across phases include finding the right governance balance (innovation vs. control), consolidating platforms, enabling data quality and access, integrating onboarding/training, and managing multi-platform and licensing issues. Six practical recommendations for each phase address platform selection, partnership between IT and business, balanced governance, collaboration, data and training focus, and career path development; further challenges relate to culture, scaling, and evolving technology like generative AI.</t>
  </si>
  <si>
    <t>AD1</t>
  </si>
  <si>
    <t>Low-code vs. the developer: An empirical study on the developer experience and efficiency of a no-code platform</t>
  </si>
  <si>
    <t>Guthardt, Till and Kosiol, Jens and Hohlfeld, Oliver</t>
  </si>
  <si>
    <t>Proceedings of the ACM/IEEE 27th International Conference on Model Driven Engineering Languages and Systems</t>
  </si>
  <si>
    <t>(1) How accepted are LCDPs in small and medium-sized enterprises (SMEs) and what barriers prevent adoption; (2) What level of experience is necessary to use no-code tools efficiently and do citizen developers differ from professional programmers in terms of task correctness or completion time when using a no-code platform;</t>
  </si>
  <si>
    <t>The authors conducted a two-part empirical study; first, they performed semi-structured interviews with representatives from six SMEs to gauge attitudes, perceived barriers, and usage of LCDPs; second, they carried out a controlled experiment with 10 students (five with software development experience, five without), asking them to complete standardized business application tasks using a custom no-code builder, and statistically compared their task success and processing times between groups;</t>
  </si>
  <si>
    <t>SMEs expressed keen interest in LCDPs but reported concerns about training requirements, tool functionality, and flexibility; in the experimental study, participants with and without programming experience were able to achieve nearly identical high rates of task correctness and similar task completion times, with no statistically significant difference; technology affinity correlated with success more than prior coding experience; findings suggest that fears about excessive training needs for citizen developers may be overstated, at least for simple platforms and use cases; the authors caution that results may not generalize to large-scale or more complex scenarios but support the potential for LCDPs to democratize software development for simple business purposes within SMEs.</t>
  </si>
  <si>
    <t>AD4</t>
  </si>
  <si>
    <t>Towards Integrating Low-Code in View-based Development</t>
  </si>
  <si>
    <t>Hermann, Anne-Kathrin and K\"onig, Lars and Burger, Erik and Reussner, Ralf</t>
  </si>
  <si>
    <t>How can low-code development platforms be integrated as projective views into model-driven, view-based development environments to support collaboration between domain experts and software engineers while maintaining consistency across development artifacts?</t>
  </si>
  <si>
    <t>The authors propose a conceptual integration process and evaluate its feasibility through a case study; they developed an artificial low-code development platform for smart home systems, created an Ecore meta-model, and demonstrated integration using the Vitruvius framework for view-based system development; consistency rules were implemented between the low-code meta-model, UML, and Java meta-models to link the low-code and source code views; the approach was validated by synchronizing changes between graphical (low-code) and code views in a collaborative smart home design scenario;</t>
  </si>
  <si>
    <t>Integrating low-code views with model-driven engineering (MDE) environments enables domain experts and software engineers to work collaboratively on shared development artifacts within their preferred abstraction levels; this setup preserves ease-of-use and rapid prototyping of LCDPs while retaining the extensibility and flexibility of view-based systems; consistency between views is achieved either by directly including the low-code meta-model or projecting views from related meta-models, with trade-offs in complexity and effort; practical feasibility was shown in the smart home platform case, but LCDP limitations around data export and rule specification present real-world constraints; future work will address more complex integration scenarios, behavior views, and realistic UI implementations for end-to-end user evaluation.</t>
  </si>
  <si>
    <t>AD7</t>
  </si>
  <si>
    <t>Low-Code Quality Metrics for Agile Software Development</t>
  </si>
  <si>
    <t>Domingues, Renato Cavalcanti and Silva, Mario J. and Marinho, Marcelo Luiz Monteiro</t>
  </si>
  <si>
    <t>Proceedings of the XXIII Brazilian Symposium on Software Quality</t>
  </si>
  <si>
    <t>How can quality metrics be defined and monitored for agile software development teams using low-code platforms to ensure delivery of customer value without sacrificing quality and speed?; How effective is a centralized quality metrics monitoring platform (QSP) in supporting continuous improvement and value delivery in large agile release trains using low-code platforms over multiple years?</t>
  </si>
  <si>
    <t>The paper describes the development, deployment, and evaluation of an internal quality metrics monitoring platform (QSP) over two years within a large-scale agile organization; QSP automatically collects and computes 37 tailored metrics from self-assessments and audit sessions (manual and automated) after each sprint, organizing them into five groups (Engagement, Engineering, Quality Assurance, Technical Debt, Delivery); the system supports audits based on Jira data and uses specific low-code platform tools (Outsystems AI Mentor) for technical debt metrics; progress and performance trends for teams and projects are analyzed using time-series data and quartile rankings across years;</t>
  </si>
  <si>
    <t>The QSP platform enabled consistent monitoring and improvement of software quality, engagement, technical debt, and audit performance across more than 40 projects and numerous agile teams using low-code platforms; over two years, audit and QA scores rose by nearly 10 points each, with median final project scores remaining above target thresholds since 2023; separating team vs. project scores promoted motivation and clearer assessment of contributions; identifying, weighing, and tracking metrics sprint-by-sprint allowed better detection of problem areas, improved decision-making, and promoted continuous feedback and improvement; limitations include occasional delays in manual self-assessment reporting and dependence on automated data access from Jira; authors plan future research to address stagnation in Delivery Metrics and extend automation to all audit types; overall, the approach is adaptable to other low-code and conventional high-code development environments, with positive results for scalable agile quality management</t>
  </si>
  <si>
    <t>AD14</t>
  </si>
  <si>
    <t>MANILA: A Low-Code Application to Benchmark Machine Learning Models and Fairness-Enhancing Methods</t>
  </si>
  <si>
    <t>d'Aloisio, Giordano</t>
  </si>
  <si>
    <t>Proceedings of the 33rd ACM International Conference on the Foundations of Software Engineering</t>
  </si>
  <si>
    <t>How can a low-code web application support practitioners and researchers with limited fairness expertise in benchmarking machine learning models and fairness-enhancing methods, guiding them to select the combination that achieves the best fairness-effectiveness trade-off?; How expressive and correct is a low-code approach (MANILA) compared to manual coding when replicating fairness benchmarking experiments in ML?</t>
  </si>
  <si>
    <t> The paper presents the architecture and implementation of MANILA, a low-code web application using React and Flask, grounded on an Extended Feature Model (ExtFM) that assures constraints and usability in experiment setup; MANILA generates and evaluates ML fairness benchmarking workflows by providing a guided web form for dataset, scaler, ML model, fairness method, metrics, tradeoff, and validation setup; Experiments are executed via grid search over combinations and can be run online or locally; Evaluation includes reproducing published fairness experiments, comparing MANILA’s automated results to those obtained from original, manually coded experiments, testing for statistical similarity using the Kruskal-Wallis H test, and measuring expressiveness and correctness</t>
  </si>
  <si>
    <t>MANILA enables less-technical users to design and execute rigorous ML fairness benchmarks without writing code, facilitating selection and combination of ML models, fairness-enhancing methods, and trade-off strategies; All reproduced experiments achieved results statistically indistinguishable from the originals, supporting correctness; MANILA replicated complex benchmark setups using only guided low-code interfaces instead of 200+ lines of manual code, demonstrating expressiveness and usability; Future work will validate user usefulness and usability compared to baseline approaches, aiming to democratize and formalize ML fairness assessment in applied settings for users with varying ML backgrounds.</t>
  </si>
  <si>
    <t>AD15</t>
  </si>
  <si>
    <t>AI for Low-Code for AI</t>
  </si>
  <si>
    <t>Rao, Nikitha and Tsay, Jason and Kate, Kiran and Hellendoorn, Vincent and Hirzel, Martin</t>
  </si>
  <si>
    <t>Proceedings of the 29th International Conference on Intelligent User Interfaces</t>
  </si>
  <si>
    <t>RQ1: How do LowCoderNL (the language model-powered interface) and other features help participants discover previously-unknown operators for building ML pipelines?; RQ2: Are participants able to compose and then iteratively refine AI pipelines using LowCoder?; RQ3: What are the benefits and challenges of integrating language models with visual programming for low-code, especially for users with different AI expertise?</t>
  </si>
  <si>
    <t>The study involved developing LowCoder, a tool combining block-based visual programming (LowCoderVP) and AI-powered natural language programming (LowCoderNL) for sklearn pipelines; 20 participants with varying AI expertise performed four ML pipeline creation tasks (with either NL or keyword-based search condition), allowing quantitative assessment (operator discovery, task completion, iteration) and qualitative feedback, coded via open and axial methods; language model components were rigorously benchmarked using both automatically extracted and real user data for various operator-invocation generation tasks</t>
  </si>
  <si>
    <t>With LowCoderNL, participants discovered previously unknown operators in 75% of tasks (vs. 22.5% via web search or scrolling; NL condition enabled significantly higher discovery, especially for non-experts); 82.5% of participants completed pipeline-building tasks, with 72.5% further iterating, showing that both novices and non-novices could compose and refine ML pipelines, though non-novices performed more targeted iterations; qualitative analysis found that LowCoderNL was especially valuable when users "knew what, not how"—having a goal but not the operator’s name; however, novices struggled when they lacked clear intent or understanding, suggesting that LowCoder benefits those with some AI domain knowledge, and template/contextual suggestion features would further help total beginners; overall, integrating visual and NLP interfaces advances discoverability, supports iterative exploration for both experts and non-experts, and points toward further "democratization" of AI programming, though clear ML design intent remains a barrier for total novices.</t>
  </si>
  <si>
    <t>AD17</t>
  </si>
  <si>
    <t>Arvisan: an Interactive Tool for Visualisation and Analysis of Low-Code Architecture Landscapes</t>
  </si>
  <si>
    <t>Kakkenberg, Roy and Rukmono, Satrio Adi and Chaudron, Michel and Gerholt, Wim and Pinto, Miguel and de Oliveira, Claudio Ribeiro</t>
  </si>
  <si>
    <t>How can low-code software architecture landscapes be visualized and analyzed more effectively, especially in large OutSystems application environments?; What advantages do graph-based interactive tools like Arvisan offer compared to existing list-based assessment tools (such as Discovery), and how do features like sliding windows across abstraction levels, cycle detection, and metric visualizations enhance architectural analysis for developers?</t>
  </si>
  <si>
    <t>The authors present the design and implementation of Arvisan, a graph-based interactive visualization and analysis tool built for OutSystems low-code platforms; Arvisan uses property graphs and hierarchical data from platform exports and Discovery to visualize relationships, dependencies, abstraction levels, and architectural smells; The tool was applied to a real 10-year industrial-scale OutSystems landscape (100+ developers), comparing usability and diagnostics performance against Discovery; Interviews and feedback from developers supplemented the practical tool evaluation</t>
  </si>
  <si>
    <t>Arvisan offers unified overviews across different system levels, merging data from multiple servers; its interactive visualization supports faster navigation, efficient filtering, real-time cycle detection (including indirect cycles), and sliding window analysis at multiple abstraction layers; It highlights architectural violations immediately and visualizes metrics via node color and shape, helping developers quickly identify key issues; The tool outperforms Discovery on speed, usability, and analytical detail in large environments; feedback from practitioners was largely positive, and the authors suggest extending Arvisan’s concepts and algorithms to time-evolving structures and non-low-code platforms for broader architectural analysis.</t>
  </si>
  <si>
    <t>RQ2, RQ3</t>
  </si>
  <si>
    <t>AD19</t>
  </si>
  <si>
    <t>White-box LLM-supported Low-code Engineering: A Vision and First Insights</t>
  </si>
  <si>
    <t>Buchmann, Thomas and Peinl, Ren\'e and Schw\"agerl, Felix</t>
  </si>
  <si>
    <t>How can a “white-box” approach, combining low-code platforms with large language models (LLMs), enable precise, explainable, and deterministic generation of business applications—especially as domain rules and logic grow more complex for citizen developers?; What are the advantages and limitations of incrementally feeding semi-formal domain model elements and constraints as natural language annotations to LLMs, compared to black-box code generation from a single prompt in LLM-driven software engineering?</t>
  </si>
  <si>
    <t>The authors propose a conceptual framework where citizen developers define an invariable domain model and annotate complex rules as natural language, which are then incrementally fed to LLMs (such as GitHub Copilot) for deterministic code generation; they prototyped the approach using semi-automatic steps with Valkyrie tool and Copilot for a web-shop case, evaluating correctness and traceability; a domain model was implemented, code stubs generated, and LLMs prompted iteratively to produce and refine method bodies; a case study with manufacturing execution systems (MES) discussed wider applicability and technical integration points for BPMN-based workflows and schema mapping</t>
  </si>
  <si>
    <t>The white-box approach provided correct code implementations for most annotated rules on the first attempt, with only minor re-phrasing needed for method edge cases; every part of generated code was traceable to either explicit model elements or specific annotation prompts, achieving high determinism and explainability; compared to single-prompt black-box LLM coding, this method reduces hallucinations and improves developer control for complex business logic; the framework allows iterative refinement and feedback, making it accessible for non-technical domain experts; however, full automation (UI generation, database mapping) and greater conversational sophistication remain open challenges; the authors argue LLM-aided low-code can further democratize enterprise application engineering by bridging technical complexity for a wider set of citizen developers, but more evaluation is required in larger real-world settings.</t>
  </si>
  <si>
    <t>AD43</t>
  </si>
  <si>
    <t>Development and trend of service security management under big data technology</t>
  </si>
  <si>
    <t>Wang, Yuhui and Xu, Sining and Ma, Chao and Yang, Qianjun and Dong, Yiyuan</t>
  </si>
  <si>
    <t>Proceedings of the 2025 2nd International Conference on Innovation Management and Information System</t>
  </si>
  <si>
    <t> How does big data technology reshape service security management and what are the theoretical, technical, and practical challenges of integrating big data into military and business service assurance?; What are the core features and key technologies (like stream computing, knowledge mapping) relevant for service security management under big data conditions?; How can a perception-analysis-decision-making-feedback closed-loop model support innovative service security management and what future directions (AIoT, digital twins, low-code platforms) can enhance this transformation?</t>
  </si>
  <si>
    <t>The study reviews relevant literature, military and civil case studies, implementation examples (e.g., Shanghai Public Security, U.S. Defense Logistics Agency), and technology frameworks; it applies systematic conceptual analysis to the features, integration processes, bottlenecks, and use cases of big data-powered service security management; constructs and analyzes a closed-loop model (perception–analysis–decision–feedback) and compares current practices with ideal innovative management paradigms; technological convergence and policy implications are assessed using examples and scenario simulations</t>
  </si>
  <si>
    <t>Big data technology fundamentally changes service security management by improving resource scheduling, risk warning, and data-driven decision-making, increasing overall management effectiveness and real-time responsiveness; key bottlenecks include limits in computing power (latency, real-time data), data security/privacy, and lack of operational expertise in grassroots units; proposed solutions include edge computing with 5G for speed, federated learning and zero-trust architecture for security, and civil-military low-code platforms to lower technology barriers; future developments focus on AIoT for intelligent control of personnel, digital twins for scenario simulation, and integration policies and talent training for sustainable application; overall, big data’s integration provides a systematic, scalable framework for transforming and enhancing service security management, especially in military and critical infrastructure contexts.</t>
  </si>
  <si>
    <t>AD55</t>
  </si>
  <si>
    <t>Towards stability, predictability, and quality of intelligent automation services: ECIT product journey from on-premise to as-a-service</t>
  </si>
  <si>
    <t>Kedziora, Damian and Siemon, Dominik and Elshan, Edona and So\'nta, Monika</t>
  </si>
  <si>
    <t>Proceedings of the 7th ACM/IEEE International Workshop on Software-Intensive Business</t>
  </si>
  <si>
    <t>RQ1: How can automation providers effectively navigate transitions from traditional on-premise delivery models to as-a-service automation solutions?; RQ2: What are the implications of automation-as-a-service (AaaS) for cost, quality, and customer experience?</t>
  </si>
  <si>
    <t>The study used a single-case, single-subject qualitative approach, following Benbasat’s revelatory case guidelines; research involved document and archival analysis (including product models, pricing, contracts), qualitative interviews with key organizational stakeholders, direct observation of project meetings, and retrospective sessions during a product transformation at ECIT Group, a Nordic provider of accounting, finance, payroll, and IT services; the data was analyzed to explore triggers, process details, transformation outcomes, and stakeholder experiences associated with the move from on-prem to as-a-service automation between March and December 2023</t>
  </si>
  <si>
    <t>The shift from on-premise to as-a-service (AaaS) automation at ECIT Group was triggered by a combination of cost pressure, vendor licensing changes, and evolving customer expectations; the transition prioritized simplicity and predictability, offering customers easy onboarding, transparent pricing, predictable quality and service-level agreements, and more proactive risk-management; the RaaS-P product model separated two types of automated process—standard (GUI interactions) and click-less (backend/API automation)—to match maintenance and pricing to technical complexity; the new SLA prioritized business impact (availability, job stability, transaction quality) over raw uptime metrics; experimentation culture and rapid prototyping helped refine service components, pricing, and delivery, and customer-centricity led to clear value-based estimation frameworks; AaaS solutions improved transparency, recurring revenue predictability, and risk management for the provider, and stability/quality for the customer; challenges included educating customers about maintenance complexity, adapting to remote operations, and evolving competition; findings argue for broader replication and study of automation-as-a-service impacts in varied organizational contexts</t>
  </si>
  <si>
    <t>AD62</t>
  </si>
  <si>
    <t>Interface Definition Language and Graphical Programming - Based Approach for Quick Shellcode Generation</t>
  </si>
  <si>
    <t>Liu, Guoan and Dong, Weiyu and Lin, Jian and Liu, Jiaan and Liu, Tieming</t>
  </si>
  <si>
    <t>Proceedings of the 2025 International Conference on Digital Management and Information Technology</t>
  </si>
  <si>
    <t> How can integrating Interface Definition Language (IDL) and graphical programming lower the technical barriers, improve maintainability, and promote collaboration in Shellcode development for non-experts and teams?; How does this approach compare to traditional Shellcode generation methods and automatic tools in terms of efficiency, flexibility, and code reuse?</t>
  </si>
  <si>
    <t>The authors designed and implemented a low-code Shellcode development framework combining streamlined IDL module specifications and a Blockly-based graphical programming interface, with backend automation for module parsing, metadata extraction, MongoDB storage, and component splicing; they conducted experimental comparisons of code length and development time versus public Shellcode and manual composition methods, and demonstrated workflow and module reuse using illustrative templates and sample payloads; the framework’s modularity, automation, and code maintenance were tested in various network security scenarios</t>
  </si>
  <si>
    <t>The proposed method allows non-professional developers to rapidly assemble complex Shellcode payloads using intuitive drag-and-drop interfaces, drastically reducing manual coding and technical prerequisites; standardized IDL specifications ensure cross-module consistency and facilitate automated parsing, management, and reuse, improving maintainability and supporting team collaboration; compared to direct manual generation, the approach requires far less code and time, with increased flexibility for reuse and extension; developers can focus on workflow logic and module assembly, not low-level implementation; the modular database and visual front-end enable efficient management, automatic binary generation, and adaptation to different target architectures; future enhancements will add more module libraries and potentially integrate large language model guidance into the graphical interface for broader accessibility and recommendation-based construction.</t>
  </si>
  <si>
    <t>AD82</t>
  </si>
  <si>
    <t>Prompt Sapper: A LLM-Empowered Production Tool for Building AI Chains</t>
  </si>
  <si>
    <t>Cheng, Yu and Chen, Jieshan and Huang, Qing and Xing, Zhenchang and Xu, Xiwei and Lu, Qinghua</t>
  </si>
  <si>
    <t>ACM Trans. Softw. Eng. Methodol.</t>
  </si>
  <si>
    <t> How can best principles and practices from software engineering be systematically incorporated into prompt- and chain-based AI service composition to lower barriers for non-technical users building reusable AI services atop foundation models?; What are the design, usability, and effectiveness characteristics of a no-code, block-based integrated development environment (IDE) for AI chains (Prompt Sapper), and how do LLM-powered co-pilots (for requirements elicitation and skeleton generation) impact efficiency, expressiveness, and user satisfaction compared to programming in Python or baseline visual tools?</t>
  </si>
  <si>
    <t>The authors combined a systematic literature review and synthesis of AI chain engineering with the design and implementation of Prompt Sapper, a block-based visual programming IDE supported by LLM co-pilots for requirements elicitation and step decomposition; three user studies were conducted: (1) a within-subject comparison of Prompt Sapper (with/without Design View) and native Python with 18 students (measuring time, correctness, and usability over controlled tasks); (2) a formative requirement elicitation experiment with 12 additional participants (measuring usefulness, diversity, serendipity, relevance, ease of use of LLM copilot); (3) a study of the effectiveness and satisfaction of the AI chain skeleton generation copilot; data included task completion rates, time, Likert-scale usability ratings, and qualitative feedback; controlled training and counterbalancing addressed order bias in tool testing</t>
  </si>
  <si>
    <t>Prompt Sapper’s block-based, LLM-assisted IDE enabled non-technical and technical users alike to efficiently design and compose AI chains, performing as well as Python in correctness but with significantly lower time and steeper usability ratings; the requirement elicitation copilot was rated highly for usefulness, suggestion diversity, relevance, and convenience, helping users clarify and refine ambiguous task goals; skeleton generation co-pilot led to nearly all AI service decompositions being immediately executable or easily corrected, with high scores on structure and content completeness; participants required notably fewer manual API calls/searches compared to Python, and preferred visual, modular programming with LLM assistance; challenges remain in fully automating control flow features, further supporting complex debugging, loop construction, and integrating with broader DevOps; overall, the methodology and IDE strongly lower the technical barrier for AI service composition and empower a wider range of “AI chain engineers” to produce actionable, maintainable AI workflows by leveraging best practices from both SE and prompt programming</t>
  </si>
  <si>
    <t>AD84</t>
  </si>
  <si>
    <t>Transforming Ideas into Code: Visual Sketching for ML Development</t>
  </si>
  <si>
    <t>Gomes, Lu\'\is</t>
  </si>
  <si>
    <t>Companion Proceedings of the 2023 ACM SIGPLAN International Conference on Systems, Programming, Languages, and Applications: Software for Humanity</t>
  </si>
  <si>
    <t>How can visual sketching and code generation assistants bridge the gap between diagrammatic design and code creation for machine learning (ML) development?; Does translating hand-drawn or synthetic sketches into executable code improve productivity, code quality, and developer understanding, especially for data scientists with limited programming expertise?</t>
  </si>
  <si>
    <t>The paper employs iterative prototyping of a tool which segments, classifies, and recognizes elements from hand-drawn sketches (or synthetic images) via computer vision and domain-specific language; code generation is guided by large language models (LLMs) using recognized text and symbol descriptions; multiple evaluation rounds involve developers and data scientists, with interviews, surveys, and observational studies on sketching practices, planning process, and code understanding; productivity is assessed through quantitative metrics (task completion time, code recall, bug identification/fixing) and qualitative feedback; data generation tests compare synthetic and real sketches to validate training and accuracy in ML models</t>
  </si>
  <si>
    <t>Bridging visual sketching with code generation enables developers and ML practitioners to more intuitively and efficiently translate design intent into executable code, especially benefiting novices and cross-domain teams; Iterative prototyping and user feedback reveal that code generation from sketches improves productivity, documentation, and long-term code recall; the approach increases convenience, transparency, and traceability, reduces errors in manual translation, and lowers the technical barrier for non-expert users; computer vision and LLMs must overcome challenges around symbol recognition, ambiguity, and data scarcity, but synthetic sketch generation is found sufficiently accurate for model training; the research introduces “Sketch Programming” as a new paradigm for code assistants, supporting user-centric, visual-to-code workflows in data science and ML, with potential extension to other software domains.</t>
  </si>
  <si>
    <t>AD119</t>
  </si>
  <si>
    <t>InstructPipe: Generating Visual Blocks Pipelines with Human Instructions and LLMs</t>
  </si>
  <si>
    <t>Zhou, Zhongyi and Jin, Jing and Phadnis, Vrushank and Yuan, Xiuxiu and Jiang, Jun and Qian, Xun and Wright, Kristen and Sherwood, Mark and Mayes, Jason and Zhou, Jingtao and Huang, Yiyi and Xu, Zheng and Zhang, Yinda and Lee, Johnny and Olwal, Alex and Kim, David and Iyengar, Ram and Li, Na and Du, Ruofei</t>
  </si>
  <si>
    <t>Proceedings of the 2025 CHI Conference on Human Factors in Computing Systems</t>
  </si>
  <si>
    <t>How can we build visual programming assistants to accelerate the design and prototyping of ML pipelines?</t>
  </si>
  <si>
    <t>The study introduces InstructPipe, an AI assistant for Visual Blocks, which transforms text instructions into visual ML pipelines using two LLM modules and a code interpreter; Technical evaluation is conducted using a corpus of user-created pipelines to compare the number of user interactions required to complete a pipeline when using InstructPipe vs. manual construction; A user study (n=16, non-experts in programming/ML) compares InstructPipe versus baseline (Visual Blocks-only) across task completion times, user interactions, and subjective workload assessments (NASA-TLX), supplemented by open-ended interviews and qualitative coding</t>
  </si>
  <si>
    <t>InstructPipe reduces required user interactions by over 5X (to 18.9% of manual effort) when completing pipelines, and significantly lowers task completion times and perceived workload (on most NASA-TLX subscales) relative to visual programming without AI assistance; It streamlines onboarding for novice users, helps them rapidly prototype creative ML pipelines, and is well-received for task accessibility and exploratory learning; However, crafting effective prompts remains a mental challenge, particularly for users without clear technical intent, and debugging incomplete or partially correct generated pipelines still requires expertise; The approach enables faster prototyping and more accessible ML workflow design for beginners, although future work is needed to improve prompt guidance, debugging support, and scalability for large node libraries and parameter tuning</t>
  </si>
  <si>
    <t>AD179</t>
  </si>
  <si>
    <t>Beatrice: A Chatbot for Collecting Psychoecological Data and Providing QA Capabilities</t>
  </si>
  <si>
    <t>Ni, Yeming and Chen, Yuqing and Ding, Ruyi and Ni, Shiguang</t>
  </si>
  <si>
    <t>Proceedings of the 16th International Conference on PErvasive Technologies Related to Assistive Environments</t>
  </si>
  <si>
    <t>How can a low-code conversational agent (Beatrice) effectively support the collection of psychoecological data in intensive longitudinal studies, standardizing psychological scale administration and enabling flexible, multi-platform deployment?; How can large pre-trained language models and prompt learning techniques be integrated into chatbots to provide effective psychological support and question-answering capabilities for diverse research scenarios?</t>
  </si>
  <si>
    <t>The study developed Beatrice, a low-code, multi-platform chatbot using uni-app for frontend and FastAPI/SQLite for backend, integrating psychological scale abstraction (via JSON) and a decision-tree dialogue framework; Large language models (GPT API) were used for dynamic QA capabilities and prompt-based support; System usability testing (System Usability Scale, SUS) was performed in a small-scale experiment with 12 participants, and interviews based on the Technology Acceptance Model (TAM) were conducted to analyze user experience and perceived usefulness; Large-scale deployment occurred in an intensive tracking experiment with Chinese adolescents (n=317, 4675 valid responses), collecting practical feedback from teachers and optimizing tool features according to suggestions</t>
  </si>
  <si>
    <t> Beatrice standardized and enhanced psychoecological data collection, allowing flexible deployment across web, mobile, and applet platforms, and easy adaptation of psychological scales; Usability results exceeded 75% of comparable systems (average SUS score: 85.4), with positive feedback yet some requests for improved information resumption and input options; Technology Acceptance Model interviews confirmed perceived usefulness and ease of use; In large-scale adolescent deployment, Beatrice was robust and efficiently collected longitudinal emotional/cognitive data; Feedback-driven optimizations (animations, login memory, customizable intervals) improved user experience and lowered technical/data collection barriers for researchers, demonstrating that conversational agents integrated with LLMs can enable reliable, scalable psychological data collection and adaptive support in real-world studies.</t>
  </si>
  <si>
    <t>AD208</t>
  </si>
  <si>
    <t>Facilitating Environmental Monitoring for Sustainable Smart Regions by Enabling Citizen Co-Creation</t>
  </si>
  <si>
    <t>Hage, Roger and Kormann-Hainzl, Gerhard and Ruiz-Torrubiano, Ruben</t>
  </si>
  <si>
    <t>Proceedings of the Central and Eastern European EDem and EGov Days 2024</t>
  </si>
  <si>
    <t>How can citizen co-creation, enabled by a low-code/no-code (LCNC) Smart Service Manager, transform passive citizens into active citizen developers and enhance environmental monitoring, community collaboration, and carbon footprint reduction in sustainable smart regions?; What practical frameworks, tools, and processes are required to scale bottom-up engagement for smart service development and real-time monitoring, and how can these be aligned with top-down strategies for sustainability transformation?</t>
  </si>
  <si>
    <t>The authors present a conceptual framework for LCNC-enabled citizen co-creation in smart regions, grounded in a synthesis of Design Thinking, Six Sigma DMAIC problem-solving, and participatory workshops; the methodology is operationalized via a six-step D-SIQMA process—define challenge, set goal, identify indicators, quick prototype, monitor performance, adapt/change—implemented through workshops primed by personas and simulated with GPT-4 as an assistant; the framework is tested using a use case involving CO2 footprint reduction via community-level and individual energy data collection, dashboard prototyping, and stakeholder feedback loops; data specification, visualization, deployment, testing, and agile iterative refinement are described and evaluated for usability and impact in simulated and practical settings</t>
  </si>
  <si>
    <t>The LCNC Smart Service Manager empowers citizens to quickly prototype and deploy personalized smart services for environmental monitoring, leveraging community, regional, and personal data streams; real-time dashboards and feedback foster engagement and behavioral change, as evidenced by a demo case (CO2 footprint reduction); bottom-up co-creation workshops increase ownership, social motivation, and consensus-making, and align well with ongoing sustainability efforts; aligning leading (actionable) and lagging (outcome) indicators, leveraging open data and IoT, and facilitating iterative adaptation boost long-term impact; integration of AI-enabled predictive monitoring and expanded participatory mechanisms are identified as priorities for future research and practical rollout; overall, citizen developer engagement is found crucial for accelerating digital transformation and sustainability in smart regions</t>
  </si>
  <si>
    <t>AD237</t>
  </si>
  <si>
    <t>Trends in Gaming - Views of Industry Professionals and Game Scholars</t>
  </si>
  <si>
    <t>Kultima, Annakaisa</t>
  </si>
  <si>
    <t>Proceedings of the 20th International Conference on the Foundations of Digital Games</t>
  </si>
  <si>
    <t>How do professionals from the game industry and academia perceive and adapt to major shifts in industry trends over recent years, especially regarding generative AI, cryptogames, sustainability, regulations, low/no-code tools, diversity, and hybrid work?; What strategies do practitioners employ to manage uncertainty and stress caused by the constantly changing landscape of the game industry, and how do they stay informed about upcoming developments?</t>
  </si>
  <si>
    <t>The study conducted three annual online surveys (2022–2024) with game industry professionals and scholars, each focused on different themes (impact of the pandemic, responsibility for trend monitoring, coping with change); the surveys included background, multiple-choice, and open-ended questions, developed from prior interviews and content analysis of industry literature; recruitment focused on the Nordic region but included 44 nationalities and a wide range of roles; quantitative data was collected and analyzed for trend prevalence, planning horizon, and stress coping, while qualitative data explored attitudes and responses to open-ended questions</t>
  </si>
  <si>
    <t>The three-year survey captured a strong shift from cryptogames (blockchain, NFTs, Web3) trending in 2022 to generative AI becoming dominant in 2023–2024, with other major trends (hybrid work, cross-platform, sustainability, regulations, low/no-code tools) remaining relatively stable; perceptions vary widely, with some professionals embracing change and others resisting trend-following as stressful or distracting; short-term planning dominates even among well-funded companies and academics, reflecting a precarious context; community connection, side projects, and peer support are popular coping strategies; conferences rebounded post-pandemic as key sources for information, with an increasing role for LinkedIn, Discord, and research articles; both industry and academic respondents operate in similar fluctuating environments, and tracking, documenting, and discussing trends is increasingly important for both groups.</t>
  </si>
  <si>
    <t>IX33</t>
  </si>
  <si>
    <t>Quality Assurance in Low-Code/No-Code Development</t>
  </si>
  <si>
    <t>D.I. DeSilva; R.A.A.L. Ranathunga; R. Shangavie</t>
  </si>
  <si>
    <t>ICSES</t>
  </si>
  <si>
    <t>What are the appropriate quality metrics and standards for assessing the reliability, security, and performance of applications developed using LCNC? How can QA practices overcome the current challenges in LCNC development? How can QA practices be adapted to identify and address bottlenecks or performance issues in LCNC applications? How can QA processes ensure that LCNC applications provide a seamless and accessible user experience across different devices and platforms?</t>
  </si>
  <si>
    <t>Qualitative research using a Google Forms survey targeting IT professionals (n=100, selected by random sampling), collecting data on LCNC involvement, preferred platforms, QA challenges, and attitudes; responses were analyzed descriptively with graphs and charts</t>
  </si>
  <si>
    <t>Microsoft Power Apps is the most preferred platform for LCNC by respondents; major QA challenges in LCNC development include limited testing customization, difficulty identifying code dependencies, shortage of automated testing tools, and integration with CI/CD pipelines; most respondents view QA as important but requiring different approaches than traditional coding, with emphasis on user-centric, usability and end-to-end testing, and collaboration between citizen and professional developers; automation and accessibility are identified as opportunities for improving QA, but knowledge gaps and platform limitations remain</t>
  </si>
  <si>
    <t>IX34</t>
  </si>
  <si>
    <t>Traditional vs. low-code development: comparing
needed effort and system complexity in the
NexusBRaNT experiment</t>
  </si>
  <si>
    <t>David Aveiro;Vítor Freitas;Erica Cunha;Filipe Quintal;Yuri Almeida</t>
  </si>
  <si>
    <t>25th CBI</t>
  </si>
  <si>
    <t>Does using a low-code approach for developing an information system require less effort compared to traditional development approaches? How do the development times and system implementation complexity differ between a low-code platform and traditional frameworks?</t>
  </si>
  <si>
    <t>Experimental comparison by implementing the same complex web-based information system (NexusBRaNT) for cognitive rehabilitation support using two approaches—traditional development (Express.js and React) by one master's student and low-code development (DISME platform) by another master's student; Both followed the same specifications and requirements, and development time and complexity (lines of code vs. database records) were systematically measured and compared</t>
  </si>
  <si>
    <t>The low-code approach required only 47.5 hours compared to 888 hours for traditional (a reduction of about 95% in development effort) and 1,723 database records vs. 12,310 lines of code (an 86% reduction in implementation complexity); Low-code delivered matching functionality and better customizability, enabling rapid adaptation and direct involvement by non-programmers, while mitigating vendor lock-in; Limitations include potential developer experience effects, but substantial time and complexity reductions are robust across tested tasks</t>
  </si>
  <si>
    <t>IX50</t>
  </si>
  <si>
    <t>Application of LCDP and Technology in Existing
Business Systems in Enterprise</t>
  </si>
  <si>
    <t>Liqin Fu;Feng Qiao;Qin Lin;Hanling Yang;An Liu;Xian Liu;Hong Li</t>
  </si>
  <si>
    <t>CCISP</t>
  </si>
  <si>
    <t>How can LCDP and technology be applied in existing business systems when technology stack incompatibility prevents direct integration? How can the visual code generation ability of LCDP be extracted and reused across diverse business systems? What innovative architecture and methods enable decoupled, efficient integration of low-code generated modules into existing enterprise software?</t>
  </si>
  <si>
    <t>Design and implementation of a method for extracting visual code generation from LCDP as an independent, reusable module; design of an architecture leveraging front-end/back-end separation, micro-service, and micro-frontend technologies to decouple technology stacks and support plug-and-play integration; two experiments: (1) repeated integration in a single business system, and (2) integration across 10 different business systems, measuring development time, efficiency improvement, and scalability in an enterprise setting</t>
  </si>
  <si>
    <t>The proposed approach allows existing business systems to repeatedly generate and integrate low-code modules, greatly enhancing software delivery efficiency; initial integration costs are offset as the number of modules and systems scales, leading to &gt;60% efficiency improvement in single-system experiments and up to 93% in multi-system experiments; the architecture leverages emerging micro-frontend technology to enable modular, stack-agnostic integration, supporting substantial labor and cost savings as enterprises scale up low-code use; practical application in an enterprise context validated feasibility, rapid delivery, and cost-effectiveness</t>
  </si>
  <si>
    <t>IX110</t>
  </si>
  <si>
    <t>Can Low-Code Languages be Used for Core Enterprise Applications?</t>
  </si>
  <si>
    <t>Gabriel Juhás; Ana Juhásová; Milan Mladoniczky; Luboš Petrovič; Ján Lacko</t>
  </si>
  <si>
    <t>ICETA</t>
  </si>
  <si>
    <t>Can low-code languages be used for core enterprise applications? What features and extensions to process models are required for low-code platforms to achieve robust process interconnection and support complex business objects and workflows?</t>
  </si>
  <si>
    <t>Conceptual analysis and architecture design of the low-code language Petriflow and its implementation in the Netgrif platform; review of theoretical principles (object-centric process modeling, Petri nets, event-driven programming) and four case studies in utilities, insurance, healthcare, and financial leasing, demonstrating process automation and complex workflow management in real-world enterprise scenarios</t>
  </si>
  <si>
    <t>Extensions to Petri nets and object-centric process modeling in Petriflow enable modeling of complex relationships and lifecycle management for business objects, overcoming traditional limitations of low-code platforms; Netgrif/Petriflow low-code applications are capable of managing high-complexity, core enterprise systems across diverse sectors, delivering significant efficiency and flexibility gains; practical case studies show that vertical modeling (data, process, presentation in one artifact) and powerful process interconnection support deep integration, rapid adaptation, and cost savings for enterprise digital transformation</t>
  </si>
  <si>
    <t>IX177</t>
  </si>
  <si>
    <t>Gutek: Intelligent Revision Algorithms</t>
  </si>
  <si>
    <t>Ł. Gałka</t>
  </si>
  <si>
    <t>IEEE Access</t>
  </si>
  <si>
    <t>What are the technical requirements and architectural solutions for an extensible, low-code, open-source intelligent revision framework? How does the 'Gutek' platform compare to established open-source learning tools in terms of code complexity, maintainability, extensibility, and user effort required for customization?</t>
  </si>
  <si>
    <t>Design and implementation of Gutek, a low-code Java/Spring-based framework for intelligent revision algorithms with bidirectional revision interfaces; comparative software quality evaluation against Anki, Mnemosyne, and OpenCards using metrics (lines of code, code complexity, SonarQube quality gates, extensibility) and user difficulty assessments for extending functionality; user-based validation of core features and extension scenarios</t>
  </si>
  <si>
    <t>Gutek achieves high extensibility and ease of customization with substantially lower code complexity and fewer critical maintainability/reliability issues than major alternatives, while supporting advanced features and two-way review; user assessments confirm minimal effort needed for extending algorithms or charts; limitations include the need for some Java knowledge, desktop-only deployment, and scalability for large databases, but a model-driven, visual extension mechanism is proposed for future versions</t>
  </si>
  <si>
    <t>IX178</t>
  </si>
  <si>
    <t>Low-Code Languages in IT Education: Integrating Theory and Practice</t>
  </si>
  <si>
    <t>G. Juhás; A. Juhásová; L. Petrovič</t>
  </si>
  <si>
    <t>2023 21st International Conference on Emerging eLearning Technologies and Applications (ICETA)</t>
  </si>
  <si>
    <t>Can low-code languages, especially object-centric process-based languages like Petriflow, enable a top-down, practical-first approach to IT education that allows students to develop complex web applications (including business processes) without mastering multi-layer programming stacks first? What educational benefits and conceptual clarity are gained by teaching web application development using a single low-code language before traditional bottom-up curricula?</t>
  </si>
  <si>
    <t>Conceptual and demonstrative exploration with detailed, step-by-step illustration of developing a process-oriented multi-layer web application (conference paper submission, review, and publishing workflow) using Petriflow and Netgrif Application Builder; analysis of how core CS/IT concepts (entities, lifecycles, workflow, forms, data, roles, events) are taught through a unified, low-code paradigm; proposed educational experiment comparing traditional bottom-up curriculum versus the suggested top-down method using two student groups</t>
  </si>
  <si>
    <t>The low-code, object-centric approach allows students to build functional web applications with process automation and complex entity relationships in their first semester, bypassing the need for prior mastery of databases, OOP, and web frameworks; teaching core IT principles with high-level visual languages boosts motivation and deepens students' understanding, enables practical experience and faster deployment, and facilitates insight into underlying concepts; a top-down curriculum is posited as more engaging and inclusive, especially when paired with open-source low-code interpreters for deeper exploration; further research is encouraged to empirically test the pedagogical benefits</t>
  </si>
  <si>
    <t>IX222</t>
  </si>
  <si>
    <t>ALF: An Automated Low-code Flexible Framework for Data Workflows</t>
  </si>
  <si>
    <t>R. Ghosh; W. Jha; M. Wang; U. Alim</t>
  </si>
  <si>
    <t>2024 IEEE International Conference on Big Data (BigData)</t>
  </si>
  <si>
    <t>How can automated low-code, flexible data workflow frameworks remove technical barriers for data scientists and streamline end-to-end workflow creation, execution, and inspection across IaaS, PaaS, and SaaS layers? How does the ALF framework support modular integration, automation, and performance enhancement, compared to traditional approaches?</t>
  </si>
  <si>
    <t> Conceptual design and implementation of the ALF (Automated Low-code Flexible) framework, detailing architecture, module integration, and workflow creation process; review of challenges with existing IaaS/PaaS/SaaS/data science platforms; demonstration through a case study on EKG image data analysis (module integration, workflow automation, GPU acceleration), benchmarking technical effort and correctness against manual pipelines</t>
  </si>
  <si>
    <t>ALF allows rapid, modular, code-light integration of tools for flexible and automated data workflows, greatly reducing technical and manual workload for data scientists; workflow creation, adaptation, and inspection are vastly simplified compared to manual scripting or complex PaaS/SaaS solutions; a case study on deep learning EKG classification shows that ALF delivers equivalent results to manual pipes with less effort, supporting GPU acceleration, easy module swaps, and centralized workflow management; ALF presents a significant advance over specialized or partial low-code tools by covering full-stack workflow needs for data science</t>
  </si>
  <si>
    <t>RQ3, RQ2</t>
  </si>
  <si>
    <t>RQ3</t>
  </si>
  <si>
    <t>Practitioners' Perceptions on the Adoption of Low Code Development Platforms.</t>
  </si>
  <si>
    <t>Bibliographic Information</t>
  </si>
  <si>
    <t>Key findings and RQ-mapping</t>
  </si>
  <si>
    <t>Characteristics, thematic focus, methodological features</t>
  </si>
  <si>
    <t>Research Objective</t>
  </si>
  <si>
    <t>Research Question</t>
  </si>
  <si>
    <t>Number of Studies</t>
  </si>
  <si>
    <t>Share</t>
  </si>
  <si>
    <t>RQ1 - Drivers  &amp; Barriers</t>
  </si>
  <si>
    <t>RQ2 - Efficiency &amp; Effectiveness</t>
  </si>
  <si>
    <t>RQ3 - State of Research</t>
  </si>
  <si>
    <t>Study Type</t>
  </si>
  <si>
    <t>Mixed</t>
  </si>
  <si>
    <t>Qualitative</t>
  </si>
  <si>
    <t>Quantitative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</si>
</sst>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b/>
      <sz val="11"/>
      <color theme="0"/>
      <name val="Calibri"/>
      <family val="2"/>
      <scheme val="minor"/>
    </font>
    <font>
      <b/>
      <sz val="11"/>
      <name val="Calibri"/>
      <family val="2"/>
    </font>
    <font>
      <sz val="11"/>
      <color theme="1"/>
      <name val="Calibri"/>
      <family val="2"/>
      <scheme val="minor"/>
    </font>
  </fonts>
  <fills count="3">
    <fill>
      <patternFill patternType="none"/>
    </fill>
    <fill>
      <patternFill patternType="gray125"/>
    </fill>
    <fill>
      <patternFill patternType="solid">
        <fgColor theme="1" tint="0.249977111117893"/>
        <bgColor indexed="64"/>
      </patternFill>
    </fill>
  </fills>
  <borders count="2">
    <border>
      <left/>
      <right/>
      <top/>
      <bottom/>
      <diagonal/>
    </border>
    <border>
      <left style="thin">
        <color auto="1"/>
      </left>
      <right style="thin">
        <color auto="1"/>
      </right>
      <top/>
      <bottom style="thin">
        <color auto="1"/>
      </bottom>
      <diagonal/>
    </border>
  </borders>
  <cellStyleXfs count="2">
    <xf numFmtId="0" fontId="0" fillId="0" borderId="0"/>
    <xf numFmtId="9" fontId="4" fillId="0" borderId="0" applyFont="0" applyFill="0" applyBorder="0" applyAlignment="0" applyProtection="0"/>
  </cellStyleXfs>
  <cellXfs count="5">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xf numFmtId="10" fontId="0" fillId="0" borderId="0" xfId="1" applyNumberFormat="1" applyFont="1"/>
    <xf numFmtId="0" fontId="2" fillId="2" borderId="0" xfId="0" applyFont="1" applyFill="1" applyAlignment="1">
      <alignment horizontal="center"/>
    </xf>
  </cellXfs>
  <cellStyles count="2">
    <cellStyle name="Prozent" xfId="1" builtinId="5"/>
    <cellStyle name="Standard" xfId="0" builtinId="0"/>
  </cellStyles>
  <dxfs count="8">
    <dxf>
      <numFmt numFmtId="14" formatCode="0.00%"/>
    </dxf>
    <dxf>
      <font>
        <b val="0"/>
        <i val="0"/>
        <strike val="0"/>
        <condense val="0"/>
        <extend val="0"/>
        <outline val="0"/>
        <shadow val="0"/>
        <u val="none"/>
        <vertAlign val="baseline"/>
        <sz val="11"/>
        <color theme="1"/>
        <name val="Calibri"/>
        <family val="2"/>
        <scheme val="minor"/>
      </font>
      <numFmt numFmtId="14" formatCode="0.00%"/>
    </dxf>
    <dxf>
      <numFmt numFmtId="0" formatCode="General"/>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301F90-6272-40D8-BCE8-DE02708CCD09}" name="Tabelle1" displayName="Tabelle1" ref="A2:M64" totalsRowShown="0" headerRowDxfId="7" headerRowBorderDxfId="6" tableBorderDxfId="5">
  <autoFilter ref="A2:M64" xr:uid="{00000000-0001-0000-0000-000000000000}"/>
  <sortState xmlns:xlrd2="http://schemas.microsoft.com/office/spreadsheetml/2017/richdata2" ref="A3:M64">
    <sortCondition ref="A2:A64"/>
  </sortState>
  <tableColumns count="13">
    <tableColumn id="1" xr3:uid="{415026D2-D531-4A9E-BB73-E3A27E74B37D}" name="Study ID"/>
    <tableColumn id="2" xr3:uid="{A5776A67-8F6C-47AB-872F-F0664B7A2468}" name="Title"/>
    <tableColumn id="3" xr3:uid="{CE3E5FB7-BA91-46E0-B16F-C3F95F2322B8}" name="Authors"/>
    <tableColumn id="4" xr3:uid="{5CADA980-1707-46D2-9150-880E680FD2D7}" name="Year"/>
    <tableColumn id="5" xr3:uid="{308213D1-F745-4412-9898-015151D78082}" name="Venue"/>
    <tableColumn id="6" xr3:uid="{BB57A604-BFC5-48F7-BBA4-773A5EDFB9D4}" name="Research Objective"/>
    <tableColumn id="7" xr3:uid="{11252E1E-FEB5-42A5-B1E2-A68CF56F3148}" name="Research Method"/>
    <tableColumn id="13" xr3:uid="{A4034332-6111-4831-8C2C-989820B597ED}" name="Study Type"/>
    <tableColumn id="8" xr3:uid="{8CBCD99F-D04C-4695-80E7-6D9204465D4E}" name="Key Findings"/>
    <tableColumn id="9" xr3:uid="{54FAABAC-4750-4A47-B7BD-DEFD71DD2735}" name="Mapped RQ"/>
    <tableColumn id="10" xr3:uid="{7430F8D8-1DCF-409B-9BA2-E237C139F73E}" name="RQ1" dataDxfId="4">
      <calculatedColumnFormula>IF(ISNUMBER(SEARCH("RQ1",Tabelle1[[#This Row],[Mapped RQ]])), TRUE,FALSE)</calculatedColumnFormula>
    </tableColumn>
    <tableColumn id="11" xr3:uid="{33730ECC-7388-46E2-BDC2-0C99CE70B321}" name="RQ2" dataDxfId="3">
      <calculatedColumnFormula>IF(ISNUMBER(SEARCH("RQ2",Tabelle1[[#This Row],[Mapped RQ]])), TRUE,FALSE)</calculatedColumnFormula>
    </tableColumn>
    <tableColumn id="12" xr3:uid="{CDB34FB6-82B6-4628-B1E5-EEEF0CEEA673}" name="RQ3" dataDxfId="2">
      <calculatedColumnFormula>IF(ISNUMBER(SEARCH("RQ3",Tabelle1[[#This Row],[Mapped RQ]])), TRUE,FALSE)</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C396461-5C10-4C41-91EC-73A4CA386570}" name="Tabelle2" displayName="Tabelle2" ref="A1:C4" totalsRowShown="0">
  <autoFilter ref="A1:C4" xr:uid="{0C396461-5C10-4C41-91EC-73A4CA386570}"/>
  <tableColumns count="3">
    <tableColumn id="1" xr3:uid="{47361638-A33B-4A5A-A353-D24312F6B3F8}" name="Research Question"/>
    <tableColumn id="2" xr3:uid="{482ACD17-C501-4B47-AF1C-B25F9B4D7F3F}" name="Number of Studies"/>
    <tableColumn id="3" xr3:uid="{E003C16A-3D57-47BD-9012-5F3CC06CB14A}" name="Share" dataDxfId="1" dataCellStyle="Prozent">
      <calculatedColumnFormula>B2/62</calculatedColumnFormula>
    </tableColumn>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4A86056-C474-47E4-8AAF-DC3F89245A9C}" name="Tabelle3" displayName="Tabelle3" ref="F1:H4" totalsRowShown="0">
  <autoFilter ref="F1:H4" xr:uid="{A4A86056-C474-47E4-8AAF-DC3F89245A9C}"/>
  <tableColumns count="3">
    <tableColumn id="1" xr3:uid="{27785AF3-6987-418F-92F4-1751B6E9C66B}" name="Study Type"/>
    <tableColumn id="2" xr3:uid="{721311F1-BC8A-4182-AA18-A083214CC3FF}" name="Number of Studies"/>
    <tableColumn id="3" xr3:uid="{E1D043E7-F66B-4E1A-801F-985178AF3194}" name="Share" dataDxfId="0" dataCellStyle="Prozent">
      <calculatedColumnFormula>G2/62</calculatedColumnFormula>
    </tableColumn>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4"/>
  <sheetViews>
    <sheetView tabSelected="1" zoomScale="70" zoomScaleNormal="70" workbookViewId="0">
      <selection activeCell="F20" sqref="F20"/>
    </sheetView>
  </sheetViews>
  <sheetFormatPr baseColWidth="10" defaultColWidth="9.140625" defaultRowHeight="15" x14ac:dyDescent="0.25"/>
  <cols>
    <col min="1" max="1" width="10.42578125" customWidth="1"/>
    <col min="3" max="3" width="10.140625" customWidth="1"/>
    <col min="5" max="5" width="141.5703125" bestFit="1" customWidth="1"/>
    <col min="6" max="6" width="40.42578125" customWidth="1"/>
    <col min="7" max="7" width="54" customWidth="1"/>
    <col min="8" max="8" width="21" bestFit="1" customWidth="1"/>
    <col min="9" max="9" width="41.5703125" customWidth="1"/>
    <col min="10" max="10" width="13.5703125" customWidth="1"/>
  </cols>
  <sheetData>
    <row r="1" spans="1:13" x14ac:dyDescent="0.25">
      <c r="A1" s="4" t="s">
        <v>432</v>
      </c>
      <c r="B1" s="4"/>
      <c r="C1" s="4"/>
      <c r="D1" s="4"/>
      <c r="E1" s="4"/>
      <c r="F1" s="4" t="s">
        <v>434</v>
      </c>
      <c r="G1" s="4"/>
      <c r="H1" s="4"/>
      <c r="I1" s="4" t="s">
        <v>433</v>
      </c>
      <c r="J1" s="4"/>
      <c r="K1" s="4"/>
      <c r="L1" s="4"/>
      <c r="M1" s="4"/>
    </row>
    <row r="2" spans="1:13" x14ac:dyDescent="0.25">
      <c r="A2" s="1" t="s">
        <v>0</v>
      </c>
      <c r="B2" s="1" t="s">
        <v>1</v>
      </c>
      <c r="C2" s="1" t="s">
        <v>2</v>
      </c>
      <c r="D2" s="1" t="s">
        <v>3</v>
      </c>
      <c r="E2" s="1" t="s">
        <v>4</v>
      </c>
      <c r="F2" s="2" t="s">
        <v>435</v>
      </c>
      <c r="G2" s="1" t="s">
        <v>5</v>
      </c>
      <c r="H2" s="1" t="s">
        <v>442</v>
      </c>
      <c r="I2" s="1" t="s">
        <v>6</v>
      </c>
      <c r="J2" s="1" t="s">
        <v>7</v>
      </c>
      <c r="K2" s="1" t="s">
        <v>34</v>
      </c>
      <c r="L2" s="1" t="s">
        <v>131</v>
      </c>
      <c r="M2" s="1" t="s">
        <v>430</v>
      </c>
    </row>
    <row r="3" spans="1:13" x14ac:dyDescent="0.25">
      <c r="A3" t="s">
        <v>270</v>
      </c>
      <c r="B3" t="s">
        <v>271</v>
      </c>
      <c r="C3" t="s">
        <v>272</v>
      </c>
      <c r="D3">
        <v>2024</v>
      </c>
      <c r="E3" t="s">
        <v>273</v>
      </c>
      <c r="F3" t="s">
        <v>274</v>
      </c>
      <c r="G3" t="s">
        <v>275</v>
      </c>
      <c r="H3" t="s">
        <v>443</v>
      </c>
      <c r="I3" t="s">
        <v>276</v>
      </c>
      <c r="J3" t="s">
        <v>34</v>
      </c>
      <c r="K3" t="b">
        <f>IF(ISNUMBER(SEARCH("RQ1",Tabelle1[[#This Row],[Mapped RQ]])), TRUE,FALSE)</f>
        <v>1</v>
      </c>
      <c r="L3" t="b">
        <f>IF(ISNUMBER(SEARCH("RQ2",Tabelle1[[#This Row],[Mapped RQ]])), TRUE,FALSE)</f>
        <v>0</v>
      </c>
      <c r="M3" t="b">
        <f>IF(ISNUMBER(SEARCH("RQ3",Tabelle1[[#This Row],[Mapped RQ]])), TRUE,FALSE)</f>
        <v>0</v>
      </c>
    </row>
    <row r="4" spans="1:13" x14ac:dyDescent="0.25">
      <c r="A4" t="s">
        <v>352</v>
      </c>
      <c r="B4" t="s">
        <v>353</v>
      </c>
      <c r="C4" t="s">
        <v>354</v>
      </c>
      <c r="D4">
        <v>2025</v>
      </c>
      <c r="E4" t="s">
        <v>355</v>
      </c>
      <c r="F4" t="s">
        <v>356</v>
      </c>
      <c r="G4" t="s">
        <v>357</v>
      </c>
      <c r="H4" t="s">
        <v>444</v>
      </c>
      <c r="I4" t="s">
        <v>358</v>
      </c>
      <c r="J4" t="s">
        <v>34</v>
      </c>
      <c r="K4" t="b">
        <f>IF(ISNUMBER(SEARCH("RQ1",Tabelle1[[#This Row],[Mapped RQ]])), TRUE,FALSE)</f>
        <v>1</v>
      </c>
      <c r="L4" t="b">
        <f>IF(ISNUMBER(SEARCH("RQ2",Tabelle1[[#This Row],[Mapped RQ]])), TRUE,FALSE)</f>
        <v>0</v>
      </c>
      <c r="M4" t="b">
        <f>IF(ISNUMBER(SEARCH("RQ3",Tabelle1[[#This Row],[Mapped RQ]])), TRUE,FALSE)</f>
        <v>0</v>
      </c>
    </row>
    <row r="5" spans="1:13" x14ac:dyDescent="0.25">
      <c r="A5" t="s">
        <v>290</v>
      </c>
      <c r="B5" t="s">
        <v>291</v>
      </c>
      <c r="C5" t="s">
        <v>292</v>
      </c>
      <c r="D5">
        <v>2025</v>
      </c>
      <c r="E5" t="s">
        <v>293</v>
      </c>
      <c r="F5" t="s">
        <v>294</v>
      </c>
      <c r="G5" t="s">
        <v>295</v>
      </c>
      <c r="H5" t="s">
        <v>445</v>
      </c>
      <c r="I5" t="s">
        <v>296</v>
      </c>
      <c r="J5" t="s">
        <v>131</v>
      </c>
      <c r="K5" t="b">
        <f>IF(ISNUMBER(SEARCH("RQ1",Tabelle1[[#This Row],[Mapped RQ]])), TRUE,FALSE)</f>
        <v>0</v>
      </c>
      <c r="L5" t="b">
        <f>IF(ISNUMBER(SEARCH("RQ2",Tabelle1[[#This Row],[Mapped RQ]])), TRUE,FALSE)</f>
        <v>1</v>
      </c>
      <c r="M5" t="b">
        <f>IF(ISNUMBER(SEARCH("RQ3",Tabelle1[[#This Row],[Mapped RQ]])), TRUE,FALSE)</f>
        <v>0</v>
      </c>
    </row>
    <row r="6" spans="1:13" x14ac:dyDescent="0.25">
      <c r="A6" t="s">
        <v>297</v>
      </c>
      <c r="B6" t="s">
        <v>298</v>
      </c>
      <c r="C6" t="s">
        <v>299</v>
      </c>
      <c r="D6">
        <v>2024</v>
      </c>
      <c r="E6" t="s">
        <v>300</v>
      </c>
      <c r="F6" t="s">
        <v>301</v>
      </c>
      <c r="G6" t="s">
        <v>302</v>
      </c>
      <c r="H6" t="s">
        <v>443</v>
      </c>
      <c r="I6" t="s">
        <v>303</v>
      </c>
      <c r="J6" t="s">
        <v>22</v>
      </c>
      <c r="K6" t="b">
        <f>IF(ISNUMBER(SEARCH("RQ1",Tabelle1[[#This Row],[Mapped RQ]])), TRUE,FALSE)</f>
        <v>1</v>
      </c>
      <c r="L6" t="b">
        <f>IF(ISNUMBER(SEARCH("RQ2",Tabelle1[[#This Row],[Mapped RQ]])), TRUE,FALSE)</f>
        <v>1</v>
      </c>
      <c r="M6" t="b">
        <f>IF(ISNUMBER(SEARCH("RQ3",Tabelle1[[#This Row],[Mapped RQ]])), TRUE,FALSE)</f>
        <v>0</v>
      </c>
    </row>
    <row r="7" spans="1:13" x14ac:dyDescent="0.25">
      <c r="A7" t="s">
        <v>304</v>
      </c>
      <c r="B7" t="s">
        <v>305</v>
      </c>
      <c r="C7" t="s">
        <v>306</v>
      </c>
      <c r="D7">
        <v>2024</v>
      </c>
      <c r="E7" t="s">
        <v>273</v>
      </c>
      <c r="F7" t="s">
        <v>307</v>
      </c>
      <c r="G7" t="s">
        <v>308</v>
      </c>
      <c r="H7" t="s">
        <v>444</v>
      </c>
      <c r="I7" t="s">
        <v>309</v>
      </c>
      <c r="J7" t="s">
        <v>310</v>
      </c>
      <c r="K7" t="b">
        <f>IF(ISNUMBER(SEARCH("RQ1",Tabelle1[[#This Row],[Mapped RQ]])), TRUE,FALSE)</f>
        <v>0</v>
      </c>
      <c r="L7" t="b">
        <f>IF(ISNUMBER(SEARCH("RQ2",Tabelle1[[#This Row],[Mapped RQ]])), TRUE,FALSE)</f>
        <v>1</v>
      </c>
      <c r="M7" t="b">
        <f>IF(ISNUMBER(SEARCH("RQ3",Tabelle1[[#This Row],[Mapped RQ]])), TRUE,FALSE)</f>
        <v>1</v>
      </c>
    </row>
    <row r="8" spans="1:13" x14ac:dyDescent="0.25">
      <c r="A8" t="s">
        <v>359</v>
      </c>
      <c r="B8" t="s">
        <v>360</v>
      </c>
      <c r="C8" t="s">
        <v>361</v>
      </c>
      <c r="D8">
        <v>2023</v>
      </c>
      <c r="E8" t="s">
        <v>362</v>
      </c>
      <c r="F8" t="s">
        <v>363</v>
      </c>
      <c r="G8" t="s">
        <v>364</v>
      </c>
      <c r="H8" t="s">
        <v>443</v>
      </c>
      <c r="I8" t="s">
        <v>365</v>
      </c>
      <c r="J8" t="s">
        <v>34</v>
      </c>
      <c r="K8" t="b">
        <f>IF(ISNUMBER(SEARCH("RQ1",Tabelle1[[#This Row],[Mapped RQ]])), TRUE,FALSE)</f>
        <v>1</v>
      </c>
      <c r="L8" t="b">
        <f>IF(ISNUMBER(SEARCH("RQ2",Tabelle1[[#This Row],[Mapped RQ]])), TRUE,FALSE)</f>
        <v>0</v>
      </c>
      <c r="M8" t="b">
        <f>IF(ISNUMBER(SEARCH("RQ3",Tabelle1[[#This Row],[Mapped RQ]])), TRUE,FALSE)</f>
        <v>0</v>
      </c>
    </row>
    <row r="9" spans="1:13" x14ac:dyDescent="0.25">
      <c r="A9" t="s">
        <v>311</v>
      </c>
      <c r="B9" t="s">
        <v>312</v>
      </c>
      <c r="C9" t="s">
        <v>313</v>
      </c>
      <c r="D9">
        <v>2024</v>
      </c>
      <c r="E9" t="s">
        <v>273</v>
      </c>
      <c r="F9" t="s">
        <v>314</v>
      </c>
      <c r="G9" t="s">
        <v>315</v>
      </c>
      <c r="H9" t="s">
        <v>444</v>
      </c>
      <c r="I9" t="s">
        <v>316</v>
      </c>
      <c r="J9" t="s">
        <v>22</v>
      </c>
      <c r="K9" t="b">
        <f>IF(ISNUMBER(SEARCH("RQ1",Tabelle1[[#This Row],[Mapped RQ]])), TRUE,FALSE)</f>
        <v>1</v>
      </c>
      <c r="L9" t="b">
        <f>IF(ISNUMBER(SEARCH("RQ2",Tabelle1[[#This Row],[Mapped RQ]])), TRUE,FALSE)</f>
        <v>1</v>
      </c>
      <c r="M9" t="b">
        <f>IF(ISNUMBER(SEARCH("RQ3",Tabelle1[[#This Row],[Mapped RQ]])), TRUE,FALSE)</f>
        <v>0</v>
      </c>
    </row>
    <row r="10" spans="1:13" x14ac:dyDescent="0.25">
      <c r="A10" t="s">
        <v>366</v>
      </c>
      <c r="B10" t="s">
        <v>367</v>
      </c>
      <c r="C10" t="s">
        <v>368</v>
      </c>
      <c r="D10">
        <v>2024</v>
      </c>
      <c r="E10" t="s">
        <v>369</v>
      </c>
      <c r="F10" t="s">
        <v>370</v>
      </c>
      <c r="G10" t="s">
        <v>371</v>
      </c>
      <c r="H10" t="s">
        <v>444</v>
      </c>
      <c r="I10" t="s">
        <v>372</v>
      </c>
      <c r="J10" t="s">
        <v>34</v>
      </c>
      <c r="K10" t="b">
        <f>IF(ISNUMBER(SEARCH("RQ1",Tabelle1[[#This Row],[Mapped RQ]])), TRUE,FALSE)</f>
        <v>1</v>
      </c>
      <c r="L10" t="b">
        <f>IF(ISNUMBER(SEARCH("RQ2",Tabelle1[[#This Row],[Mapped RQ]])), TRUE,FALSE)</f>
        <v>0</v>
      </c>
      <c r="M10" t="b">
        <f>IF(ISNUMBER(SEARCH("RQ3",Tabelle1[[#This Row],[Mapped RQ]])), TRUE,FALSE)</f>
        <v>0</v>
      </c>
    </row>
    <row r="11" spans="1:13" x14ac:dyDescent="0.25">
      <c r="A11" t="s">
        <v>373</v>
      </c>
      <c r="B11" t="s">
        <v>374</v>
      </c>
      <c r="C11" t="s">
        <v>375</v>
      </c>
      <c r="D11">
        <v>2025</v>
      </c>
      <c r="E11" t="s">
        <v>376</v>
      </c>
      <c r="F11" t="s">
        <v>377</v>
      </c>
      <c r="G11" t="s">
        <v>378</v>
      </c>
      <c r="H11" t="s">
        <v>443</v>
      </c>
      <c r="I11" t="s">
        <v>379</v>
      </c>
      <c r="J11" t="s">
        <v>22</v>
      </c>
      <c r="K11" t="b">
        <f>IF(ISNUMBER(SEARCH("RQ1",Tabelle1[[#This Row],[Mapped RQ]])), TRUE,FALSE)</f>
        <v>1</v>
      </c>
      <c r="L11" t="b">
        <f>IF(ISNUMBER(SEARCH("RQ2",Tabelle1[[#This Row],[Mapped RQ]])), TRUE,FALSE)</f>
        <v>1</v>
      </c>
      <c r="M11" t="b">
        <f>IF(ISNUMBER(SEARCH("RQ3",Tabelle1[[#This Row],[Mapped RQ]])), TRUE,FALSE)</f>
        <v>0</v>
      </c>
    </row>
    <row r="12" spans="1:13" x14ac:dyDescent="0.25">
      <c r="A12" t="s">
        <v>277</v>
      </c>
      <c r="B12" t="s">
        <v>278</v>
      </c>
      <c r="C12" t="s">
        <v>279</v>
      </c>
      <c r="D12">
        <v>2024</v>
      </c>
      <c r="E12" t="s">
        <v>273</v>
      </c>
      <c r="F12" t="s">
        <v>280</v>
      </c>
      <c r="G12" t="s">
        <v>281</v>
      </c>
      <c r="H12" t="s">
        <v>444</v>
      </c>
      <c r="I12" t="s">
        <v>282</v>
      </c>
      <c r="J12" t="s">
        <v>34</v>
      </c>
      <c r="K12" t="b">
        <f>IF(ISNUMBER(SEARCH("RQ1",Tabelle1[[#This Row],[Mapped RQ]])), TRUE,FALSE)</f>
        <v>1</v>
      </c>
      <c r="L12" t="b">
        <f>IF(ISNUMBER(SEARCH("RQ2",Tabelle1[[#This Row],[Mapped RQ]])), TRUE,FALSE)</f>
        <v>0</v>
      </c>
      <c r="M12" t="b">
        <f>IF(ISNUMBER(SEARCH("RQ3",Tabelle1[[#This Row],[Mapped RQ]])), TRUE,FALSE)</f>
        <v>0</v>
      </c>
    </row>
    <row r="13" spans="1:13" x14ac:dyDescent="0.25">
      <c r="A13" t="s">
        <v>317</v>
      </c>
      <c r="B13" t="s">
        <v>318</v>
      </c>
      <c r="C13" t="s">
        <v>319</v>
      </c>
      <c r="D13">
        <v>2025</v>
      </c>
      <c r="E13" t="s">
        <v>320</v>
      </c>
      <c r="F13" t="s">
        <v>321</v>
      </c>
      <c r="G13" t="s">
        <v>322</v>
      </c>
      <c r="H13" t="s">
        <v>444</v>
      </c>
      <c r="I13" t="s">
        <v>323</v>
      </c>
      <c r="J13" t="s">
        <v>22</v>
      </c>
      <c r="K13" t="b">
        <f>IF(ISNUMBER(SEARCH("RQ1",Tabelle1[[#This Row],[Mapped RQ]])), TRUE,FALSE)</f>
        <v>1</v>
      </c>
      <c r="L13" t="b">
        <f>IF(ISNUMBER(SEARCH("RQ2",Tabelle1[[#This Row],[Mapped RQ]])), TRUE,FALSE)</f>
        <v>1</v>
      </c>
      <c r="M13" t="b">
        <f>IF(ISNUMBER(SEARCH("RQ3",Tabelle1[[#This Row],[Mapped RQ]])), TRUE,FALSE)</f>
        <v>0</v>
      </c>
    </row>
    <row r="14" spans="1:13" x14ac:dyDescent="0.25">
      <c r="A14" t="s">
        <v>324</v>
      </c>
      <c r="B14" t="s">
        <v>325</v>
      </c>
      <c r="C14" t="s">
        <v>326</v>
      </c>
      <c r="D14">
        <v>2024</v>
      </c>
      <c r="E14" t="s">
        <v>327</v>
      </c>
      <c r="F14" t="s">
        <v>328</v>
      </c>
      <c r="G14" t="s">
        <v>329</v>
      </c>
      <c r="H14" t="s">
        <v>444</v>
      </c>
      <c r="I14" t="s">
        <v>330</v>
      </c>
      <c r="J14" t="s">
        <v>22</v>
      </c>
      <c r="K14" t="b">
        <f>IF(ISNUMBER(SEARCH("RQ1",Tabelle1[[#This Row],[Mapped RQ]])), TRUE,FALSE)</f>
        <v>1</v>
      </c>
      <c r="L14" t="b">
        <f>IF(ISNUMBER(SEARCH("RQ2",Tabelle1[[#This Row],[Mapped RQ]])), TRUE,FALSE)</f>
        <v>1</v>
      </c>
      <c r="M14" t="b">
        <f>IF(ISNUMBER(SEARCH("RQ3",Tabelle1[[#This Row],[Mapped RQ]])), TRUE,FALSE)</f>
        <v>0</v>
      </c>
    </row>
    <row r="15" spans="1:13" x14ac:dyDescent="0.25">
      <c r="A15" t="s">
        <v>331</v>
      </c>
      <c r="B15" t="s">
        <v>332</v>
      </c>
      <c r="C15" t="s">
        <v>333</v>
      </c>
      <c r="D15">
        <v>2025</v>
      </c>
      <c r="E15" t="s">
        <v>334</v>
      </c>
      <c r="F15" t="s">
        <v>335</v>
      </c>
      <c r="G15" t="s">
        <v>336</v>
      </c>
      <c r="H15" t="s">
        <v>445</v>
      </c>
      <c r="I15" t="s">
        <v>337</v>
      </c>
      <c r="J15" t="s">
        <v>22</v>
      </c>
      <c r="K15" t="b">
        <f>IF(ISNUMBER(SEARCH("RQ1",Tabelle1[[#This Row],[Mapped RQ]])), TRUE,FALSE)</f>
        <v>1</v>
      </c>
      <c r="L15" t="b">
        <f>IF(ISNUMBER(SEARCH("RQ2",Tabelle1[[#This Row],[Mapped RQ]])), TRUE,FALSE)</f>
        <v>1</v>
      </c>
      <c r="M15" t="b">
        <f>IF(ISNUMBER(SEARCH("RQ3",Tabelle1[[#This Row],[Mapped RQ]])), TRUE,FALSE)</f>
        <v>0</v>
      </c>
    </row>
    <row r="16" spans="1:13" x14ac:dyDescent="0.25">
      <c r="A16" t="s">
        <v>283</v>
      </c>
      <c r="B16" t="s">
        <v>284</v>
      </c>
      <c r="C16" t="s">
        <v>285</v>
      </c>
      <c r="D16">
        <v>2024</v>
      </c>
      <c r="E16" t="s">
        <v>286</v>
      </c>
      <c r="F16" t="s">
        <v>287</v>
      </c>
      <c r="G16" t="s">
        <v>288</v>
      </c>
      <c r="H16" t="s">
        <v>443</v>
      </c>
      <c r="I16" t="s">
        <v>289</v>
      </c>
      <c r="J16" t="s">
        <v>131</v>
      </c>
      <c r="K16" t="b">
        <f>IF(ISNUMBER(SEARCH("RQ1",Tabelle1[[#This Row],[Mapped RQ]])), TRUE,FALSE)</f>
        <v>0</v>
      </c>
      <c r="L16" t="b">
        <f>IF(ISNUMBER(SEARCH("RQ2",Tabelle1[[#This Row],[Mapped RQ]])), TRUE,FALSE)</f>
        <v>1</v>
      </c>
      <c r="M16" t="b">
        <f>IF(ISNUMBER(SEARCH("RQ3",Tabelle1[[#This Row],[Mapped RQ]])), TRUE,FALSE)</f>
        <v>0</v>
      </c>
    </row>
    <row r="17" spans="1:13" x14ac:dyDescent="0.25">
      <c r="A17" t="s">
        <v>338</v>
      </c>
      <c r="B17" t="s">
        <v>339</v>
      </c>
      <c r="C17" t="s">
        <v>340</v>
      </c>
      <c r="D17">
        <v>2024</v>
      </c>
      <c r="E17" t="s">
        <v>341</v>
      </c>
      <c r="F17" t="s">
        <v>342</v>
      </c>
      <c r="G17" t="s">
        <v>343</v>
      </c>
      <c r="H17" t="s">
        <v>443</v>
      </c>
      <c r="I17" t="s">
        <v>344</v>
      </c>
      <c r="J17" t="s">
        <v>22</v>
      </c>
      <c r="K17" t="b">
        <f>IF(ISNUMBER(SEARCH("RQ1",Tabelle1[[#This Row],[Mapped RQ]])), TRUE,FALSE)</f>
        <v>1</v>
      </c>
      <c r="L17" t="b">
        <f>IF(ISNUMBER(SEARCH("RQ2",Tabelle1[[#This Row],[Mapped RQ]])), TRUE,FALSE)</f>
        <v>1</v>
      </c>
      <c r="M17" t="b">
        <f>IF(ISNUMBER(SEARCH("RQ3",Tabelle1[[#This Row],[Mapped RQ]])), TRUE,FALSE)</f>
        <v>0</v>
      </c>
    </row>
    <row r="18" spans="1:13" x14ac:dyDescent="0.25">
      <c r="A18" t="s">
        <v>345</v>
      </c>
      <c r="B18" t="s">
        <v>346</v>
      </c>
      <c r="C18" t="s">
        <v>347</v>
      </c>
      <c r="D18">
        <v>2023</v>
      </c>
      <c r="E18" t="s">
        <v>348</v>
      </c>
      <c r="F18" t="s">
        <v>349</v>
      </c>
      <c r="G18" t="s">
        <v>350</v>
      </c>
      <c r="H18" t="s">
        <v>443</v>
      </c>
      <c r="I18" t="s">
        <v>351</v>
      </c>
      <c r="J18" t="s">
        <v>34</v>
      </c>
      <c r="K18" t="b">
        <f>IF(ISNUMBER(SEARCH("RQ1",Tabelle1[[#This Row],[Mapped RQ]])), TRUE,FALSE)</f>
        <v>1</v>
      </c>
      <c r="L18" t="b">
        <f>IF(ISNUMBER(SEARCH("RQ2",Tabelle1[[#This Row],[Mapped RQ]])), TRUE,FALSE)</f>
        <v>0</v>
      </c>
      <c r="M18" t="b">
        <f>IF(ISNUMBER(SEARCH("RQ3",Tabelle1[[#This Row],[Mapped RQ]])), TRUE,FALSE)</f>
        <v>0</v>
      </c>
    </row>
    <row r="19" spans="1:13" x14ac:dyDescent="0.25">
      <c r="A19" t="s">
        <v>63</v>
      </c>
      <c r="B19" t="s">
        <v>64</v>
      </c>
      <c r="C19" t="s">
        <v>65</v>
      </c>
      <c r="D19">
        <v>2025</v>
      </c>
      <c r="E19" t="s">
        <v>66</v>
      </c>
      <c r="F19" t="s">
        <v>67</v>
      </c>
      <c r="G19" t="s">
        <v>68</v>
      </c>
      <c r="H19" t="s">
        <v>443</v>
      </c>
      <c r="I19" t="s">
        <v>69</v>
      </c>
      <c r="J19" t="s">
        <v>22</v>
      </c>
      <c r="K19" t="b">
        <f>IF(ISNUMBER(SEARCH("RQ1",Tabelle1[[#This Row],[Mapped RQ]])), TRUE,FALSE)</f>
        <v>1</v>
      </c>
      <c r="L19" t="b">
        <f>IF(ISNUMBER(SEARCH("RQ2",Tabelle1[[#This Row],[Mapped RQ]])), TRUE,FALSE)</f>
        <v>1</v>
      </c>
      <c r="M19" t="b">
        <f>IF(ISNUMBER(SEARCH("RQ3",Tabelle1[[#This Row],[Mapped RQ]])), TRUE,FALSE)</f>
        <v>0</v>
      </c>
    </row>
    <row r="20" spans="1:13" x14ac:dyDescent="0.25">
      <c r="A20" t="s">
        <v>70</v>
      </c>
      <c r="B20" t="s">
        <v>71</v>
      </c>
      <c r="C20" t="s">
        <v>72</v>
      </c>
      <c r="D20">
        <v>2025</v>
      </c>
      <c r="E20" t="s">
        <v>73</v>
      </c>
      <c r="F20" t="s">
        <v>74</v>
      </c>
      <c r="G20" t="s">
        <v>75</v>
      </c>
      <c r="H20" t="s">
        <v>444</v>
      </c>
      <c r="I20" t="s">
        <v>76</v>
      </c>
      <c r="J20" t="s">
        <v>34</v>
      </c>
      <c r="K20" t="b">
        <f>IF(ISNUMBER(SEARCH("RQ1",Tabelle1[[#This Row],[Mapped RQ]])), TRUE,FALSE)</f>
        <v>1</v>
      </c>
      <c r="L20" t="b">
        <f>IF(ISNUMBER(SEARCH("RQ2",Tabelle1[[#This Row],[Mapped RQ]])), TRUE,FALSE)</f>
        <v>0</v>
      </c>
      <c r="M20" t="b">
        <f>IF(ISNUMBER(SEARCH("RQ3",Tabelle1[[#This Row],[Mapped RQ]])), TRUE,FALSE)</f>
        <v>0</v>
      </c>
    </row>
    <row r="21" spans="1:13" x14ac:dyDescent="0.25">
      <c r="A21" t="s">
        <v>166</v>
      </c>
      <c r="B21" t="s">
        <v>167</v>
      </c>
      <c r="C21" t="s">
        <v>168</v>
      </c>
      <c r="D21">
        <v>2024</v>
      </c>
      <c r="E21" t="s">
        <v>120</v>
      </c>
      <c r="F21" t="s">
        <v>169</v>
      </c>
      <c r="G21" t="s">
        <v>170</v>
      </c>
      <c r="H21" t="s">
        <v>443</v>
      </c>
      <c r="I21" t="s">
        <v>171</v>
      </c>
      <c r="J21" t="s">
        <v>131</v>
      </c>
      <c r="K21" t="b">
        <f>IF(ISNUMBER(SEARCH("RQ1",Tabelle1[[#This Row],[Mapped RQ]])), TRUE,FALSE)</f>
        <v>0</v>
      </c>
      <c r="L21" t="b">
        <f>IF(ISNUMBER(SEARCH("RQ2",Tabelle1[[#This Row],[Mapped RQ]])), TRUE,FALSE)</f>
        <v>1</v>
      </c>
      <c r="M21" t="b">
        <f>IF(ISNUMBER(SEARCH("RQ3",Tabelle1[[#This Row],[Mapped RQ]])), TRUE,FALSE)</f>
        <v>0</v>
      </c>
    </row>
    <row r="22" spans="1:13" x14ac:dyDescent="0.25">
      <c r="A22" t="s">
        <v>77</v>
      </c>
      <c r="B22" t="s">
        <v>78</v>
      </c>
      <c r="C22" t="s">
        <v>79</v>
      </c>
      <c r="D22">
        <v>2024</v>
      </c>
      <c r="E22" t="s">
        <v>80</v>
      </c>
      <c r="F22" t="s">
        <v>81</v>
      </c>
      <c r="G22" t="s">
        <v>82</v>
      </c>
      <c r="H22" t="s">
        <v>444</v>
      </c>
      <c r="I22" t="s">
        <v>83</v>
      </c>
      <c r="J22" t="s">
        <v>34</v>
      </c>
      <c r="K22" t="b">
        <f>IF(ISNUMBER(SEARCH("RQ1",Tabelle1[[#This Row],[Mapped RQ]])), TRUE,FALSE)</f>
        <v>1</v>
      </c>
      <c r="L22" t="b">
        <f>IF(ISNUMBER(SEARCH("RQ2",Tabelle1[[#This Row],[Mapped RQ]])), TRUE,FALSE)</f>
        <v>0</v>
      </c>
      <c r="M22" t="b">
        <f>IF(ISNUMBER(SEARCH("RQ3",Tabelle1[[#This Row],[Mapped RQ]])), TRUE,FALSE)</f>
        <v>0</v>
      </c>
    </row>
    <row r="23" spans="1:13" x14ac:dyDescent="0.25">
      <c r="A23" t="s">
        <v>84</v>
      </c>
      <c r="B23" t="s">
        <v>85</v>
      </c>
      <c r="C23" t="s">
        <v>86</v>
      </c>
      <c r="D23">
        <v>2023</v>
      </c>
      <c r="E23" t="s">
        <v>87</v>
      </c>
      <c r="F23" t="s">
        <v>88</v>
      </c>
      <c r="G23" t="s">
        <v>89</v>
      </c>
      <c r="H23" t="s">
        <v>445</v>
      </c>
      <c r="I23" t="s">
        <v>90</v>
      </c>
      <c r="J23" t="s">
        <v>22</v>
      </c>
      <c r="K23" t="b">
        <f>IF(ISNUMBER(SEARCH("RQ1",Tabelle1[[#This Row],[Mapped RQ]])), TRUE,FALSE)</f>
        <v>1</v>
      </c>
      <c r="L23" t="b">
        <f>IF(ISNUMBER(SEARCH("RQ2",Tabelle1[[#This Row],[Mapped RQ]])), TRUE,FALSE)</f>
        <v>1</v>
      </c>
      <c r="M23" t="b">
        <f>IF(ISNUMBER(SEARCH("RQ3",Tabelle1[[#This Row],[Mapped RQ]])), TRUE,FALSE)</f>
        <v>0</v>
      </c>
    </row>
    <row r="24" spans="1:13" x14ac:dyDescent="0.25">
      <c r="A24" t="s">
        <v>91</v>
      </c>
      <c r="B24" t="s">
        <v>92</v>
      </c>
      <c r="C24" t="s">
        <v>93</v>
      </c>
      <c r="D24">
        <v>2024</v>
      </c>
      <c r="E24" t="s">
        <v>80</v>
      </c>
      <c r="F24" t="s">
        <v>94</v>
      </c>
      <c r="G24" t="s">
        <v>95</v>
      </c>
      <c r="H24" t="s">
        <v>444</v>
      </c>
      <c r="I24" t="s">
        <v>96</v>
      </c>
      <c r="J24" t="s">
        <v>34</v>
      </c>
      <c r="K24" t="b">
        <f>IF(ISNUMBER(SEARCH("RQ1",Tabelle1[[#This Row],[Mapped RQ]])), TRUE,FALSE)</f>
        <v>1</v>
      </c>
      <c r="L24" t="b">
        <f>IF(ISNUMBER(SEARCH("RQ2",Tabelle1[[#This Row],[Mapped RQ]])), TRUE,FALSE)</f>
        <v>0</v>
      </c>
      <c r="M24" t="b">
        <f>IF(ISNUMBER(SEARCH("RQ3",Tabelle1[[#This Row],[Mapped RQ]])), TRUE,FALSE)</f>
        <v>0</v>
      </c>
    </row>
    <row r="25" spans="1:13" x14ac:dyDescent="0.25">
      <c r="A25" t="s">
        <v>97</v>
      </c>
      <c r="B25" t="s">
        <v>98</v>
      </c>
      <c r="C25" t="s">
        <v>99</v>
      </c>
      <c r="D25">
        <v>2023</v>
      </c>
      <c r="E25" t="s">
        <v>100</v>
      </c>
      <c r="F25" t="s">
        <v>101</v>
      </c>
      <c r="G25" t="s">
        <v>102</v>
      </c>
      <c r="H25" t="s">
        <v>443</v>
      </c>
      <c r="I25" t="s">
        <v>103</v>
      </c>
      <c r="J25" t="s">
        <v>22</v>
      </c>
      <c r="K25" t="b">
        <f>IF(ISNUMBER(SEARCH("RQ1",Tabelle1[[#This Row],[Mapped RQ]])), TRUE,FALSE)</f>
        <v>1</v>
      </c>
      <c r="L25" t="b">
        <f>IF(ISNUMBER(SEARCH("RQ2",Tabelle1[[#This Row],[Mapped RQ]])), TRUE,FALSE)</f>
        <v>1</v>
      </c>
      <c r="M25" t="b">
        <f>IF(ISNUMBER(SEARCH("RQ3",Tabelle1[[#This Row],[Mapped RQ]])), TRUE,FALSE)</f>
        <v>0</v>
      </c>
    </row>
    <row r="26" spans="1:13" x14ac:dyDescent="0.25">
      <c r="A26" t="s">
        <v>104</v>
      </c>
      <c r="B26" t="s">
        <v>105</v>
      </c>
      <c r="C26" t="s">
        <v>106</v>
      </c>
      <c r="D26">
        <v>2025</v>
      </c>
      <c r="E26" t="s">
        <v>107</v>
      </c>
      <c r="F26" t="s">
        <v>108</v>
      </c>
      <c r="G26" t="s">
        <v>109</v>
      </c>
      <c r="H26" t="s">
        <v>445</v>
      </c>
      <c r="I26" t="s">
        <v>110</v>
      </c>
      <c r="J26" t="s">
        <v>429</v>
      </c>
      <c r="K26" t="b">
        <f>IF(ISNUMBER(SEARCH("RQ1",Tabelle1[[#This Row],[Mapped RQ]])), TRUE,FALSE)</f>
        <v>0</v>
      </c>
      <c r="L26" t="b">
        <f>IF(ISNUMBER(SEARCH("RQ2",Tabelle1[[#This Row],[Mapped RQ]])), TRUE,FALSE)</f>
        <v>1</v>
      </c>
      <c r="M26" t="b">
        <f>IF(ISNUMBER(SEARCH("RQ3",Tabelle1[[#This Row],[Mapped RQ]])), TRUE,FALSE)</f>
        <v>1</v>
      </c>
    </row>
    <row r="27" spans="1:13" x14ac:dyDescent="0.25">
      <c r="A27" t="s">
        <v>111</v>
      </c>
      <c r="B27" t="s">
        <v>112</v>
      </c>
      <c r="C27" t="s">
        <v>113</v>
      </c>
      <c r="D27">
        <v>2023</v>
      </c>
      <c r="E27" t="s">
        <v>100</v>
      </c>
      <c r="F27" t="s">
        <v>114</v>
      </c>
      <c r="G27" t="s">
        <v>115</v>
      </c>
      <c r="H27" t="s">
        <v>444</v>
      </c>
      <c r="I27" t="s">
        <v>116</v>
      </c>
      <c r="J27" t="s">
        <v>34</v>
      </c>
      <c r="K27" t="b">
        <f>IF(ISNUMBER(SEARCH("RQ1",Tabelle1[[#This Row],[Mapped RQ]])), TRUE,FALSE)</f>
        <v>1</v>
      </c>
      <c r="L27" t="b">
        <f>IF(ISNUMBER(SEARCH("RQ2",Tabelle1[[#This Row],[Mapped RQ]])), TRUE,FALSE)</f>
        <v>0</v>
      </c>
      <c r="M27" t="b">
        <f>IF(ISNUMBER(SEARCH("RQ3",Tabelle1[[#This Row],[Mapped RQ]])), TRUE,FALSE)</f>
        <v>0</v>
      </c>
    </row>
    <row r="28" spans="1:13" x14ac:dyDescent="0.25">
      <c r="A28" t="s">
        <v>117</v>
      </c>
      <c r="B28" t="s">
        <v>118</v>
      </c>
      <c r="C28" t="s">
        <v>119</v>
      </c>
      <c r="D28">
        <v>2024</v>
      </c>
      <c r="E28" t="s">
        <v>120</v>
      </c>
      <c r="F28" t="s">
        <v>121</v>
      </c>
      <c r="G28" t="s">
        <v>122</v>
      </c>
      <c r="H28" t="s">
        <v>444</v>
      </c>
      <c r="I28" t="s">
        <v>123</v>
      </c>
      <c r="J28" t="s">
        <v>34</v>
      </c>
      <c r="K28" t="b">
        <f>IF(ISNUMBER(SEARCH("RQ1",Tabelle1[[#This Row],[Mapped RQ]])), TRUE,FALSE)</f>
        <v>1</v>
      </c>
      <c r="L28" t="b">
        <f>IF(ISNUMBER(SEARCH("RQ2",Tabelle1[[#This Row],[Mapped RQ]])), TRUE,FALSE)</f>
        <v>0</v>
      </c>
      <c r="M28" t="b">
        <f>IF(ISNUMBER(SEARCH("RQ3",Tabelle1[[#This Row],[Mapped RQ]])), TRUE,FALSE)</f>
        <v>0</v>
      </c>
    </row>
    <row r="29" spans="1:13" x14ac:dyDescent="0.25">
      <c r="A29" t="s">
        <v>124</v>
      </c>
      <c r="B29" t="s">
        <v>125</v>
      </c>
      <c r="C29" t="s">
        <v>126</v>
      </c>
      <c r="D29">
        <v>2024</v>
      </c>
      <c r="E29" t="s">
        <v>127</v>
      </c>
      <c r="F29" t="s">
        <v>128</v>
      </c>
      <c r="G29" t="s">
        <v>129</v>
      </c>
      <c r="H29" t="s">
        <v>444</v>
      </c>
      <c r="I29" t="s">
        <v>130</v>
      </c>
      <c r="J29" t="s">
        <v>131</v>
      </c>
      <c r="K29" t="b">
        <f>IF(ISNUMBER(SEARCH("RQ1",Tabelle1[[#This Row],[Mapped RQ]])), TRUE,FALSE)</f>
        <v>0</v>
      </c>
      <c r="L29" t="b">
        <f>IF(ISNUMBER(SEARCH("RQ2",Tabelle1[[#This Row],[Mapped RQ]])), TRUE,FALSE)</f>
        <v>1</v>
      </c>
      <c r="M29" t="b">
        <f>IF(ISNUMBER(SEARCH("RQ3",Tabelle1[[#This Row],[Mapped RQ]])), TRUE,FALSE)</f>
        <v>0</v>
      </c>
    </row>
    <row r="30" spans="1:13" x14ac:dyDescent="0.25">
      <c r="A30" t="s">
        <v>132</v>
      </c>
      <c r="B30" t="s">
        <v>133</v>
      </c>
      <c r="C30" t="s">
        <v>134</v>
      </c>
      <c r="D30">
        <v>2023</v>
      </c>
      <c r="E30" t="s">
        <v>100</v>
      </c>
      <c r="F30" t="s">
        <v>135</v>
      </c>
      <c r="G30" t="s">
        <v>136</v>
      </c>
      <c r="H30" t="s">
        <v>444</v>
      </c>
      <c r="I30" t="s">
        <v>137</v>
      </c>
      <c r="J30" t="s">
        <v>34</v>
      </c>
      <c r="K30" t="b">
        <f>IF(ISNUMBER(SEARCH("RQ1",Tabelle1[[#This Row],[Mapped RQ]])), TRUE,FALSE)</f>
        <v>1</v>
      </c>
      <c r="L30" t="b">
        <f>IF(ISNUMBER(SEARCH("RQ2",Tabelle1[[#This Row],[Mapped RQ]])), TRUE,FALSE)</f>
        <v>0</v>
      </c>
      <c r="M30" t="b">
        <f>IF(ISNUMBER(SEARCH("RQ3",Tabelle1[[#This Row],[Mapped RQ]])), TRUE,FALSE)</f>
        <v>0</v>
      </c>
    </row>
    <row r="31" spans="1:13" x14ac:dyDescent="0.25">
      <c r="A31" t="s">
        <v>138</v>
      </c>
      <c r="B31" t="s">
        <v>139</v>
      </c>
      <c r="C31" t="s">
        <v>140</v>
      </c>
      <c r="D31">
        <v>2024</v>
      </c>
      <c r="E31" t="s">
        <v>80</v>
      </c>
      <c r="F31" t="s">
        <v>141</v>
      </c>
      <c r="G31" t="s">
        <v>142</v>
      </c>
      <c r="H31" t="s">
        <v>444</v>
      </c>
      <c r="I31" t="s">
        <v>143</v>
      </c>
      <c r="J31" t="s">
        <v>144</v>
      </c>
      <c r="K31" t="b">
        <f>IF(ISNUMBER(SEARCH("RQ1",Tabelle1[[#This Row],[Mapped RQ]])), TRUE,FALSE)</f>
        <v>1</v>
      </c>
      <c r="L31" t="b">
        <f>IF(ISNUMBER(SEARCH("RQ2",Tabelle1[[#This Row],[Mapped RQ]])), TRUE,FALSE)</f>
        <v>0</v>
      </c>
      <c r="M31" t="b">
        <f>IF(ISNUMBER(SEARCH("RQ3",Tabelle1[[#This Row],[Mapped RQ]])), TRUE,FALSE)</f>
        <v>1</v>
      </c>
    </row>
    <row r="32" spans="1:13" x14ac:dyDescent="0.25">
      <c r="A32" t="s">
        <v>145</v>
      </c>
      <c r="B32" t="s">
        <v>146</v>
      </c>
      <c r="C32" t="s">
        <v>147</v>
      </c>
      <c r="D32">
        <v>2025</v>
      </c>
      <c r="E32" t="s">
        <v>148</v>
      </c>
      <c r="F32" t="s">
        <v>149</v>
      </c>
      <c r="G32" t="s">
        <v>150</v>
      </c>
      <c r="H32" t="s">
        <v>445</v>
      </c>
      <c r="I32" t="s">
        <v>151</v>
      </c>
      <c r="J32" t="s">
        <v>430</v>
      </c>
      <c r="K32" t="b">
        <f>IF(ISNUMBER(SEARCH("RQ1",Tabelle1[[#This Row],[Mapped RQ]])), TRUE,FALSE)</f>
        <v>0</v>
      </c>
      <c r="L32" t="b">
        <f>IF(ISNUMBER(SEARCH("RQ2",Tabelle1[[#This Row],[Mapped RQ]])), TRUE,FALSE)</f>
        <v>0</v>
      </c>
      <c r="M32" t="b">
        <f>IF(ISNUMBER(SEARCH("RQ3",Tabelle1[[#This Row],[Mapped RQ]])), TRUE,FALSE)</f>
        <v>1</v>
      </c>
    </row>
    <row r="33" spans="1:13" x14ac:dyDescent="0.25">
      <c r="A33" t="s">
        <v>152</v>
      </c>
      <c r="B33" t="s">
        <v>153</v>
      </c>
      <c r="C33" t="s">
        <v>154</v>
      </c>
      <c r="D33">
        <v>2023</v>
      </c>
      <c r="E33" t="s">
        <v>155</v>
      </c>
      <c r="F33" t="s">
        <v>156</v>
      </c>
      <c r="G33" t="s">
        <v>157</v>
      </c>
      <c r="H33" t="s">
        <v>444</v>
      </c>
      <c r="I33" t="s">
        <v>158</v>
      </c>
      <c r="J33" t="s">
        <v>22</v>
      </c>
      <c r="K33" t="b">
        <f>IF(ISNUMBER(SEARCH("RQ1",Tabelle1[[#This Row],[Mapped RQ]])), TRUE,FALSE)</f>
        <v>1</v>
      </c>
      <c r="L33" t="b">
        <f>IF(ISNUMBER(SEARCH("RQ2",Tabelle1[[#This Row],[Mapped RQ]])), TRUE,FALSE)</f>
        <v>1</v>
      </c>
      <c r="M33" t="b">
        <f>IF(ISNUMBER(SEARCH("RQ3",Tabelle1[[#This Row],[Mapped RQ]])), TRUE,FALSE)</f>
        <v>0</v>
      </c>
    </row>
    <row r="34" spans="1:13" x14ac:dyDescent="0.25">
      <c r="A34" t="s">
        <v>159</v>
      </c>
      <c r="B34" t="s">
        <v>160</v>
      </c>
      <c r="C34" t="s">
        <v>161</v>
      </c>
      <c r="D34">
        <v>2024</v>
      </c>
      <c r="E34" t="s">
        <v>162</v>
      </c>
      <c r="F34" t="s">
        <v>163</v>
      </c>
      <c r="G34" t="s">
        <v>164</v>
      </c>
      <c r="H34" t="s">
        <v>443</v>
      </c>
      <c r="I34" t="s">
        <v>165</v>
      </c>
      <c r="J34" t="s">
        <v>430</v>
      </c>
      <c r="K34" t="b">
        <f>IF(ISNUMBER(SEARCH("RQ1",Tabelle1[[#This Row],[Mapped RQ]])), TRUE,FALSE)</f>
        <v>0</v>
      </c>
      <c r="L34" t="b">
        <f>IF(ISNUMBER(SEARCH("RQ2",Tabelle1[[#This Row],[Mapped RQ]])), TRUE,FALSE)</f>
        <v>0</v>
      </c>
      <c r="M34" t="b">
        <f>IF(ISNUMBER(SEARCH("RQ3",Tabelle1[[#This Row],[Mapped RQ]])), TRUE,FALSE)</f>
        <v>1</v>
      </c>
    </row>
    <row r="35" spans="1:13" x14ac:dyDescent="0.25">
      <c r="A35" t="s">
        <v>8</v>
      </c>
      <c r="B35" t="s">
        <v>9</v>
      </c>
      <c r="C35" t="s">
        <v>10</v>
      </c>
      <c r="D35">
        <v>2025</v>
      </c>
      <c r="E35" t="s">
        <v>11</v>
      </c>
      <c r="F35" t="s">
        <v>12</v>
      </c>
      <c r="G35" t="s">
        <v>13</v>
      </c>
      <c r="H35" t="s">
        <v>444</v>
      </c>
      <c r="I35" t="s">
        <v>14</v>
      </c>
      <c r="J35" t="s">
        <v>34</v>
      </c>
      <c r="K35" t="b">
        <f>IF(ISNUMBER(SEARCH("RQ1",Tabelle1[[#This Row],[Mapped RQ]])), TRUE,FALSE)</f>
        <v>1</v>
      </c>
      <c r="L35" t="b">
        <f>IF(ISNUMBER(SEARCH("RQ2",Tabelle1[[#This Row],[Mapped RQ]])), TRUE,FALSE)</f>
        <v>0</v>
      </c>
      <c r="M35" t="b">
        <f>IF(ISNUMBER(SEARCH("RQ3",Tabelle1[[#This Row],[Mapped RQ]])), TRUE,FALSE)</f>
        <v>0</v>
      </c>
    </row>
    <row r="36" spans="1:13" x14ac:dyDescent="0.25">
      <c r="A36" t="s">
        <v>15</v>
      </c>
      <c r="B36" t="s">
        <v>16</v>
      </c>
      <c r="C36" t="s">
        <v>17</v>
      </c>
      <c r="D36">
        <v>2023</v>
      </c>
      <c r="E36" t="s">
        <v>18</v>
      </c>
      <c r="F36" t="s">
        <v>19</v>
      </c>
      <c r="G36" t="s">
        <v>20</v>
      </c>
      <c r="H36" t="s">
        <v>444</v>
      </c>
      <c r="I36" t="s">
        <v>21</v>
      </c>
      <c r="J36" t="s">
        <v>22</v>
      </c>
      <c r="K36" t="b">
        <f>IF(ISNUMBER(SEARCH("RQ1",Tabelle1[[#This Row],[Mapped RQ]])), TRUE,FALSE)</f>
        <v>1</v>
      </c>
      <c r="L36" t="b">
        <f>IF(ISNUMBER(SEARCH("RQ2",Tabelle1[[#This Row],[Mapped RQ]])), TRUE,FALSE)</f>
        <v>1</v>
      </c>
      <c r="M36" t="b">
        <f>IF(ISNUMBER(SEARCH("RQ3",Tabelle1[[#This Row],[Mapped RQ]])), TRUE,FALSE)</f>
        <v>0</v>
      </c>
    </row>
    <row r="37" spans="1:13" x14ac:dyDescent="0.25">
      <c r="A37" t="s">
        <v>23</v>
      </c>
      <c r="B37" t="s">
        <v>24</v>
      </c>
      <c r="C37" t="s">
        <v>25</v>
      </c>
      <c r="D37">
        <v>2024</v>
      </c>
      <c r="E37" t="s">
        <v>26</v>
      </c>
      <c r="F37" t="s">
        <v>27</v>
      </c>
      <c r="G37" t="s">
        <v>28</v>
      </c>
      <c r="H37" t="s">
        <v>444</v>
      </c>
      <c r="I37" t="s">
        <v>29</v>
      </c>
      <c r="J37" t="s">
        <v>22</v>
      </c>
      <c r="K37" t="b">
        <f>IF(ISNUMBER(SEARCH("RQ1",Tabelle1[[#This Row],[Mapped RQ]])), TRUE,FALSE)</f>
        <v>1</v>
      </c>
      <c r="L37" t="b">
        <f>IF(ISNUMBER(SEARCH("RQ2",Tabelle1[[#This Row],[Mapped RQ]])), TRUE,FALSE)</f>
        <v>1</v>
      </c>
      <c r="M37" t="b">
        <f>IF(ISNUMBER(SEARCH("RQ3",Tabelle1[[#This Row],[Mapped RQ]])), TRUE,FALSE)</f>
        <v>0</v>
      </c>
    </row>
    <row r="38" spans="1:13" x14ac:dyDescent="0.25">
      <c r="A38" t="s">
        <v>30</v>
      </c>
      <c r="B38" t="s">
        <v>431</v>
      </c>
      <c r="C38" t="s">
        <v>17</v>
      </c>
      <c r="D38">
        <v>2023</v>
      </c>
      <c r="E38" t="s">
        <v>18</v>
      </c>
      <c r="F38" t="s">
        <v>31</v>
      </c>
      <c r="G38" t="s">
        <v>32</v>
      </c>
      <c r="H38" t="s">
        <v>444</v>
      </c>
      <c r="I38" t="s">
        <v>33</v>
      </c>
      <c r="J38" t="s">
        <v>34</v>
      </c>
      <c r="K38" t="b">
        <f>IF(ISNUMBER(SEARCH("RQ1",Tabelle1[[#This Row],[Mapped RQ]])), TRUE,FALSE)</f>
        <v>1</v>
      </c>
      <c r="L38" t="b">
        <f>IF(ISNUMBER(SEARCH("RQ2",Tabelle1[[#This Row],[Mapped RQ]])), TRUE,FALSE)</f>
        <v>0</v>
      </c>
      <c r="M38" t="b">
        <f>IF(ISNUMBER(SEARCH("RQ3",Tabelle1[[#This Row],[Mapped RQ]])), TRUE,FALSE)</f>
        <v>0</v>
      </c>
    </row>
    <row r="39" spans="1:13" x14ac:dyDescent="0.25">
      <c r="A39" t="s">
        <v>35</v>
      </c>
      <c r="B39" t="s">
        <v>36</v>
      </c>
      <c r="C39" t="s">
        <v>37</v>
      </c>
      <c r="D39">
        <v>2023</v>
      </c>
      <c r="E39" t="s">
        <v>38</v>
      </c>
      <c r="F39" t="s">
        <v>39</v>
      </c>
      <c r="G39" t="s">
        <v>40</v>
      </c>
      <c r="H39" t="s">
        <v>444</v>
      </c>
      <c r="I39" t="s">
        <v>41</v>
      </c>
      <c r="J39" t="s">
        <v>131</v>
      </c>
      <c r="K39" t="b">
        <f>IF(ISNUMBER(SEARCH("RQ1",Tabelle1[[#This Row],[Mapped RQ]])), TRUE,FALSE)</f>
        <v>0</v>
      </c>
      <c r="L39" t="b">
        <f>IF(ISNUMBER(SEARCH("RQ2",Tabelle1[[#This Row],[Mapped RQ]])), TRUE,FALSE)</f>
        <v>1</v>
      </c>
      <c r="M39" t="b">
        <f>IF(ISNUMBER(SEARCH("RQ3",Tabelle1[[#This Row],[Mapped RQ]])), TRUE,FALSE)</f>
        <v>0</v>
      </c>
    </row>
    <row r="40" spans="1:13" x14ac:dyDescent="0.25">
      <c r="A40" t="s">
        <v>42</v>
      </c>
      <c r="B40" t="s">
        <v>43</v>
      </c>
      <c r="C40" t="s">
        <v>44</v>
      </c>
      <c r="D40">
        <v>2023</v>
      </c>
      <c r="E40" t="s">
        <v>45</v>
      </c>
      <c r="F40" t="s">
        <v>46</v>
      </c>
      <c r="G40" t="s">
        <v>47</v>
      </c>
      <c r="H40" t="s">
        <v>443</v>
      </c>
      <c r="I40" t="s">
        <v>48</v>
      </c>
      <c r="J40" t="s">
        <v>131</v>
      </c>
      <c r="K40" t="b">
        <f>IF(ISNUMBER(SEARCH("RQ1",Tabelle1[[#This Row],[Mapped RQ]])), TRUE,FALSE)</f>
        <v>0</v>
      </c>
      <c r="L40" t="b">
        <f>IF(ISNUMBER(SEARCH("RQ2",Tabelle1[[#This Row],[Mapped RQ]])), TRUE,FALSE)</f>
        <v>1</v>
      </c>
      <c r="M40" t="b">
        <f>IF(ISNUMBER(SEARCH("RQ3",Tabelle1[[#This Row],[Mapped RQ]])), TRUE,FALSE)</f>
        <v>0</v>
      </c>
    </row>
    <row r="41" spans="1:13" x14ac:dyDescent="0.25">
      <c r="A41" t="s">
        <v>49</v>
      </c>
      <c r="B41" t="s">
        <v>50</v>
      </c>
      <c r="C41" t="s">
        <v>51</v>
      </c>
      <c r="D41">
        <v>2025</v>
      </c>
      <c r="E41" t="s">
        <v>52</v>
      </c>
      <c r="F41" t="s">
        <v>53</v>
      </c>
      <c r="G41" t="s">
        <v>54</v>
      </c>
      <c r="H41" t="s">
        <v>445</v>
      </c>
      <c r="I41" t="s">
        <v>55</v>
      </c>
      <c r="J41" t="s">
        <v>34</v>
      </c>
      <c r="K41" t="b">
        <f>IF(ISNUMBER(SEARCH("RQ1",Tabelle1[[#This Row],[Mapped RQ]])), TRUE,FALSE)</f>
        <v>1</v>
      </c>
      <c r="L41" t="b">
        <f>IF(ISNUMBER(SEARCH("RQ2",Tabelle1[[#This Row],[Mapped RQ]])), TRUE,FALSE)</f>
        <v>0</v>
      </c>
      <c r="M41" t="b">
        <f>IF(ISNUMBER(SEARCH("RQ3",Tabelle1[[#This Row],[Mapped RQ]])), TRUE,FALSE)</f>
        <v>0</v>
      </c>
    </row>
    <row r="42" spans="1:13" x14ac:dyDescent="0.25">
      <c r="A42" t="s">
        <v>56</v>
      </c>
      <c r="B42" t="s">
        <v>57</v>
      </c>
      <c r="C42" t="s">
        <v>58</v>
      </c>
      <c r="D42">
        <v>2024</v>
      </c>
      <c r="E42" t="s">
        <v>59</v>
      </c>
      <c r="F42" t="s">
        <v>60</v>
      </c>
      <c r="G42" t="s">
        <v>61</v>
      </c>
      <c r="H42" t="s">
        <v>443</v>
      </c>
      <c r="I42" t="s">
        <v>62</v>
      </c>
      <c r="J42" t="s">
        <v>34</v>
      </c>
      <c r="K42" t="b">
        <f>IF(ISNUMBER(SEARCH("RQ1",Tabelle1[[#This Row],[Mapped RQ]])), TRUE,FALSE)</f>
        <v>1</v>
      </c>
      <c r="L42" t="b">
        <f>IF(ISNUMBER(SEARCH("RQ2",Tabelle1[[#This Row],[Mapped RQ]])), TRUE,FALSE)</f>
        <v>0</v>
      </c>
      <c r="M42" t="b">
        <f>IF(ISNUMBER(SEARCH("RQ3",Tabelle1[[#This Row],[Mapped RQ]])), TRUE,FALSE)</f>
        <v>0</v>
      </c>
    </row>
    <row r="43" spans="1:13" x14ac:dyDescent="0.25">
      <c r="A43" t="s">
        <v>172</v>
      </c>
      <c r="B43" t="s">
        <v>173</v>
      </c>
      <c r="C43" t="s">
        <v>174</v>
      </c>
      <c r="D43">
        <v>2024</v>
      </c>
      <c r="E43" t="s">
        <v>175</v>
      </c>
      <c r="F43" t="s">
        <v>176</v>
      </c>
      <c r="G43" t="s">
        <v>177</v>
      </c>
      <c r="H43" t="s">
        <v>443</v>
      </c>
      <c r="I43" t="s">
        <v>178</v>
      </c>
      <c r="J43" t="s">
        <v>34</v>
      </c>
      <c r="K43" t="b">
        <f>IF(ISNUMBER(SEARCH("RQ1",Tabelle1[[#This Row],[Mapped RQ]])), TRUE,FALSE)</f>
        <v>1</v>
      </c>
      <c r="L43" t="b">
        <f>IF(ISNUMBER(SEARCH("RQ2",Tabelle1[[#This Row],[Mapped RQ]])), TRUE,FALSE)</f>
        <v>0</v>
      </c>
      <c r="M43" t="b">
        <f>IF(ISNUMBER(SEARCH("RQ3",Tabelle1[[#This Row],[Mapped RQ]])), TRUE,FALSE)</f>
        <v>0</v>
      </c>
    </row>
    <row r="44" spans="1:13" x14ac:dyDescent="0.25">
      <c r="A44" t="s">
        <v>179</v>
      </c>
      <c r="B44" t="s">
        <v>180</v>
      </c>
      <c r="C44" t="s">
        <v>181</v>
      </c>
      <c r="D44">
        <v>2025</v>
      </c>
      <c r="E44" t="s">
        <v>182</v>
      </c>
      <c r="F44" t="s">
        <v>183</v>
      </c>
      <c r="G44" t="s">
        <v>184</v>
      </c>
      <c r="H44" t="s">
        <v>444</v>
      </c>
      <c r="I44" t="s">
        <v>185</v>
      </c>
      <c r="J44" t="s">
        <v>22</v>
      </c>
      <c r="K44" t="b">
        <f>IF(ISNUMBER(SEARCH("RQ1",Tabelle1[[#This Row],[Mapped RQ]])), TRUE,FALSE)</f>
        <v>1</v>
      </c>
      <c r="L44" t="b">
        <f>IF(ISNUMBER(SEARCH("RQ2",Tabelle1[[#This Row],[Mapped RQ]])), TRUE,FALSE)</f>
        <v>1</v>
      </c>
      <c r="M44" t="b">
        <f>IF(ISNUMBER(SEARCH("RQ3",Tabelle1[[#This Row],[Mapped RQ]])), TRUE,FALSE)</f>
        <v>0</v>
      </c>
    </row>
    <row r="45" spans="1:13" x14ac:dyDescent="0.25">
      <c r="A45" t="s">
        <v>186</v>
      </c>
      <c r="B45" t="s">
        <v>187</v>
      </c>
      <c r="C45" t="s">
        <v>188</v>
      </c>
      <c r="D45">
        <v>2024</v>
      </c>
      <c r="E45" t="s">
        <v>175</v>
      </c>
      <c r="F45" t="s">
        <v>189</v>
      </c>
      <c r="G45" t="s">
        <v>190</v>
      </c>
      <c r="H45" t="s">
        <v>445</v>
      </c>
      <c r="I45" t="s">
        <v>191</v>
      </c>
      <c r="J45" t="s">
        <v>34</v>
      </c>
      <c r="K45" t="b">
        <f>IF(ISNUMBER(SEARCH("RQ1",Tabelle1[[#This Row],[Mapped RQ]])), TRUE,FALSE)</f>
        <v>1</v>
      </c>
      <c r="L45" t="b">
        <f>IF(ISNUMBER(SEARCH("RQ2",Tabelle1[[#This Row],[Mapped RQ]])), TRUE,FALSE)</f>
        <v>0</v>
      </c>
      <c r="M45" t="b">
        <f>IF(ISNUMBER(SEARCH("RQ3",Tabelle1[[#This Row],[Mapped RQ]])), TRUE,FALSE)</f>
        <v>0</v>
      </c>
    </row>
    <row r="46" spans="1:13" x14ac:dyDescent="0.25">
      <c r="A46" t="s">
        <v>192</v>
      </c>
      <c r="B46" t="s">
        <v>193</v>
      </c>
      <c r="C46" t="s">
        <v>194</v>
      </c>
      <c r="D46">
        <v>2025</v>
      </c>
      <c r="E46" t="s">
        <v>195</v>
      </c>
      <c r="F46" t="s">
        <v>196</v>
      </c>
      <c r="G46" t="s">
        <v>197</v>
      </c>
      <c r="H46" t="s">
        <v>444</v>
      </c>
      <c r="I46" t="s">
        <v>198</v>
      </c>
      <c r="J46" t="s">
        <v>22</v>
      </c>
      <c r="K46" t="b">
        <f>IF(ISNUMBER(SEARCH("RQ1",Tabelle1[[#This Row],[Mapped RQ]])), TRUE,FALSE)</f>
        <v>1</v>
      </c>
      <c r="L46" t="b">
        <f>IF(ISNUMBER(SEARCH("RQ2",Tabelle1[[#This Row],[Mapped RQ]])), TRUE,FALSE)</f>
        <v>1</v>
      </c>
      <c r="M46" t="b">
        <f>IF(ISNUMBER(SEARCH("RQ3",Tabelle1[[#This Row],[Mapped RQ]])), TRUE,FALSE)</f>
        <v>0</v>
      </c>
    </row>
    <row r="47" spans="1:13" x14ac:dyDescent="0.25">
      <c r="A47" t="s">
        <v>199</v>
      </c>
      <c r="B47" t="s">
        <v>200</v>
      </c>
      <c r="C47" t="s">
        <v>201</v>
      </c>
      <c r="D47">
        <v>2024</v>
      </c>
      <c r="E47" t="s">
        <v>175</v>
      </c>
      <c r="F47" t="s">
        <v>202</v>
      </c>
      <c r="G47" t="s">
        <v>203</v>
      </c>
      <c r="H47" t="s">
        <v>444</v>
      </c>
      <c r="I47" t="s">
        <v>204</v>
      </c>
      <c r="J47" t="s">
        <v>34</v>
      </c>
      <c r="K47" t="b">
        <f>IF(ISNUMBER(SEARCH("RQ1",Tabelle1[[#This Row],[Mapped RQ]])), TRUE,FALSE)</f>
        <v>1</v>
      </c>
      <c r="L47" t="b">
        <f>IF(ISNUMBER(SEARCH("RQ2",Tabelle1[[#This Row],[Mapped RQ]])), TRUE,FALSE)</f>
        <v>0</v>
      </c>
      <c r="M47" t="b">
        <f>IF(ISNUMBER(SEARCH("RQ3",Tabelle1[[#This Row],[Mapped RQ]])), TRUE,FALSE)</f>
        <v>0</v>
      </c>
    </row>
    <row r="48" spans="1:13" x14ac:dyDescent="0.25">
      <c r="A48" t="s">
        <v>205</v>
      </c>
      <c r="B48" t="s">
        <v>206</v>
      </c>
      <c r="C48" t="s">
        <v>207</v>
      </c>
      <c r="D48">
        <v>2025</v>
      </c>
      <c r="E48" t="s">
        <v>208</v>
      </c>
      <c r="F48" t="s">
        <v>209</v>
      </c>
      <c r="G48" t="s">
        <v>210</v>
      </c>
      <c r="H48" t="s">
        <v>444</v>
      </c>
      <c r="I48" t="s">
        <v>211</v>
      </c>
      <c r="J48" t="s">
        <v>22</v>
      </c>
      <c r="K48" t="b">
        <f>IF(ISNUMBER(SEARCH("RQ1",Tabelle1[[#This Row],[Mapped RQ]])), TRUE,FALSE)</f>
        <v>1</v>
      </c>
      <c r="L48" t="b">
        <f>IF(ISNUMBER(SEARCH("RQ2",Tabelle1[[#This Row],[Mapped RQ]])), TRUE,FALSE)</f>
        <v>1</v>
      </c>
      <c r="M48" t="b">
        <f>IF(ISNUMBER(SEARCH("RQ3",Tabelle1[[#This Row],[Mapped RQ]])), TRUE,FALSE)</f>
        <v>0</v>
      </c>
    </row>
    <row r="49" spans="1:13" x14ac:dyDescent="0.25">
      <c r="A49" t="s">
        <v>212</v>
      </c>
      <c r="B49" t="s">
        <v>213</v>
      </c>
      <c r="C49" t="s">
        <v>214</v>
      </c>
      <c r="D49">
        <v>2024</v>
      </c>
      <c r="E49" t="s">
        <v>215</v>
      </c>
      <c r="F49" t="s">
        <v>216</v>
      </c>
      <c r="G49" t="s">
        <v>217</v>
      </c>
      <c r="H49" t="s">
        <v>445</v>
      </c>
      <c r="I49" t="s">
        <v>218</v>
      </c>
      <c r="J49" t="s">
        <v>22</v>
      </c>
      <c r="K49" t="b">
        <f>IF(ISNUMBER(SEARCH("RQ1",Tabelle1[[#This Row],[Mapped RQ]])), TRUE,FALSE)</f>
        <v>1</v>
      </c>
      <c r="L49" t="b">
        <f>IF(ISNUMBER(SEARCH("RQ2",Tabelle1[[#This Row],[Mapped RQ]])), TRUE,FALSE)</f>
        <v>1</v>
      </c>
      <c r="M49" t="b">
        <f>IF(ISNUMBER(SEARCH("RQ3",Tabelle1[[#This Row],[Mapped RQ]])), TRUE,FALSE)</f>
        <v>0</v>
      </c>
    </row>
    <row r="50" spans="1:13" x14ac:dyDescent="0.25">
      <c r="A50" t="s">
        <v>219</v>
      </c>
      <c r="B50" t="s">
        <v>220</v>
      </c>
      <c r="C50" t="s">
        <v>221</v>
      </c>
      <c r="D50">
        <v>2024</v>
      </c>
      <c r="E50" t="s">
        <v>222</v>
      </c>
      <c r="F50" t="s">
        <v>223</v>
      </c>
      <c r="G50" t="s">
        <v>224</v>
      </c>
      <c r="H50" t="s">
        <v>443</v>
      </c>
      <c r="I50" t="s">
        <v>225</v>
      </c>
      <c r="J50" t="s">
        <v>22</v>
      </c>
      <c r="K50" t="b">
        <f>IF(ISNUMBER(SEARCH("RQ1",Tabelle1[[#This Row],[Mapped RQ]])), TRUE,FALSE)</f>
        <v>1</v>
      </c>
      <c r="L50" t="b">
        <f>IF(ISNUMBER(SEARCH("RQ2",Tabelle1[[#This Row],[Mapped RQ]])), TRUE,FALSE)</f>
        <v>1</v>
      </c>
      <c r="M50" t="b">
        <f>IF(ISNUMBER(SEARCH("RQ3",Tabelle1[[#This Row],[Mapped RQ]])), TRUE,FALSE)</f>
        <v>0</v>
      </c>
    </row>
    <row r="51" spans="1:13" x14ac:dyDescent="0.25">
      <c r="A51" t="s">
        <v>226</v>
      </c>
      <c r="B51" t="s">
        <v>227</v>
      </c>
      <c r="C51" t="s">
        <v>228</v>
      </c>
      <c r="D51">
        <v>2025</v>
      </c>
      <c r="E51" t="s">
        <v>229</v>
      </c>
      <c r="F51" t="s">
        <v>230</v>
      </c>
      <c r="G51" t="s">
        <v>231</v>
      </c>
      <c r="H51" t="s">
        <v>444</v>
      </c>
      <c r="I51" t="s">
        <v>232</v>
      </c>
      <c r="J51" t="s">
        <v>34</v>
      </c>
      <c r="K51" t="b">
        <f>IF(ISNUMBER(SEARCH("RQ1",Tabelle1[[#This Row],[Mapped RQ]])), TRUE,FALSE)</f>
        <v>1</v>
      </c>
      <c r="L51" t="b">
        <f>IF(ISNUMBER(SEARCH("RQ2",Tabelle1[[#This Row],[Mapped RQ]])), TRUE,FALSE)</f>
        <v>0</v>
      </c>
      <c r="M51" t="b">
        <f>IF(ISNUMBER(SEARCH("RQ3",Tabelle1[[#This Row],[Mapped RQ]])), TRUE,FALSE)</f>
        <v>0</v>
      </c>
    </row>
    <row r="52" spans="1:13" x14ac:dyDescent="0.25">
      <c r="A52" t="s">
        <v>233</v>
      </c>
      <c r="B52" t="s">
        <v>234</v>
      </c>
      <c r="C52" t="s">
        <v>235</v>
      </c>
      <c r="D52">
        <v>2023</v>
      </c>
      <c r="E52" t="s">
        <v>236</v>
      </c>
      <c r="F52" t="s">
        <v>237</v>
      </c>
      <c r="G52" t="s">
        <v>238</v>
      </c>
      <c r="H52" t="s">
        <v>443</v>
      </c>
      <c r="I52" t="s">
        <v>239</v>
      </c>
      <c r="J52" t="s">
        <v>34</v>
      </c>
      <c r="K52" t="b">
        <f>IF(ISNUMBER(SEARCH("RQ1",Tabelle1[[#This Row],[Mapped RQ]])), TRUE,FALSE)</f>
        <v>1</v>
      </c>
      <c r="L52" t="b">
        <f>IF(ISNUMBER(SEARCH("RQ2",Tabelle1[[#This Row],[Mapped RQ]])), TRUE,FALSE)</f>
        <v>0</v>
      </c>
      <c r="M52" t="b">
        <f>IF(ISNUMBER(SEARCH("RQ3",Tabelle1[[#This Row],[Mapped RQ]])), TRUE,FALSE)</f>
        <v>0</v>
      </c>
    </row>
    <row r="53" spans="1:13" x14ac:dyDescent="0.25">
      <c r="A53" t="s">
        <v>240</v>
      </c>
      <c r="B53" t="s">
        <v>241</v>
      </c>
      <c r="C53" t="s">
        <v>242</v>
      </c>
      <c r="D53">
        <v>2024</v>
      </c>
      <c r="E53" t="s">
        <v>175</v>
      </c>
      <c r="F53" t="s">
        <v>243</v>
      </c>
      <c r="G53" t="s">
        <v>244</v>
      </c>
      <c r="H53" t="s">
        <v>444</v>
      </c>
      <c r="I53" t="s">
        <v>245</v>
      </c>
      <c r="J53" t="s">
        <v>22</v>
      </c>
      <c r="K53" t="b">
        <f>IF(ISNUMBER(SEARCH("RQ1",Tabelle1[[#This Row],[Mapped RQ]])), TRUE,FALSE)</f>
        <v>1</v>
      </c>
      <c r="L53" t="b">
        <f>IF(ISNUMBER(SEARCH("RQ2",Tabelle1[[#This Row],[Mapped RQ]])), TRUE,FALSE)</f>
        <v>1</v>
      </c>
      <c r="M53" t="b">
        <f>IF(ISNUMBER(SEARCH("RQ3",Tabelle1[[#This Row],[Mapped RQ]])), TRUE,FALSE)</f>
        <v>0</v>
      </c>
    </row>
    <row r="54" spans="1:13" x14ac:dyDescent="0.25">
      <c r="A54" t="s">
        <v>246</v>
      </c>
      <c r="B54" t="s">
        <v>247</v>
      </c>
      <c r="C54" t="s">
        <v>248</v>
      </c>
      <c r="D54">
        <v>2024</v>
      </c>
      <c r="E54" t="s">
        <v>175</v>
      </c>
      <c r="F54" t="s">
        <v>249</v>
      </c>
      <c r="G54" t="s">
        <v>250</v>
      </c>
      <c r="H54" t="s">
        <v>444</v>
      </c>
      <c r="I54" t="s">
        <v>251</v>
      </c>
      <c r="J54" t="s">
        <v>131</v>
      </c>
      <c r="K54" t="b">
        <f>IF(ISNUMBER(SEARCH("RQ1",Tabelle1[[#This Row],[Mapped RQ]])), TRUE,FALSE)</f>
        <v>0</v>
      </c>
      <c r="L54" t="b">
        <f>IF(ISNUMBER(SEARCH("RQ2",Tabelle1[[#This Row],[Mapped RQ]])), TRUE,FALSE)</f>
        <v>1</v>
      </c>
      <c r="M54" t="b">
        <f>IF(ISNUMBER(SEARCH("RQ3",Tabelle1[[#This Row],[Mapped RQ]])), TRUE,FALSE)</f>
        <v>0</v>
      </c>
    </row>
    <row r="55" spans="1:13" x14ac:dyDescent="0.25">
      <c r="A55" t="s">
        <v>252</v>
      </c>
      <c r="B55" t="s">
        <v>253</v>
      </c>
      <c r="C55" t="s">
        <v>254</v>
      </c>
      <c r="D55">
        <v>2024</v>
      </c>
      <c r="E55" t="s">
        <v>175</v>
      </c>
      <c r="F55" t="s">
        <v>255</v>
      </c>
      <c r="G55" t="s">
        <v>256</v>
      </c>
      <c r="H55" t="s">
        <v>444</v>
      </c>
      <c r="I55" t="s">
        <v>257</v>
      </c>
      <c r="J55" t="s">
        <v>131</v>
      </c>
      <c r="K55" t="b">
        <f>IF(ISNUMBER(SEARCH("RQ1",Tabelle1[[#This Row],[Mapped RQ]])), TRUE,FALSE)</f>
        <v>0</v>
      </c>
      <c r="L55" t="b">
        <f>IF(ISNUMBER(SEARCH("RQ2",Tabelle1[[#This Row],[Mapped RQ]])), TRUE,FALSE)</f>
        <v>1</v>
      </c>
      <c r="M55" t="b">
        <f>IF(ISNUMBER(SEARCH("RQ3",Tabelle1[[#This Row],[Mapped RQ]])), TRUE,FALSE)</f>
        <v>0</v>
      </c>
    </row>
    <row r="56" spans="1:13" x14ac:dyDescent="0.25">
      <c r="A56" t="s">
        <v>258</v>
      </c>
      <c r="B56" t="s">
        <v>259</v>
      </c>
      <c r="C56" t="s">
        <v>260</v>
      </c>
      <c r="D56">
        <v>2024</v>
      </c>
      <c r="E56" t="s">
        <v>175</v>
      </c>
      <c r="F56" t="s">
        <v>261</v>
      </c>
      <c r="G56" t="s">
        <v>262</v>
      </c>
      <c r="H56" t="s">
        <v>444</v>
      </c>
      <c r="I56" t="s">
        <v>263</v>
      </c>
      <c r="J56" t="s">
        <v>22</v>
      </c>
      <c r="K56" t="b">
        <f>IF(ISNUMBER(SEARCH("RQ1",Tabelle1[[#This Row],[Mapped RQ]])), TRUE,FALSE)</f>
        <v>1</v>
      </c>
      <c r="L56" t="b">
        <f>IF(ISNUMBER(SEARCH("RQ2",Tabelle1[[#This Row],[Mapped RQ]])), TRUE,FALSE)</f>
        <v>1</v>
      </c>
      <c r="M56" t="b">
        <f>IF(ISNUMBER(SEARCH("RQ3",Tabelle1[[#This Row],[Mapped RQ]])), TRUE,FALSE)</f>
        <v>0</v>
      </c>
    </row>
    <row r="57" spans="1:13" x14ac:dyDescent="0.25">
      <c r="A57" t="s">
        <v>264</v>
      </c>
      <c r="B57" t="s">
        <v>265</v>
      </c>
      <c r="C57" t="s">
        <v>266</v>
      </c>
      <c r="D57">
        <v>2024</v>
      </c>
      <c r="E57" t="s">
        <v>175</v>
      </c>
      <c r="F57" t="s">
        <v>267</v>
      </c>
      <c r="G57" t="s">
        <v>268</v>
      </c>
      <c r="H57" t="s">
        <v>444</v>
      </c>
      <c r="I57" t="s">
        <v>269</v>
      </c>
      <c r="J57" t="s">
        <v>22</v>
      </c>
      <c r="K57" t="b">
        <f>IF(ISNUMBER(SEARCH("RQ1",Tabelle1[[#This Row],[Mapped RQ]])), TRUE,FALSE)</f>
        <v>1</v>
      </c>
      <c r="L57" t="b">
        <f>IF(ISNUMBER(SEARCH("RQ2",Tabelle1[[#This Row],[Mapped RQ]])), TRUE,FALSE)</f>
        <v>1</v>
      </c>
      <c r="M57" t="b">
        <f>IF(ISNUMBER(SEARCH("RQ3",Tabelle1[[#This Row],[Mapped RQ]])), TRUE,FALSE)</f>
        <v>0</v>
      </c>
    </row>
    <row r="58" spans="1:13" x14ac:dyDescent="0.25">
      <c r="A58" t="s">
        <v>401</v>
      </c>
      <c r="B58" t="s">
        <v>402</v>
      </c>
      <c r="C58" t="s">
        <v>403</v>
      </c>
      <c r="D58">
        <v>2024</v>
      </c>
      <c r="E58" t="s">
        <v>404</v>
      </c>
      <c r="F58" t="s">
        <v>405</v>
      </c>
      <c r="G58" t="s">
        <v>406</v>
      </c>
      <c r="H58" t="s">
        <v>444</v>
      </c>
      <c r="I58" t="s">
        <v>407</v>
      </c>
      <c r="J58" t="s">
        <v>131</v>
      </c>
      <c r="K58" t="b">
        <f>IF(ISNUMBER(SEARCH("RQ1",Tabelle1[[#This Row],[Mapped RQ]])), TRUE,FALSE)</f>
        <v>0</v>
      </c>
      <c r="L58" t="b">
        <f>IF(ISNUMBER(SEARCH("RQ2",Tabelle1[[#This Row],[Mapped RQ]])), TRUE,FALSE)</f>
        <v>1</v>
      </c>
      <c r="M58" t="b">
        <f>IF(ISNUMBER(SEARCH("RQ3",Tabelle1[[#This Row],[Mapped RQ]])), TRUE,FALSE)</f>
        <v>0</v>
      </c>
    </row>
    <row r="59" spans="1:13" x14ac:dyDescent="0.25">
      <c r="A59" t="s">
        <v>408</v>
      </c>
      <c r="B59" t="s">
        <v>409</v>
      </c>
      <c r="C59" t="s">
        <v>410</v>
      </c>
      <c r="D59">
        <v>2025</v>
      </c>
      <c r="E59" t="s">
        <v>411</v>
      </c>
      <c r="F59" t="s">
        <v>412</v>
      </c>
      <c r="G59" t="s">
        <v>413</v>
      </c>
      <c r="H59" t="s">
        <v>443</v>
      </c>
      <c r="I59" t="s">
        <v>414</v>
      </c>
      <c r="J59" t="s">
        <v>310</v>
      </c>
      <c r="K59" t="b">
        <f>IF(ISNUMBER(SEARCH("RQ1",Tabelle1[[#This Row],[Mapped RQ]])), TRUE,FALSE)</f>
        <v>0</v>
      </c>
      <c r="L59" t="b">
        <f>IF(ISNUMBER(SEARCH("RQ2",Tabelle1[[#This Row],[Mapped RQ]])), TRUE,FALSE)</f>
        <v>1</v>
      </c>
      <c r="M59" t="b">
        <f>IF(ISNUMBER(SEARCH("RQ3",Tabelle1[[#This Row],[Mapped RQ]])), TRUE,FALSE)</f>
        <v>1</v>
      </c>
    </row>
    <row r="60" spans="1:13" x14ac:dyDescent="0.25">
      <c r="A60" t="s">
        <v>415</v>
      </c>
      <c r="B60" t="s">
        <v>416</v>
      </c>
      <c r="C60" t="s">
        <v>417</v>
      </c>
      <c r="D60">
        <v>2023</v>
      </c>
      <c r="E60" t="s">
        <v>418</v>
      </c>
      <c r="F60" t="s">
        <v>419</v>
      </c>
      <c r="G60" t="s">
        <v>420</v>
      </c>
      <c r="H60" t="s">
        <v>445</v>
      </c>
      <c r="I60" t="s">
        <v>421</v>
      </c>
      <c r="J60" t="s">
        <v>131</v>
      </c>
      <c r="K60" t="b">
        <f>IF(ISNUMBER(SEARCH("RQ1",Tabelle1[[#This Row],[Mapped RQ]])), TRUE,FALSE)</f>
        <v>0</v>
      </c>
      <c r="L60" t="b">
        <f>IF(ISNUMBER(SEARCH("RQ2",Tabelle1[[#This Row],[Mapped RQ]])), TRUE,FALSE)</f>
        <v>1</v>
      </c>
      <c r="M60" t="b">
        <f>IF(ISNUMBER(SEARCH("RQ3",Tabelle1[[#This Row],[Mapped RQ]])), TRUE,FALSE)</f>
        <v>0</v>
      </c>
    </row>
    <row r="61" spans="1:13" x14ac:dyDescent="0.25">
      <c r="A61" t="s">
        <v>422</v>
      </c>
      <c r="B61" t="s">
        <v>423</v>
      </c>
      <c r="C61" t="s">
        <v>424</v>
      </c>
      <c r="D61">
        <v>2024</v>
      </c>
      <c r="E61" t="s">
        <v>425</v>
      </c>
      <c r="F61" t="s">
        <v>426</v>
      </c>
      <c r="G61" t="s">
        <v>427</v>
      </c>
      <c r="H61" t="s">
        <v>444</v>
      </c>
      <c r="I61" t="s">
        <v>428</v>
      </c>
      <c r="J61" t="s">
        <v>22</v>
      </c>
      <c r="K61" t="b">
        <f>IF(ISNUMBER(SEARCH("RQ1",Tabelle1[[#This Row],[Mapped RQ]])), TRUE,FALSE)</f>
        <v>1</v>
      </c>
      <c r="L61" t="b">
        <f>IF(ISNUMBER(SEARCH("RQ2",Tabelle1[[#This Row],[Mapped RQ]])), TRUE,FALSE)</f>
        <v>1</v>
      </c>
      <c r="M61" t="b">
        <f>IF(ISNUMBER(SEARCH("RQ3",Tabelle1[[#This Row],[Mapped RQ]])), TRUE,FALSE)</f>
        <v>0</v>
      </c>
    </row>
    <row r="62" spans="1:13" x14ac:dyDescent="0.25">
      <c r="A62" t="s">
        <v>380</v>
      </c>
      <c r="B62" t="s">
        <v>381</v>
      </c>
      <c r="C62" t="s">
        <v>382</v>
      </c>
      <c r="D62">
        <v>2023</v>
      </c>
      <c r="E62" t="s">
        <v>383</v>
      </c>
      <c r="F62" t="s">
        <v>384</v>
      </c>
      <c r="G62" t="s">
        <v>385</v>
      </c>
      <c r="H62" t="s">
        <v>443</v>
      </c>
      <c r="I62" t="s">
        <v>386</v>
      </c>
      <c r="J62" t="s">
        <v>22</v>
      </c>
      <c r="K62" t="b">
        <f>IF(ISNUMBER(SEARCH("RQ1",Tabelle1[[#This Row],[Mapped RQ]])), TRUE,FALSE)</f>
        <v>1</v>
      </c>
      <c r="L62" t="b">
        <f>IF(ISNUMBER(SEARCH("RQ2",Tabelle1[[#This Row],[Mapped RQ]])), TRUE,FALSE)</f>
        <v>1</v>
      </c>
      <c r="M62" t="b">
        <f>IF(ISNUMBER(SEARCH("RQ3",Tabelle1[[#This Row],[Mapped RQ]])), TRUE,FALSE)</f>
        <v>0</v>
      </c>
    </row>
    <row r="63" spans="1:13" x14ac:dyDescent="0.25">
      <c r="A63" t="s">
        <v>387</v>
      </c>
      <c r="B63" t="s">
        <v>388</v>
      </c>
      <c r="C63" t="s">
        <v>389</v>
      </c>
      <c r="D63">
        <v>2023</v>
      </c>
      <c r="E63" t="s">
        <v>390</v>
      </c>
      <c r="F63" t="s">
        <v>391</v>
      </c>
      <c r="G63" t="s">
        <v>392</v>
      </c>
      <c r="H63" t="s">
        <v>445</v>
      </c>
      <c r="I63" t="s">
        <v>393</v>
      </c>
      <c r="J63" t="s">
        <v>131</v>
      </c>
      <c r="K63" t="b">
        <f>IF(ISNUMBER(SEARCH("RQ1",Tabelle1[[#This Row],[Mapped RQ]])), TRUE,FALSE)</f>
        <v>0</v>
      </c>
      <c r="L63" t="b">
        <f>IF(ISNUMBER(SEARCH("RQ2",Tabelle1[[#This Row],[Mapped RQ]])), TRUE,FALSE)</f>
        <v>1</v>
      </c>
      <c r="M63" t="b">
        <f>IF(ISNUMBER(SEARCH("RQ3",Tabelle1[[#This Row],[Mapped RQ]])), TRUE,FALSE)</f>
        <v>0</v>
      </c>
    </row>
    <row r="64" spans="1:13" x14ac:dyDescent="0.25">
      <c r="A64" t="s">
        <v>394</v>
      </c>
      <c r="B64" t="s">
        <v>395</v>
      </c>
      <c r="C64" t="s">
        <v>396</v>
      </c>
      <c r="D64">
        <v>2024</v>
      </c>
      <c r="E64" t="s">
        <v>397</v>
      </c>
      <c r="F64" t="s">
        <v>398</v>
      </c>
      <c r="G64" t="s">
        <v>399</v>
      </c>
      <c r="H64" t="s">
        <v>445</v>
      </c>
      <c r="I64" t="s">
        <v>400</v>
      </c>
      <c r="J64" t="s">
        <v>131</v>
      </c>
      <c r="K64" t="b">
        <f>IF(ISNUMBER(SEARCH("RQ1",Tabelle1[[#This Row],[Mapped RQ]])), TRUE,FALSE)</f>
        <v>0</v>
      </c>
      <c r="L64" t="b">
        <f>IF(ISNUMBER(SEARCH("RQ2",Tabelle1[[#This Row],[Mapped RQ]])), TRUE,FALSE)</f>
        <v>1</v>
      </c>
      <c r="M64" t="b">
        <f>IF(ISNUMBER(SEARCH("RQ3",Tabelle1[[#This Row],[Mapped RQ]])), TRUE,FALSE)</f>
        <v>0</v>
      </c>
    </row>
  </sheetData>
  <mergeCells count="3">
    <mergeCell ref="A1:E1"/>
    <mergeCell ref="I1:M1"/>
    <mergeCell ref="F1:H1"/>
  </mergeCell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D1792-AFCD-4EB0-A5D0-C5FABF92B1A2}">
  <dimension ref="A1:H4"/>
  <sheetViews>
    <sheetView workbookViewId="0">
      <selection activeCell="D5" sqref="D5"/>
    </sheetView>
  </sheetViews>
  <sheetFormatPr baseColWidth="10" defaultRowHeight="15" x14ac:dyDescent="0.25"/>
  <cols>
    <col min="1" max="1" width="29.28515625" bestFit="1" customWidth="1"/>
    <col min="2" max="2" width="19.7109375" customWidth="1"/>
    <col min="3" max="3" width="8.140625" customWidth="1"/>
    <col min="4" max="4" width="18.5703125" bestFit="1" customWidth="1"/>
    <col min="6" max="6" width="12.85546875" customWidth="1"/>
    <col min="7" max="7" width="19.7109375" customWidth="1"/>
  </cols>
  <sheetData>
    <row r="1" spans="1:8" x14ac:dyDescent="0.25">
      <c r="A1" t="s">
        <v>436</v>
      </c>
      <c r="B1" t="s">
        <v>437</v>
      </c>
      <c r="C1" t="s">
        <v>438</v>
      </c>
      <c r="F1" t="s">
        <v>442</v>
      </c>
      <c r="G1" t="s">
        <v>437</v>
      </c>
      <c r="H1" t="s">
        <v>438</v>
      </c>
    </row>
    <row r="2" spans="1:8" x14ac:dyDescent="0.25">
      <c r="A2" t="s">
        <v>439</v>
      </c>
      <c r="B2">
        <f>COUNTIF(Tabelle1[RQ1], TRUE)</f>
        <v>45</v>
      </c>
      <c r="C2" s="3">
        <f>B2/62</f>
        <v>0.72580645161290325</v>
      </c>
      <c r="F2" t="s">
        <v>444</v>
      </c>
      <c r="G2">
        <f>COUNTIF(Tabelle1[Study Type],"Qualitative")</f>
        <v>33</v>
      </c>
      <c r="H2" s="3">
        <f>G2/62</f>
        <v>0.532258064516129</v>
      </c>
    </row>
    <row r="3" spans="1:8" x14ac:dyDescent="0.25">
      <c r="A3" t="s">
        <v>440</v>
      </c>
      <c r="B3">
        <f>COUNTIF(Tabelle1[RQ2], TRUE)</f>
        <v>38</v>
      </c>
      <c r="C3" s="3">
        <f t="shared" ref="C3:C4" si="0">B3/62</f>
        <v>0.61290322580645162</v>
      </c>
      <c r="F3" t="s">
        <v>445</v>
      </c>
      <c r="G3">
        <f>COUNTIF(Tabelle1[Study Type],"Quantitative")</f>
        <v>11</v>
      </c>
      <c r="H3" s="3">
        <f t="shared" ref="H3:H4" si="1">G3/62</f>
        <v>0.17741935483870969</v>
      </c>
    </row>
    <row r="4" spans="1:8" x14ac:dyDescent="0.25">
      <c r="A4" t="s">
        <v>441</v>
      </c>
      <c r="B4">
        <f>COUNTIF(Tabelle1[RQ3], TRUE)</f>
        <v>6</v>
      </c>
      <c r="C4" s="3">
        <f t="shared" si="0"/>
        <v>9.6774193548387094E-2</v>
      </c>
      <c r="F4" t="s">
        <v>443</v>
      </c>
      <c r="G4">
        <f>COUNTIF(Tabelle1[Study Type],"Mixed")</f>
        <v>18</v>
      </c>
      <c r="H4" s="3">
        <f t="shared" si="1"/>
        <v>0.29032258064516131</v>
      </c>
    </row>
  </sheetData>
  <pageMargins left="0.7" right="0.7" top="0.78740157499999996" bottom="0.78740157499999996" header="0.3" footer="0.3"/>
  <pageSetup paperSize="9" orientation="landscape"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Data Extraction Table</vt:lpstr>
      <vt:lpstr>Summary 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Schwabe, Lara</cp:lastModifiedBy>
  <cp:lastPrinted>2025-11-24T13:12:21Z</cp:lastPrinted>
  <dcterms:created xsi:type="dcterms:W3CDTF">2025-11-24T12:36:06Z</dcterms:created>
  <dcterms:modified xsi:type="dcterms:W3CDTF">2025-11-24T13:27:12Z</dcterms:modified>
</cp:coreProperties>
</file>